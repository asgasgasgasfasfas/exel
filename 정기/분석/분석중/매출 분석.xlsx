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JG\엑셀\정기\분석\분석중\"/>
    </mc:Choice>
  </mc:AlternateContent>
  <xr:revisionPtr revIDLastSave="0" documentId="8_{15AE75CB-0368-4BF4-8537-6F71FDD4EB97}" xr6:coauthVersionLast="47" xr6:coauthVersionMax="47" xr10:uidLastSave="{00000000-0000-0000-0000-000000000000}"/>
  <bookViews>
    <workbookView xWindow="39390" yWindow="1050" windowWidth="27285" windowHeight="15480" xr2:uid="{23B1B03A-7BA6-4D0E-9DBD-550B8A2794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" i="1" l="1"/>
  <c r="S5" i="1"/>
  <c r="R6" i="1"/>
  <c r="S6" i="1"/>
  <c r="R7" i="1"/>
  <c r="S7" i="1"/>
  <c r="R8" i="1"/>
  <c r="S8" i="1"/>
  <c r="R9" i="1"/>
  <c r="S9" i="1"/>
  <c r="R10" i="1"/>
  <c r="S10" i="1"/>
  <c r="R11" i="1"/>
  <c r="S11" i="1"/>
  <c r="R12" i="1"/>
  <c r="S12" i="1"/>
  <c r="R13" i="1"/>
  <c r="S13" i="1"/>
  <c r="R14" i="1"/>
  <c r="S14" i="1"/>
  <c r="R15" i="1"/>
  <c r="S15" i="1"/>
  <c r="R16" i="1"/>
  <c r="S16" i="1"/>
  <c r="R17" i="1"/>
  <c r="S17" i="1"/>
  <c r="R18" i="1"/>
  <c r="S18" i="1"/>
  <c r="R19" i="1"/>
  <c r="S19" i="1"/>
  <c r="R20" i="1"/>
  <c r="S20" i="1"/>
  <c r="R21" i="1"/>
  <c r="S21" i="1"/>
  <c r="R22" i="1"/>
  <c r="S22" i="1"/>
  <c r="R23" i="1"/>
  <c r="S23" i="1"/>
  <c r="R24" i="1"/>
  <c r="S24" i="1"/>
  <c r="R25" i="1"/>
  <c r="S25" i="1"/>
  <c r="R26" i="1"/>
  <c r="S26" i="1"/>
  <c r="R27" i="1"/>
  <c r="S27" i="1"/>
  <c r="R28" i="1"/>
  <c r="S28" i="1"/>
  <c r="T5" i="1"/>
  <c r="U5" i="1"/>
  <c r="V5" i="1"/>
  <c r="W5" i="1"/>
  <c r="X5" i="1"/>
  <c r="Y5" i="1"/>
  <c r="Z5" i="1"/>
  <c r="AA5" i="1"/>
  <c r="T6" i="1"/>
  <c r="U6" i="1"/>
  <c r="V6" i="1"/>
  <c r="W6" i="1"/>
  <c r="X6" i="1"/>
  <c r="Y6" i="1"/>
  <c r="Z6" i="1"/>
  <c r="AA6" i="1"/>
  <c r="T7" i="1"/>
  <c r="U7" i="1"/>
  <c r="V7" i="1"/>
  <c r="W7" i="1"/>
  <c r="X7" i="1"/>
  <c r="Y7" i="1"/>
  <c r="Z7" i="1"/>
  <c r="AA7" i="1"/>
  <c r="T8" i="1"/>
  <c r="U8" i="1"/>
  <c r="V8" i="1"/>
  <c r="W8" i="1"/>
  <c r="X8" i="1"/>
  <c r="Y8" i="1"/>
  <c r="Z8" i="1"/>
  <c r="AA8" i="1"/>
  <c r="T9" i="1"/>
  <c r="U9" i="1"/>
  <c r="V9" i="1"/>
  <c r="W9" i="1"/>
  <c r="X9" i="1"/>
  <c r="Y9" i="1"/>
  <c r="Z9" i="1"/>
  <c r="AA9" i="1"/>
  <c r="T10" i="1"/>
  <c r="U10" i="1"/>
  <c r="V10" i="1"/>
  <c r="W10" i="1"/>
  <c r="X10" i="1"/>
  <c r="Y10" i="1"/>
  <c r="Z10" i="1"/>
  <c r="AA10" i="1"/>
  <c r="T11" i="1"/>
  <c r="U11" i="1"/>
  <c r="V11" i="1"/>
  <c r="W11" i="1"/>
  <c r="X11" i="1"/>
  <c r="Y11" i="1"/>
  <c r="Z11" i="1"/>
  <c r="AA11" i="1"/>
  <c r="T12" i="1"/>
  <c r="U12" i="1"/>
  <c r="V12" i="1"/>
  <c r="W12" i="1"/>
  <c r="X12" i="1"/>
  <c r="Y12" i="1"/>
  <c r="Z12" i="1"/>
  <c r="AA12" i="1"/>
  <c r="T13" i="1"/>
  <c r="U13" i="1"/>
  <c r="V13" i="1"/>
  <c r="W13" i="1"/>
  <c r="X13" i="1"/>
  <c r="Y13" i="1"/>
  <c r="Z13" i="1"/>
  <c r="AA13" i="1"/>
  <c r="T14" i="1"/>
  <c r="U14" i="1"/>
  <c r="V14" i="1"/>
  <c r="W14" i="1"/>
  <c r="X14" i="1"/>
  <c r="Y14" i="1"/>
  <c r="Z14" i="1"/>
  <c r="AA14" i="1"/>
  <c r="T15" i="1"/>
  <c r="U15" i="1"/>
  <c r="V15" i="1"/>
  <c r="W15" i="1"/>
  <c r="X15" i="1"/>
  <c r="Y15" i="1"/>
  <c r="Z15" i="1"/>
  <c r="AA15" i="1"/>
  <c r="T16" i="1"/>
  <c r="U16" i="1"/>
  <c r="V16" i="1"/>
  <c r="W16" i="1"/>
  <c r="X16" i="1"/>
  <c r="Y16" i="1"/>
  <c r="Z16" i="1"/>
  <c r="AA16" i="1"/>
  <c r="T17" i="1"/>
  <c r="U17" i="1"/>
  <c r="V17" i="1"/>
  <c r="W17" i="1"/>
  <c r="X17" i="1"/>
  <c r="Y17" i="1"/>
  <c r="Z17" i="1"/>
  <c r="AA17" i="1"/>
  <c r="T18" i="1"/>
  <c r="U18" i="1"/>
  <c r="V18" i="1"/>
  <c r="W18" i="1"/>
  <c r="X18" i="1"/>
  <c r="Y18" i="1"/>
  <c r="Z18" i="1"/>
  <c r="AA18" i="1"/>
  <c r="T19" i="1"/>
  <c r="U19" i="1"/>
  <c r="V19" i="1"/>
  <c r="W19" i="1"/>
  <c r="X19" i="1"/>
  <c r="Y19" i="1"/>
  <c r="Z19" i="1"/>
  <c r="AA19" i="1"/>
  <c r="T20" i="1"/>
  <c r="U20" i="1"/>
  <c r="V20" i="1"/>
  <c r="W20" i="1"/>
  <c r="X20" i="1"/>
  <c r="Y20" i="1"/>
  <c r="Z20" i="1"/>
  <c r="AA20" i="1"/>
  <c r="T21" i="1"/>
  <c r="U21" i="1"/>
  <c r="V21" i="1"/>
  <c r="W21" i="1"/>
  <c r="X21" i="1"/>
  <c r="Y21" i="1"/>
  <c r="Z21" i="1"/>
  <c r="AA21" i="1"/>
  <c r="T22" i="1"/>
  <c r="U22" i="1"/>
  <c r="V22" i="1"/>
  <c r="W22" i="1"/>
  <c r="X22" i="1"/>
  <c r="Y22" i="1"/>
  <c r="Z22" i="1"/>
  <c r="AA22" i="1"/>
  <c r="T23" i="1"/>
  <c r="U23" i="1"/>
  <c r="V23" i="1"/>
  <c r="W23" i="1"/>
  <c r="X23" i="1"/>
  <c r="Y23" i="1"/>
  <c r="Z23" i="1"/>
  <c r="AA23" i="1"/>
  <c r="T24" i="1"/>
  <c r="U24" i="1"/>
  <c r="V24" i="1"/>
  <c r="W24" i="1"/>
  <c r="X24" i="1"/>
  <c r="Y24" i="1"/>
  <c r="Z24" i="1"/>
  <c r="AA24" i="1"/>
  <c r="T25" i="1"/>
  <c r="U25" i="1"/>
  <c r="V25" i="1"/>
  <c r="W25" i="1"/>
  <c r="X25" i="1"/>
  <c r="Y25" i="1"/>
  <c r="Z25" i="1"/>
  <c r="AA25" i="1"/>
  <c r="T26" i="1"/>
  <c r="U26" i="1"/>
  <c r="V26" i="1"/>
  <c r="W26" i="1"/>
  <c r="X26" i="1"/>
  <c r="Y26" i="1"/>
  <c r="Z26" i="1"/>
  <c r="AA26" i="1"/>
  <c r="T27" i="1"/>
  <c r="U27" i="1"/>
  <c r="V27" i="1"/>
  <c r="W27" i="1"/>
  <c r="X27" i="1"/>
  <c r="Y27" i="1"/>
  <c r="Z27" i="1"/>
  <c r="AA27" i="1"/>
  <c r="T28" i="1"/>
  <c r="U28" i="1"/>
  <c r="V28" i="1"/>
  <c r="W28" i="1"/>
  <c r="X28" i="1"/>
  <c r="Y28" i="1"/>
  <c r="Z28" i="1"/>
  <c r="AA28" i="1"/>
  <c r="R29" i="1"/>
  <c r="R30" i="1"/>
  <c r="O3" i="1"/>
  <c r="N3" i="1"/>
  <c r="M3" i="1"/>
  <c r="L3" i="1"/>
  <c r="K3" i="1"/>
  <c r="J3" i="1"/>
  <c r="I3" i="1"/>
  <c r="H3" i="1"/>
  <c r="G3" i="1"/>
  <c r="F3" i="1"/>
</calcChain>
</file>

<file path=xl/sharedStrings.xml><?xml version="1.0" encoding="utf-8"?>
<sst xmlns="http://schemas.openxmlformats.org/spreadsheetml/2006/main" count="51" uniqueCount="27">
  <si>
    <t>Event Label</t>
  </si>
  <si>
    <t>Sum</t>
  </si>
  <si>
    <t>0~50</t>
    <phoneticPr fontId="1" type="noConversion"/>
  </si>
  <si>
    <t>50~100</t>
    <phoneticPr fontId="1" type="noConversion"/>
  </si>
  <si>
    <t>100~150</t>
    <phoneticPr fontId="1" type="noConversion"/>
  </si>
  <si>
    <t>150~200</t>
  </si>
  <si>
    <t>200~250</t>
  </si>
  <si>
    <t>250~300</t>
  </si>
  <si>
    <t>300~350</t>
  </si>
  <si>
    <t>350~400</t>
  </si>
  <si>
    <t>400~450</t>
  </si>
  <si>
    <t>450~500</t>
  </si>
  <si>
    <t>500~550</t>
  </si>
  <si>
    <t>550~600</t>
  </si>
  <si>
    <t>600~650</t>
  </si>
  <si>
    <t>650~700</t>
  </si>
  <si>
    <t>700~750</t>
  </si>
  <si>
    <t>750~800</t>
  </si>
  <si>
    <t>800~850</t>
  </si>
  <si>
    <t>850~900</t>
  </si>
  <si>
    <t>900~950</t>
  </si>
  <si>
    <t>950~1000</t>
  </si>
  <si>
    <t>1000~1050</t>
  </si>
  <si>
    <t>1050~1100</t>
  </si>
  <si>
    <t>1150~1200</t>
  </si>
  <si>
    <t>1200~1250</t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</si>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</sst>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>
      <alignment vertical="center"/>
    </xf>
    <xf numFmtId="176" fontId="0" fillId="0" borderId="0" xfId="0" applyNumberFormat="1">
      <alignment vertical="center"/>
    </xf>
    <xf numFmtId="3" fontId="0" fillId="0" borderId="0" xfId="0" applyNumberFormat="1">
      <alignment vertical="center"/>
    </xf>
    <xf numFmtId="3" fontId="0" fillId="2" borderId="0" xfId="0" applyNumberForma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16941-DE52-40B7-A685-6EE41BB12F53}">
  <dimension ref="D2:AA30"/>
  <sheetViews>
    <sheetView tabSelected="1" topLeftCell="D1" workbookViewId="0">
      <selection activeCell="Q2" sqref="Q2:AA28"/>
    </sheetView>
  </sheetViews>
  <sheetFormatPr defaultRowHeight="16.5" x14ac:dyDescent="0.3"/>
  <sheetData>
    <row r="2" spans="4:27" x14ac:dyDescent="0.3">
      <c r="D2" s="1" t="s">
        <v>26</v>
      </c>
      <c r="E2" s="1"/>
      <c r="F2">
        <v>1445</v>
      </c>
      <c r="G2">
        <v>1451</v>
      </c>
      <c r="H2">
        <v>968</v>
      </c>
      <c r="I2">
        <v>844</v>
      </c>
      <c r="J2">
        <v>836</v>
      </c>
      <c r="K2">
        <v>767</v>
      </c>
      <c r="L2">
        <v>792</v>
      </c>
      <c r="M2">
        <v>933</v>
      </c>
      <c r="N2">
        <v>899</v>
      </c>
      <c r="O2">
        <v>308</v>
      </c>
      <c r="R2">
        <v>1445</v>
      </c>
      <c r="S2">
        <v>1451</v>
      </c>
      <c r="T2">
        <v>968</v>
      </c>
      <c r="U2">
        <v>844</v>
      </c>
      <c r="V2">
        <v>836</v>
      </c>
      <c r="W2">
        <v>767</v>
      </c>
      <c r="X2">
        <v>792</v>
      </c>
      <c r="Y2">
        <v>933</v>
      </c>
      <c r="Z2">
        <v>899</v>
      </c>
      <c r="AA2">
        <v>308</v>
      </c>
    </row>
    <row r="3" spans="4:27" x14ac:dyDescent="0.3">
      <c r="D3" s="2"/>
      <c r="E3" s="2"/>
      <c r="F3" s="3">
        <f>F5/F2</f>
        <v>1966.2975778546713</v>
      </c>
      <c r="G3" s="3">
        <f>G5/G2</f>
        <v>1900.5513439007582</v>
      </c>
      <c r="H3" s="3">
        <f>H5/H2</f>
        <v>1512.5</v>
      </c>
      <c r="I3" s="3">
        <f>I5/I2</f>
        <v>1979.739336492891</v>
      </c>
      <c r="J3" s="3">
        <f>J5/J2</f>
        <v>1569.7368421052631</v>
      </c>
      <c r="K3" s="3">
        <f>K5/K2</f>
        <v>1391.1342894393742</v>
      </c>
      <c r="L3" s="3">
        <f>L5/L2</f>
        <v>1461.1111111111111</v>
      </c>
      <c r="M3" s="3">
        <f>M5/M2</f>
        <v>1649.4105037513398</v>
      </c>
      <c r="N3" s="3">
        <f>N5/N2</f>
        <v>1903.8932146829811</v>
      </c>
      <c r="O3" s="3">
        <f>O5/O2</f>
        <v>2528.5714285714284</v>
      </c>
    </row>
    <row r="4" spans="4:27" x14ac:dyDescent="0.3">
      <c r="D4" t="s">
        <v>0</v>
      </c>
      <c r="E4" t="s">
        <v>1</v>
      </c>
      <c r="F4" s="4">
        <v>45864</v>
      </c>
      <c r="G4" s="4">
        <v>45865</v>
      </c>
      <c r="H4" s="4">
        <v>45866</v>
      </c>
      <c r="I4" s="4">
        <v>45867</v>
      </c>
      <c r="J4" s="4">
        <v>45868</v>
      </c>
      <c r="K4" s="4">
        <v>45869</v>
      </c>
      <c r="L4" s="4">
        <v>45870</v>
      </c>
      <c r="M4" s="4">
        <v>45871</v>
      </c>
      <c r="N4" s="4">
        <v>45872</v>
      </c>
      <c r="O4" s="4">
        <v>45873</v>
      </c>
    </row>
    <row r="5" spans="4:27" x14ac:dyDescent="0.3">
      <c r="D5" s="5" t="s">
        <v>2</v>
      </c>
      <c r="E5" s="5">
        <v>16299800</v>
      </c>
      <c r="F5" s="5">
        <v>2841300</v>
      </c>
      <c r="G5" s="5">
        <v>2757700</v>
      </c>
      <c r="H5" s="5">
        <v>1464100</v>
      </c>
      <c r="I5" s="5">
        <v>1670900</v>
      </c>
      <c r="J5" s="5">
        <v>1312300</v>
      </c>
      <c r="K5" s="5">
        <v>1067000</v>
      </c>
      <c r="L5" s="5">
        <v>1157200</v>
      </c>
      <c r="M5" s="5">
        <v>1538900</v>
      </c>
      <c r="N5" s="5">
        <v>1711600</v>
      </c>
      <c r="O5" s="5">
        <v>778800</v>
      </c>
      <c r="Q5" s="5" t="s">
        <v>2</v>
      </c>
      <c r="R5" s="3">
        <f>F5/F$2</f>
        <v>1966.2975778546713</v>
      </c>
      <c r="S5" s="3">
        <f>G5/G2</f>
        <v>1900.5513439007582</v>
      </c>
      <c r="T5" s="3">
        <f>H5/H2</f>
        <v>1512.5</v>
      </c>
      <c r="U5" s="3">
        <f>I5/I2</f>
        <v>1979.739336492891</v>
      </c>
      <c r="V5" s="3">
        <f>J5/J2</f>
        <v>1569.7368421052631</v>
      </c>
      <c r="W5" s="3">
        <f>K5/K2</f>
        <v>1391.1342894393742</v>
      </c>
      <c r="X5" s="3">
        <f>L5/L2</f>
        <v>1461.1111111111111</v>
      </c>
      <c r="Y5" s="3">
        <f>M5/M2</f>
        <v>1649.4105037513398</v>
      </c>
      <c r="Z5" s="3">
        <f>N5/N2</f>
        <v>1903.8932146829811</v>
      </c>
      <c r="AA5" s="3">
        <f>O5/O2</f>
        <v>2528.5714285714284</v>
      </c>
    </row>
    <row r="6" spans="4:27" x14ac:dyDescent="0.3">
      <c r="D6" s="5" t="s">
        <v>3</v>
      </c>
      <c r="E6" s="5">
        <v>10228900</v>
      </c>
      <c r="F6" s="5">
        <v>1662100</v>
      </c>
      <c r="G6" s="5">
        <v>1764400</v>
      </c>
      <c r="H6" s="5">
        <v>1012000</v>
      </c>
      <c r="I6" s="5">
        <v>658900</v>
      </c>
      <c r="J6" s="5">
        <v>1338700</v>
      </c>
      <c r="K6" s="5">
        <v>630300</v>
      </c>
      <c r="L6" s="5">
        <v>974600</v>
      </c>
      <c r="M6" s="5">
        <v>830500</v>
      </c>
      <c r="N6" s="5">
        <v>1038400</v>
      </c>
      <c r="O6" s="5">
        <v>319000</v>
      </c>
      <c r="Q6" s="5" t="s">
        <v>3</v>
      </c>
      <c r="R6" s="3">
        <f>F6/F$2</f>
        <v>1150.2422145328719</v>
      </c>
      <c r="S6" s="3">
        <f>G6/G$2</f>
        <v>1215.9889731219848</v>
      </c>
      <c r="T6" s="3">
        <f>H6/H$2</f>
        <v>1045.4545454545455</v>
      </c>
      <c r="U6" s="3">
        <f>I6/I$2</f>
        <v>780.68720379146919</v>
      </c>
      <c r="V6" s="3">
        <f>J6/J$2</f>
        <v>1601.3157894736842</v>
      </c>
      <c r="W6" s="3">
        <f>K6/K$2</f>
        <v>821.77314211212513</v>
      </c>
      <c r="X6" s="3">
        <f>L6/L$2</f>
        <v>1230.5555555555557</v>
      </c>
      <c r="Y6" s="3">
        <f>M6/M$2</f>
        <v>890.13933547695603</v>
      </c>
      <c r="Z6" s="3">
        <f>N6/N$2</f>
        <v>1155.0611790878754</v>
      </c>
      <c r="AA6" s="3">
        <f>O6/O$2</f>
        <v>1035.7142857142858</v>
      </c>
    </row>
    <row r="7" spans="4:27" x14ac:dyDescent="0.3">
      <c r="D7" s="5" t="s">
        <v>4</v>
      </c>
      <c r="E7" s="5">
        <v>8554700</v>
      </c>
      <c r="F7" s="5">
        <v>976800</v>
      </c>
      <c r="G7" s="5">
        <v>1025200</v>
      </c>
      <c r="H7" s="5">
        <v>1205600</v>
      </c>
      <c r="I7" s="5">
        <v>503800</v>
      </c>
      <c r="J7" s="5">
        <v>1105500</v>
      </c>
      <c r="K7" s="5">
        <v>815100</v>
      </c>
      <c r="L7" s="5">
        <v>921800</v>
      </c>
      <c r="M7" s="5">
        <v>777700</v>
      </c>
      <c r="N7" s="5">
        <v>973500</v>
      </c>
      <c r="O7" s="5">
        <v>249700</v>
      </c>
      <c r="Q7" s="5" t="s">
        <v>4</v>
      </c>
      <c r="R7" s="3">
        <f>F7/F$2</f>
        <v>675.98615916955021</v>
      </c>
      <c r="S7" s="3">
        <f>G7/G$2</f>
        <v>706.54720882150241</v>
      </c>
      <c r="T7" s="3">
        <f>H7/H$2</f>
        <v>1245.4545454545455</v>
      </c>
      <c r="U7" s="3">
        <f>I7/I$2</f>
        <v>596.91943127962088</v>
      </c>
      <c r="V7" s="3">
        <f>J7/J$2</f>
        <v>1322.3684210526317</v>
      </c>
      <c r="W7" s="3">
        <f>K7/K$2</f>
        <v>1062.7118644067796</v>
      </c>
      <c r="X7" s="3">
        <f>L7/L$2</f>
        <v>1163.8888888888889</v>
      </c>
      <c r="Y7" s="3">
        <f>M7/M$2</f>
        <v>833.54769560557338</v>
      </c>
      <c r="Z7" s="3">
        <f>N7/N$2</f>
        <v>1082.8698553948832</v>
      </c>
      <c r="AA7" s="3">
        <f>O7/O$2</f>
        <v>810.71428571428567</v>
      </c>
    </row>
    <row r="8" spans="4:27" x14ac:dyDescent="0.3">
      <c r="D8" s="5" t="s">
        <v>5</v>
      </c>
      <c r="E8" s="5">
        <v>6316200</v>
      </c>
      <c r="F8" s="5">
        <v>732600</v>
      </c>
      <c r="G8" s="5">
        <v>776600</v>
      </c>
      <c r="H8" s="5">
        <v>313500</v>
      </c>
      <c r="I8" s="5">
        <v>899800</v>
      </c>
      <c r="J8" s="5">
        <v>994400</v>
      </c>
      <c r="K8" s="5">
        <v>342100</v>
      </c>
      <c r="L8" s="5">
        <v>768900</v>
      </c>
      <c r="M8" s="5">
        <v>522500</v>
      </c>
      <c r="N8" s="5">
        <v>674300</v>
      </c>
      <c r="O8" s="5">
        <v>291500</v>
      </c>
      <c r="Q8" s="5" t="s">
        <v>5</v>
      </c>
      <c r="R8" s="3">
        <f>F8/F$2</f>
        <v>506.98961937716263</v>
      </c>
      <c r="S8" s="3">
        <f>G8/G$2</f>
        <v>535.21709166092353</v>
      </c>
      <c r="T8" s="3">
        <f>H8/H$2</f>
        <v>323.86363636363637</v>
      </c>
      <c r="U8" s="3">
        <f>I8/I$2</f>
        <v>1066.1137440758293</v>
      </c>
      <c r="V8" s="3">
        <f>J8/J$2</f>
        <v>1189.4736842105262</v>
      </c>
      <c r="W8" s="3">
        <f>K8/K$2</f>
        <v>446.02346805736636</v>
      </c>
      <c r="X8" s="3">
        <f>L8/L$2</f>
        <v>970.83333333333337</v>
      </c>
      <c r="Y8" s="3">
        <f>M8/M$2</f>
        <v>560.02143622722406</v>
      </c>
      <c r="Z8" s="3">
        <f>N8/N$2</f>
        <v>750.05561735261404</v>
      </c>
      <c r="AA8" s="3">
        <f>O8/O$2</f>
        <v>946.42857142857144</v>
      </c>
    </row>
    <row r="9" spans="4:27" x14ac:dyDescent="0.3">
      <c r="D9" s="6" t="s">
        <v>6</v>
      </c>
      <c r="E9" s="6">
        <v>10241000</v>
      </c>
      <c r="F9" s="6">
        <v>1116500</v>
      </c>
      <c r="G9" s="6">
        <v>910800</v>
      </c>
      <c r="H9" s="6">
        <v>2036100</v>
      </c>
      <c r="I9" s="6">
        <v>1337600</v>
      </c>
      <c r="J9" s="6">
        <v>855800</v>
      </c>
      <c r="K9" s="6">
        <v>816200</v>
      </c>
      <c r="L9" s="6">
        <v>1570800</v>
      </c>
      <c r="M9" s="6">
        <v>607200</v>
      </c>
      <c r="N9" s="6">
        <v>807400</v>
      </c>
      <c r="O9" s="6">
        <v>182600</v>
      </c>
      <c r="Q9" s="6" t="s">
        <v>6</v>
      </c>
      <c r="R9" s="3">
        <f>F9/F$2</f>
        <v>772.66435986159172</v>
      </c>
      <c r="S9" s="3">
        <f>G9/G$2</f>
        <v>627.70503101309441</v>
      </c>
      <c r="T9" s="3">
        <f>H9/H$2</f>
        <v>2103.409090909091</v>
      </c>
      <c r="U9" s="3">
        <f>I9/I$2</f>
        <v>1584.8341232227488</v>
      </c>
      <c r="V9" s="3">
        <f>J9/J$2</f>
        <v>1023.6842105263158</v>
      </c>
      <c r="W9" s="3">
        <f>K9/K$2</f>
        <v>1064.1460234680574</v>
      </c>
      <c r="X9" s="3">
        <f>L9/L$2</f>
        <v>1983.3333333333333</v>
      </c>
      <c r="Y9" s="3">
        <f>M9/M$2</f>
        <v>650.80385852090035</v>
      </c>
      <c r="Z9" s="3">
        <f>N9/N$2</f>
        <v>898.10901001112347</v>
      </c>
      <c r="AA9" s="3">
        <f>O9/O$2</f>
        <v>592.85714285714289</v>
      </c>
    </row>
    <row r="10" spans="4:27" x14ac:dyDescent="0.3">
      <c r="D10" s="6" t="s">
        <v>7</v>
      </c>
      <c r="E10" s="6">
        <v>17150100</v>
      </c>
      <c r="F10" s="6">
        <v>3129500</v>
      </c>
      <c r="G10" s="6">
        <v>2171400</v>
      </c>
      <c r="H10" s="6">
        <v>1952500</v>
      </c>
      <c r="I10" s="6">
        <v>1296900</v>
      </c>
      <c r="J10" s="6">
        <v>1324400</v>
      </c>
      <c r="K10" s="6">
        <v>1642300</v>
      </c>
      <c r="L10" s="6">
        <v>1939300</v>
      </c>
      <c r="M10" s="6">
        <v>2030600</v>
      </c>
      <c r="N10" s="6">
        <v>1445400</v>
      </c>
      <c r="O10" s="6">
        <v>217800</v>
      </c>
      <c r="Q10" s="6" t="s">
        <v>7</v>
      </c>
      <c r="R10" s="3">
        <f>F10/F$2</f>
        <v>2165.7439446366784</v>
      </c>
      <c r="S10" s="3">
        <f>G10/G$2</f>
        <v>1496.4851826326671</v>
      </c>
      <c r="T10" s="3">
        <f>H10/H$2</f>
        <v>2017.0454545454545</v>
      </c>
      <c r="U10" s="3">
        <f>I10/I$2</f>
        <v>1536.6113744075828</v>
      </c>
      <c r="V10" s="3">
        <f>J10/J$2</f>
        <v>1584.2105263157894</v>
      </c>
      <c r="W10" s="3">
        <f>K10/K$2</f>
        <v>2141.1994784876142</v>
      </c>
      <c r="X10" s="3">
        <f>L10/L$2</f>
        <v>2448.6111111111113</v>
      </c>
      <c r="Y10" s="3">
        <f>M10/M$2</f>
        <v>2176.4201500535905</v>
      </c>
      <c r="Z10" s="3">
        <f>N10/N$2</f>
        <v>1607.7864293659622</v>
      </c>
      <c r="AA10" s="3">
        <f>O10/O$2</f>
        <v>707.14285714285711</v>
      </c>
    </row>
    <row r="11" spans="4:27" x14ac:dyDescent="0.3">
      <c r="D11" s="5" t="s">
        <v>8</v>
      </c>
      <c r="E11" s="5">
        <v>9323600</v>
      </c>
      <c r="F11" s="5">
        <v>924000</v>
      </c>
      <c r="G11" s="5">
        <v>995500</v>
      </c>
      <c r="H11" s="5">
        <v>1563100</v>
      </c>
      <c r="I11" s="5">
        <v>963600</v>
      </c>
      <c r="J11" s="5">
        <v>288200</v>
      </c>
      <c r="K11" s="5">
        <v>961400</v>
      </c>
      <c r="L11" s="5">
        <v>1381600</v>
      </c>
      <c r="M11" s="5">
        <v>713900</v>
      </c>
      <c r="N11" s="5">
        <v>1194600</v>
      </c>
      <c r="O11" s="5">
        <v>337700</v>
      </c>
      <c r="Q11" s="5" t="s">
        <v>8</v>
      </c>
      <c r="R11" s="3">
        <f>F11/F$2</f>
        <v>639.44636678200698</v>
      </c>
      <c r="S11" s="3">
        <f>G11/G$2</f>
        <v>686.07856650585802</v>
      </c>
      <c r="T11" s="3">
        <f>H11/H$2</f>
        <v>1614.7727272727273</v>
      </c>
      <c r="U11" s="3">
        <f>I11/I$2</f>
        <v>1141.7061611374409</v>
      </c>
      <c r="V11" s="3">
        <f>J11/J$2</f>
        <v>344.73684210526318</v>
      </c>
      <c r="W11" s="3">
        <f>K11/K$2</f>
        <v>1253.4550195567144</v>
      </c>
      <c r="X11" s="3">
        <f>L11/L$2</f>
        <v>1744.4444444444443</v>
      </c>
      <c r="Y11" s="3">
        <f>M11/M$2</f>
        <v>765.16613076098611</v>
      </c>
      <c r="Z11" s="3">
        <f>N11/N$2</f>
        <v>1328.80978865406</v>
      </c>
      <c r="AA11" s="3">
        <f>O11/O$2</f>
        <v>1096.4285714285713</v>
      </c>
    </row>
    <row r="12" spans="4:27" x14ac:dyDescent="0.3">
      <c r="D12" s="5" t="s">
        <v>9</v>
      </c>
      <c r="E12" s="5">
        <v>9204800</v>
      </c>
      <c r="F12" s="5">
        <v>1166000</v>
      </c>
      <c r="G12" s="5">
        <v>601700</v>
      </c>
      <c r="H12" s="5">
        <v>550000</v>
      </c>
      <c r="I12" s="5">
        <v>550000</v>
      </c>
      <c r="J12" s="5">
        <v>754600</v>
      </c>
      <c r="K12" s="5">
        <v>1551000</v>
      </c>
      <c r="L12" s="5">
        <v>1856800</v>
      </c>
      <c r="M12" s="5">
        <v>1227600</v>
      </c>
      <c r="N12" s="5">
        <v>739200</v>
      </c>
      <c r="O12" s="5">
        <v>207900</v>
      </c>
      <c r="Q12" s="5" t="s">
        <v>9</v>
      </c>
      <c r="R12" s="3">
        <f>F12/F$2</f>
        <v>806.92041522491354</v>
      </c>
      <c r="S12" s="3">
        <f>G12/G$2</f>
        <v>414.67953135768437</v>
      </c>
      <c r="T12" s="3">
        <f>H12/H$2</f>
        <v>568.18181818181813</v>
      </c>
      <c r="U12" s="3">
        <f>I12/I$2</f>
        <v>651.65876777251185</v>
      </c>
      <c r="V12" s="3">
        <f>J12/J$2</f>
        <v>902.63157894736844</v>
      </c>
      <c r="W12" s="3">
        <f>K12/K$2</f>
        <v>2022.1642764015646</v>
      </c>
      <c r="X12" s="3">
        <f>L12/L$2</f>
        <v>2344.4444444444443</v>
      </c>
      <c r="Y12" s="3">
        <f>M12/M$2</f>
        <v>1315.7556270096463</v>
      </c>
      <c r="Z12" s="3">
        <f>N12/N$2</f>
        <v>822.24694104560626</v>
      </c>
      <c r="AA12" s="3">
        <f>O12/O$2</f>
        <v>675</v>
      </c>
    </row>
    <row r="13" spans="4:27" x14ac:dyDescent="0.3">
      <c r="D13" s="5" t="s">
        <v>10</v>
      </c>
      <c r="E13" s="5">
        <v>7304000</v>
      </c>
      <c r="F13" s="5">
        <v>1612600</v>
      </c>
      <c r="G13" s="5">
        <v>352000</v>
      </c>
      <c r="H13" s="5">
        <v>1315600</v>
      </c>
      <c r="I13" s="5">
        <v>418000</v>
      </c>
      <c r="J13" s="5">
        <v>376200</v>
      </c>
      <c r="K13" s="5">
        <v>1144000</v>
      </c>
      <c r="L13" s="5">
        <v>1160500</v>
      </c>
      <c r="M13" s="5">
        <v>385000</v>
      </c>
      <c r="N13" s="5">
        <v>408100</v>
      </c>
      <c r="O13" s="5">
        <v>132000</v>
      </c>
      <c r="Q13" s="5" t="s">
        <v>10</v>
      </c>
      <c r="R13" s="3">
        <f>F13/F$2</f>
        <v>1115.9861591695501</v>
      </c>
      <c r="S13" s="3">
        <f>G13/G$2</f>
        <v>242.59131633356307</v>
      </c>
      <c r="T13" s="3">
        <f>H13/H$2</f>
        <v>1359.090909090909</v>
      </c>
      <c r="U13" s="3">
        <f>I13/I$2</f>
        <v>495.26066350710903</v>
      </c>
      <c r="V13" s="3">
        <f>J13/J$2</f>
        <v>450</v>
      </c>
      <c r="W13" s="3">
        <f>K13/K$2</f>
        <v>1491.5254237288136</v>
      </c>
      <c r="X13" s="3">
        <f>L13/L$2</f>
        <v>1465.2777777777778</v>
      </c>
      <c r="Y13" s="3">
        <f>M13/M$2</f>
        <v>412.64737406216506</v>
      </c>
      <c r="Z13" s="3">
        <f>N13/N$2</f>
        <v>453.9488320355951</v>
      </c>
      <c r="AA13" s="3">
        <f>O13/O$2</f>
        <v>428.57142857142856</v>
      </c>
    </row>
    <row r="14" spans="4:27" x14ac:dyDescent="0.3">
      <c r="D14" s="5" t="s">
        <v>11</v>
      </c>
      <c r="E14" s="5">
        <v>8473300</v>
      </c>
      <c r="F14" s="5">
        <v>803000</v>
      </c>
      <c r="G14" s="5">
        <v>1485000</v>
      </c>
      <c r="H14" s="5">
        <v>1384900</v>
      </c>
      <c r="I14" s="5">
        <v>589600</v>
      </c>
      <c r="J14" s="5">
        <v>231000</v>
      </c>
      <c r="K14" s="5">
        <v>1430000</v>
      </c>
      <c r="L14" s="5">
        <v>545600</v>
      </c>
      <c r="M14" s="5">
        <v>705100</v>
      </c>
      <c r="N14" s="5">
        <v>647900</v>
      </c>
      <c r="O14" s="5">
        <v>651200</v>
      </c>
      <c r="Q14" s="5" t="s">
        <v>11</v>
      </c>
      <c r="R14" s="3">
        <f>F14/F$2</f>
        <v>555.70934256055364</v>
      </c>
      <c r="S14" s="3">
        <f>G14/G$2</f>
        <v>1023.4321157822192</v>
      </c>
      <c r="T14" s="3">
        <f>H14/H$2</f>
        <v>1430.6818181818182</v>
      </c>
      <c r="U14" s="3">
        <f>I14/I$2</f>
        <v>698.57819905213273</v>
      </c>
      <c r="V14" s="3">
        <f>J14/J$2</f>
        <v>276.31578947368422</v>
      </c>
      <c r="W14" s="3">
        <f>K14/K$2</f>
        <v>1864.406779661017</v>
      </c>
      <c r="X14" s="3">
        <f>L14/L$2</f>
        <v>688.88888888888891</v>
      </c>
      <c r="Y14" s="3">
        <f>M14/M$2</f>
        <v>755.73419078242227</v>
      </c>
      <c r="Z14" s="3">
        <f>N14/N$2</f>
        <v>720.68965517241384</v>
      </c>
      <c r="AA14" s="3">
        <f>O14/O$2</f>
        <v>2114.2857142857142</v>
      </c>
    </row>
    <row r="15" spans="4:27" x14ac:dyDescent="0.3">
      <c r="D15" s="5" t="s">
        <v>12</v>
      </c>
      <c r="E15" s="5">
        <v>3017300</v>
      </c>
      <c r="F15" s="5">
        <v>220000</v>
      </c>
      <c r="G15" s="5">
        <v>814000</v>
      </c>
      <c r="H15" s="5">
        <v>238700</v>
      </c>
      <c r="I15" s="5">
        <v>501600</v>
      </c>
      <c r="J15" s="5">
        <v>341000</v>
      </c>
      <c r="K15" s="5">
        <v>319000</v>
      </c>
      <c r="L15" s="5">
        <v>0</v>
      </c>
      <c r="M15" s="5">
        <v>143000</v>
      </c>
      <c r="N15" s="5">
        <v>275000</v>
      </c>
      <c r="O15" s="5">
        <v>165000</v>
      </c>
      <c r="Q15" s="5" t="s">
        <v>12</v>
      </c>
      <c r="R15" s="3">
        <f>F15/F$2</f>
        <v>152.24913494809689</v>
      </c>
      <c r="S15" s="3">
        <f>G15/G$2</f>
        <v>560.99241902136453</v>
      </c>
      <c r="T15" s="3">
        <f>H15/H$2</f>
        <v>246.59090909090909</v>
      </c>
      <c r="U15" s="3">
        <f>I15/I$2</f>
        <v>594.31279620853081</v>
      </c>
      <c r="V15" s="3">
        <f>J15/J$2</f>
        <v>407.89473684210526</v>
      </c>
      <c r="W15" s="3">
        <f>K15/K$2</f>
        <v>415.90612777053457</v>
      </c>
      <c r="X15" s="3">
        <f>L15/L$2</f>
        <v>0</v>
      </c>
      <c r="Y15" s="3">
        <f>M15/M$2</f>
        <v>153.26902465166131</v>
      </c>
      <c r="Z15" s="3">
        <f>N15/N$2</f>
        <v>305.89543937708567</v>
      </c>
      <c r="AA15" s="3">
        <f>O15/O$2</f>
        <v>535.71428571428567</v>
      </c>
    </row>
    <row r="16" spans="4:27" x14ac:dyDescent="0.3">
      <c r="D16" s="5" t="s">
        <v>13</v>
      </c>
      <c r="E16" s="5">
        <v>4131600</v>
      </c>
      <c r="F16" s="5">
        <v>1382700</v>
      </c>
      <c r="G16" s="5">
        <v>253000</v>
      </c>
      <c r="H16" s="5">
        <v>231000</v>
      </c>
      <c r="I16" s="5">
        <v>385000</v>
      </c>
      <c r="J16" s="5">
        <v>880000</v>
      </c>
      <c r="K16" s="5">
        <v>245300</v>
      </c>
      <c r="L16" s="5">
        <v>352000</v>
      </c>
      <c r="M16" s="5">
        <v>66000</v>
      </c>
      <c r="N16" s="5">
        <v>220000</v>
      </c>
      <c r="O16" s="5">
        <v>116600</v>
      </c>
      <c r="Q16" s="5" t="s">
        <v>13</v>
      </c>
      <c r="R16" s="3">
        <f>F16/F$2</f>
        <v>956.88581314878888</v>
      </c>
      <c r="S16" s="3">
        <f>G16/G$2</f>
        <v>174.36250861474844</v>
      </c>
      <c r="T16" s="3">
        <f>H16/H$2</f>
        <v>238.63636363636363</v>
      </c>
      <c r="U16" s="3">
        <f>I16/I$2</f>
        <v>456.1611374407583</v>
      </c>
      <c r="V16" s="3">
        <f>J16/J$2</f>
        <v>1052.6315789473683</v>
      </c>
      <c r="W16" s="3">
        <f>K16/K$2</f>
        <v>319.81747066492829</v>
      </c>
      <c r="X16" s="3">
        <f>L16/L$2</f>
        <v>444.44444444444446</v>
      </c>
      <c r="Y16" s="3">
        <f>M16/M$2</f>
        <v>70.739549839228289</v>
      </c>
      <c r="Z16" s="3">
        <f>N16/N$2</f>
        <v>244.71635150166853</v>
      </c>
      <c r="AA16" s="3">
        <f>O16/O$2</f>
        <v>378.57142857142856</v>
      </c>
    </row>
    <row r="17" spans="4:27" x14ac:dyDescent="0.3">
      <c r="D17" s="5" t="s">
        <v>14</v>
      </c>
      <c r="E17" s="5">
        <v>2103200</v>
      </c>
      <c r="F17" s="5">
        <v>1117600</v>
      </c>
      <c r="G17" s="5">
        <v>28600</v>
      </c>
      <c r="H17" s="5">
        <v>11000</v>
      </c>
      <c r="I17" s="5">
        <v>220000</v>
      </c>
      <c r="J17" s="5">
        <v>55000</v>
      </c>
      <c r="K17" s="5">
        <v>110000</v>
      </c>
      <c r="L17" s="5">
        <v>0</v>
      </c>
      <c r="M17" s="5">
        <v>0</v>
      </c>
      <c r="N17" s="5">
        <v>418000</v>
      </c>
      <c r="O17" s="5">
        <v>143000</v>
      </c>
      <c r="Q17" s="5" t="s">
        <v>14</v>
      </c>
      <c r="R17" s="3">
        <f>F17/F$2</f>
        <v>773.42560553633223</v>
      </c>
      <c r="S17" s="3">
        <f>G17/G$2</f>
        <v>19.710544452101999</v>
      </c>
      <c r="T17" s="3">
        <f>H17/H$2</f>
        <v>11.363636363636363</v>
      </c>
      <c r="U17" s="3">
        <f>I17/I$2</f>
        <v>260.66350710900474</v>
      </c>
      <c r="V17" s="3">
        <f>J17/J$2</f>
        <v>65.78947368421052</v>
      </c>
      <c r="W17" s="3">
        <f>K17/K$2</f>
        <v>143.41590612777054</v>
      </c>
      <c r="X17" s="3">
        <f>L17/L$2</f>
        <v>0</v>
      </c>
      <c r="Y17" s="3">
        <f>M17/M$2</f>
        <v>0</v>
      </c>
      <c r="Z17" s="3">
        <f>N17/N$2</f>
        <v>464.96106785317016</v>
      </c>
      <c r="AA17" s="3">
        <f>O17/O$2</f>
        <v>464.28571428571428</v>
      </c>
    </row>
    <row r="18" spans="4:27" x14ac:dyDescent="0.3">
      <c r="D18" s="5" t="s">
        <v>15</v>
      </c>
      <c r="E18" s="5">
        <v>1177000</v>
      </c>
      <c r="F18" s="5">
        <v>0</v>
      </c>
      <c r="G18" s="5">
        <v>220000</v>
      </c>
      <c r="H18" s="5">
        <v>770000</v>
      </c>
      <c r="I18" s="5">
        <v>0</v>
      </c>
      <c r="J18" s="5">
        <v>22000</v>
      </c>
      <c r="K18" s="5">
        <v>0</v>
      </c>
      <c r="L18" s="5">
        <v>0</v>
      </c>
      <c r="M18" s="5">
        <v>0</v>
      </c>
      <c r="N18" s="5">
        <v>0</v>
      </c>
      <c r="O18" s="5">
        <v>165000</v>
      </c>
      <c r="Q18" s="5" t="s">
        <v>15</v>
      </c>
      <c r="R18" s="3">
        <f>F18/F$2</f>
        <v>0</v>
      </c>
      <c r="S18" s="3">
        <f>G18/G$2</f>
        <v>151.61957270847691</v>
      </c>
      <c r="T18" s="3">
        <f>H18/H$2</f>
        <v>795.4545454545455</v>
      </c>
      <c r="U18" s="3">
        <f>I18/I$2</f>
        <v>0</v>
      </c>
      <c r="V18" s="3">
        <f>J18/J$2</f>
        <v>26.315789473684209</v>
      </c>
      <c r="W18" s="3">
        <f>K18/K$2</f>
        <v>0</v>
      </c>
      <c r="X18" s="3">
        <f>L18/L$2</f>
        <v>0</v>
      </c>
      <c r="Y18" s="3">
        <f>M18/M$2</f>
        <v>0</v>
      </c>
      <c r="Z18" s="3">
        <f>N18/N$2</f>
        <v>0</v>
      </c>
      <c r="AA18" s="3">
        <f>O18/O$2</f>
        <v>535.71428571428567</v>
      </c>
    </row>
    <row r="19" spans="4:27" x14ac:dyDescent="0.3">
      <c r="D19" t="s">
        <v>16</v>
      </c>
      <c r="E19" s="5">
        <v>1375000</v>
      </c>
      <c r="F19" s="5">
        <v>0</v>
      </c>
      <c r="G19" s="5">
        <v>0</v>
      </c>
      <c r="H19" s="5">
        <v>1100000</v>
      </c>
      <c r="I19" s="5">
        <v>0</v>
      </c>
      <c r="J19" s="5">
        <v>143000</v>
      </c>
      <c r="K19" s="5">
        <v>33000</v>
      </c>
      <c r="L19" s="5">
        <v>88000</v>
      </c>
      <c r="M19" s="5">
        <v>0</v>
      </c>
      <c r="N19" s="5">
        <v>11000</v>
      </c>
      <c r="O19" s="5">
        <v>0</v>
      </c>
      <c r="Q19" t="s">
        <v>16</v>
      </c>
      <c r="R19" s="3">
        <f>F19/F$2</f>
        <v>0</v>
      </c>
      <c r="S19" s="3">
        <f>G19/G$2</f>
        <v>0</v>
      </c>
      <c r="T19" s="3">
        <f>H19/H$2</f>
        <v>1136.3636363636363</v>
      </c>
      <c r="U19" s="3">
        <f>I19/I$2</f>
        <v>0</v>
      </c>
      <c r="V19" s="3">
        <f>J19/J$2</f>
        <v>171.05263157894737</v>
      </c>
      <c r="W19" s="3">
        <f>K19/K$2</f>
        <v>43.024771838331162</v>
      </c>
      <c r="X19" s="3">
        <f>L19/L$2</f>
        <v>111.11111111111111</v>
      </c>
      <c r="Y19" s="3">
        <f>M19/M$2</f>
        <v>0</v>
      </c>
      <c r="Z19" s="3">
        <f>N19/N$2</f>
        <v>12.235817575083425</v>
      </c>
      <c r="AA19" s="3">
        <f>O19/O$2</f>
        <v>0</v>
      </c>
    </row>
    <row r="20" spans="4:27" x14ac:dyDescent="0.3">
      <c r="D20" t="s">
        <v>17</v>
      </c>
      <c r="E20" s="5">
        <v>662200</v>
      </c>
      <c r="F20" s="5">
        <v>1100</v>
      </c>
      <c r="G20" s="5">
        <v>0</v>
      </c>
      <c r="H20" s="5">
        <v>0</v>
      </c>
      <c r="I20" s="5">
        <v>110000</v>
      </c>
      <c r="J20" s="5">
        <v>0</v>
      </c>
      <c r="K20" s="5">
        <v>110000</v>
      </c>
      <c r="L20" s="5">
        <v>221100</v>
      </c>
      <c r="M20" s="5">
        <v>0</v>
      </c>
      <c r="N20" s="5">
        <v>110000</v>
      </c>
      <c r="O20" s="5">
        <v>110000</v>
      </c>
      <c r="Q20" t="s">
        <v>17</v>
      </c>
      <c r="R20" s="3">
        <f>F20/F$2</f>
        <v>0.76124567474048443</v>
      </c>
      <c r="S20" s="3">
        <f>G20/G$2</f>
        <v>0</v>
      </c>
      <c r="T20" s="3">
        <f>H20/H$2</f>
        <v>0</v>
      </c>
      <c r="U20" s="3">
        <f>I20/I$2</f>
        <v>130.33175355450237</v>
      </c>
      <c r="V20" s="3">
        <f>J20/J$2</f>
        <v>0</v>
      </c>
      <c r="W20" s="3">
        <f>K20/K$2</f>
        <v>143.41590612777054</v>
      </c>
      <c r="X20" s="3">
        <f>L20/L$2</f>
        <v>279.16666666666669</v>
      </c>
      <c r="Y20" s="3">
        <f>M20/M$2</f>
        <v>0</v>
      </c>
      <c r="Z20" s="3">
        <f>N20/N$2</f>
        <v>122.35817575083426</v>
      </c>
      <c r="AA20" s="3">
        <f>O20/O$2</f>
        <v>357.14285714285717</v>
      </c>
    </row>
    <row r="21" spans="4:27" x14ac:dyDescent="0.3">
      <c r="D21" s="5" t="s">
        <v>18</v>
      </c>
      <c r="E21" s="5">
        <v>454300</v>
      </c>
      <c r="F21" s="5">
        <v>1100</v>
      </c>
      <c r="G21" s="5">
        <v>1100</v>
      </c>
      <c r="H21" s="5">
        <v>0</v>
      </c>
      <c r="I21" s="5">
        <v>0</v>
      </c>
      <c r="J21" s="5">
        <v>0</v>
      </c>
      <c r="K21" s="5">
        <v>0</v>
      </c>
      <c r="L21" s="5">
        <v>440000</v>
      </c>
      <c r="M21" s="5">
        <v>0</v>
      </c>
      <c r="N21" s="5">
        <v>0</v>
      </c>
      <c r="O21" s="5">
        <v>12100</v>
      </c>
      <c r="Q21" s="5" t="s">
        <v>18</v>
      </c>
      <c r="R21" s="3">
        <f>F21/F$2</f>
        <v>0.76124567474048443</v>
      </c>
      <c r="S21" s="3">
        <f>G21/G$2</f>
        <v>0.75809786354238451</v>
      </c>
      <c r="T21" s="3">
        <f>H21/H$2</f>
        <v>0</v>
      </c>
      <c r="U21" s="3">
        <f>I21/I$2</f>
        <v>0</v>
      </c>
      <c r="V21" s="3">
        <f>J21/J$2</f>
        <v>0</v>
      </c>
      <c r="W21" s="3">
        <f>K21/K$2</f>
        <v>0</v>
      </c>
      <c r="X21" s="3">
        <f>L21/L$2</f>
        <v>555.55555555555554</v>
      </c>
      <c r="Y21" s="3">
        <f>M21/M$2</f>
        <v>0</v>
      </c>
      <c r="Z21" s="3">
        <f>N21/N$2</f>
        <v>0</v>
      </c>
      <c r="AA21" s="3">
        <f>O21/O$2</f>
        <v>39.285714285714285</v>
      </c>
    </row>
    <row r="22" spans="4:27" x14ac:dyDescent="0.3">
      <c r="D22" s="5" t="s">
        <v>19</v>
      </c>
      <c r="E22" s="5">
        <v>111100</v>
      </c>
      <c r="F22" s="5">
        <v>1100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110000</v>
      </c>
      <c r="O22" s="5">
        <v>0</v>
      </c>
      <c r="Q22" s="5" t="s">
        <v>19</v>
      </c>
      <c r="R22" s="3">
        <f>F22/F$2</f>
        <v>0.76124567474048443</v>
      </c>
      <c r="S22" s="3">
        <f>G22/G$2</f>
        <v>0</v>
      </c>
      <c r="T22" s="3">
        <f>H22/H$2</f>
        <v>0</v>
      </c>
      <c r="U22" s="3">
        <f>I22/I$2</f>
        <v>0</v>
      </c>
      <c r="V22" s="3">
        <f>J22/J$2</f>
        <v>0</v>
      </c>
      <c r="W22" s="3">
        <f>K22/K$2</f>
        <v>0</v>
      </c>
      <c r="X22" s="3">
        <f>L22/L$2</f>
        <v>0</v>
      </c>
      <c r="Y22" s="3">
        <f>M22/M$2</f>
        <v>0</v>
      </c>
      <c r="Z22" s="3">
        <f>N22/N$2</f>
        <v>122.35817575083426</v>
      </c>
      <c r="AA22" s="3">
        <f>O22/O$2</f>
        <v>0</v>
      </c>
    </row>
    <row r="23" spans="4:27" x14ac:dyDescent="0.3">
      <c r="D23" t="s">
        <v>20</v>
      </c>
      <c r="E23" s="5">
        <v>36300</v>
      </c>
      <c r="F23" s="5">
        <v>36300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Q23" t="s">
        <v>20</v>
      </c>
      <c r="R23" s="3">
        <f>F23/F$2</f>
        <v>25.121107266435985</v>
      </c>
      <c r="S23" s="3">
        <f>G23/G$2</f>
        <v>0</v>
      </c>
      <c r="T23" s="3">
        <f>H23/H$2</f>
        <v>0</v>
      </c>
      <c r="U23" s="3">
        <f>I23/I$2</f>
        <v>0</v>
      </c>
      <c r="V23" s="3">
        <f>J23/J$2</f>
        <v>0</v>
      </c>
      <c r="W23" s="3">
        <f>K23/K$2</f>
        <v>0</v>
      </c>
      <c r="X23" s="3">
        <f>L23/L$2</f>
        <v>0</v>
      </c>
      <c r="Y23" s="3">
        <f>M23/M$2</f>
        <v>0</v>
      </c>
      <c r="Z23" s="3">
        <f>N23/N$2</f>
        <v>0</v>
      </c>
      <c r="AA23" s="3">
        <f>O23/O$2</f>
        <v>0</v>
      </c>
    </row>
    <row r="24" spans="4:27" x14ac:dyDescent="0.3">
      <c r="D24" t="s">
        <v>21</v>
      </c>
      <c r="E24" s="5">
        <v>24200</v>
      </c>
      <c r="F24" s="5">
        <v>17600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6600</v>
      </c>
      <c r="N24" s="5">
        <v>0</v>
      </c>
      <c r="O24" s="5">
        <v>0</v>
      </c>
      <c r="Q24" t="s">
        <v>21</v>
      </c>
      <c r="R24" s="3">
        <f>F24/F$2</f>
        <v>12.179930795847751</v>
      </c>
      <c r="S24" s="3">
        <f>G24/G$2</f>
        <v>0</v>
      </c>
      <c r="T24" s="3">
        <f>H24/H$2</f>
        <v>0</v>
      </c>
      <c r="U24" s="3">
        <f>I24/I$2</f>
        <v>0</v>
      </c>
      <c r="V24" s="3">
        <f>J24/J$2</f>
        <v>0</v>
      </c>
      <c r="W24" s="3">
        <f>K24/K$2</f>
        <v>0</v>
      </c>
      <c r="X24" s="3">
        <f>L24/L$2</f>
        <v>0</v>
      </c>
      <c r="Y24" s="3">
        <f>M24/M$2</f>
        <v>7.07395498392283</v>
      </c>
      <c r="Z24" s="3">
        <f>N24/N$2</f>
        <v>0</v>
      </c>
      <c r="AA24" s="3">
        <f>O24/O$2</f>
        <v>0</v>
      </c>
    </row>
    <row r="25" spans="4:27" x14ac:dyDescent="0.3">
      <c r="D25" s="5" t="s">
        <v>22</v>
      </c>
      <c r="E25" s="5">
        <v>99000</v>
      </c>
      <c r="F25" s="5">
        <v>0</v>
      </c>
      <c r="G25" s="5">
        <v>0</v>
      </c>
      <c r="H25" s="5">
        <v>0</v>
      </c>
      <c r="I25" s="5">
        <v>0</v>
      </c>
      <c r="J25" s="5">
        <v>33000</v>
      </c>
      <c r="K25" s="5">
        <v>33000</v>
      </c>
      <c r="L25" s="5">
        <v>33000</v>
      </c>
      <c r="M25" s="5">
        <v>0</v>
      </c>
      <c r="N25" s="5">
        <v>0</v>
      </c>
      <c r="O25" s="5">
        <v>0</v>
      </c>
      <c r="Q25" s="5" t="s">
        <v>22</v>
      </c>
      <c r="R25" s="3">
        <f>F25/F$2</f>
        <v>0</v>
      </c>
      <c r="S25" s="3">
        <f>G25/G$2</f>
        <v>0</v>
      </c>
      <c r="T25" s="3">
        <f>H25/H$2</f>
        <v>0</v>
      </c>
      <c r="U25" s="3">
        <f>I25/I$2</f>
        <v>0</v>
      </c>
      <c r="V25" s="3">
        <f>J25/J$2</f>
        <v>39.473684210526315</v>
      </c>
      <c r="W25" s="3">
        <f>K25/K$2</f>
        <v>43.024771838331162</v>
      </c>
      <c r="X25" s="3">
        <f>L25/L$2</f>
        <v>41.666666666666664</v>
      </c>
      <c r="Y25" s="3">
        <f>M25/M$2</f>
        <v>0</v>
      </c>
      <c r="Z25" s="3">
        <f>N25/N$2</f>
        <v>0</v>
      </c>
      <c r="AA25" s="3">
        <f>O25/O$2</f>
        <v>0</v>
      </c>
    </row>
    <row r="26" spans="4:27" x14ac:dyDescent="0.3">
      <c r="D26" s="5" t="s">
        <v>23</v>
      </c>
      <c r="E26" s="5">
        <v>154000</v>
      </c>
      <c r="F26" s="5">
        <v>33000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66000</v>
      </c>
      <c r="M26" s="5">
        <v>55000</v>
      </c>
      <c r="N26" s="5">
        <v>0</v>
      </c>
      <c r="O26" s="5">
        <v>0</v>
      </c>
      <c r="Q26" s="5" t="s">
        <v>23</v>
      </c>
      <c r="R26" s="3">
        <f>F26/F$2</f>
        <v>22.837370242214533</v>
      </c>
      <c r="S26" s="3">
        <f>G26/G$2</f>
        <v>0</v>
      </c>
      <c r="T26" s="3">
        <f>H26/H$2</f>
        <v>0</v>
      </c>
      <c r="U26" s="3">
        <f>I26/I$2</f>
        <v>0</v>
      </c>
      <c r="V26" s="3">
        <f>J26/J$2</f>
        <v>0</v>
      </c>
      <c r="W26" s="3">
        <f>K26/K$2</f>
        <v>0</v>
      </c>
      <c r="X26" s="3">
        <f>L26/L$2</f>
        <v>83.333333333333329</v>
      </c>
      <c r="Y26" s="3">
        <f>M26/M$2</f>
        <v>58.949624866023576</v>
      </c>
      <c r="Z26" s="3">
        <f>N26/N$2</f>
        <v>0</v>
      </c>
      <c r="AA26" s="3">
        <f>O26/O$2</f>
        <v>0</v>
      </c>
    </row>
    <row r="27" spans="4:27" x14ac:dyDescent="0.3">
      <c r="D27" s="5" t="s">
        <v>24</v>
      </c>
      <c r="E27" s="5">
        <v>6600</v>
      </c>
      <c r="F27" s="5">
        <v>6600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Q27" s="5" t="s">
        <v>24</v>
      </c>
      <c r="R27" s="3">
        <f>F27/F$2</f>
        <v>4.5674740484429064</v>
      </c>
      <c r="S27" s="3">
        <f>G27/G$2</f>
        <v>0</v>
      </c>
      <c r="T27" s="3">
        <f>H27/H$2</f>
        <v>0</v>
      </c>
      <c r="U27" s="3">
        <f>I27/I$2</f>
        <v>0</v>
      </c>
      <c r="V27" s="3">
        <f>J27/J$2</f>
        <v>0</v>
      </c>
      <c r="W27" s="3">
        <f>K27/K$2</f>
        <v>0</v>
      </c>
      <c r="X27" s="3">
        <f>L27/L$2</f>
        <v>0</v>
      </c>
      <c r="Y27" s="3">
        <f>M27/M$2</f>
        <v>0</v>
      </c>
      <c r="Z27" s="3">
        <f>N27/N$2</f>
        <v>0</v>
      </c>
      <c r="AA27" s="3">
        <f>O27/O$2</f>
        <v>0</v>
      </c>
    </row>
    <row r="28" spans="4:27" x14ac:dyDescent="0.3">
      <c r="D28" s="5" t="s">
        <v>25</v>
      </c>
      <c r="E28" s="5">
        <v>11000</v>
      </c>
      <c r="F28" s="5">
        <v>0</v>
      </c>
      <c r="G28" s="5">
        <v>0</v>
      </c>
      <c r="H28" s="5">
        <v>0</v>
      </c>
      <c r="I28" s="5">
        <v>0</v>
      </c>
      <c r="J28" s="5">
        <v>11000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Q28" s="5" t="s">
        <v>25</v>
      </c>
      <c r="R28" s="3">
        <f>F28/F$2</f>
        <v>0</v>
      </c>
      <c r="S28" s="3">
        <f>G28/G$2</f>
        <v>0</v>
      </c>
      <c r="T28" s="3">
        <f>H28/H$2</f>
        <v>0</v>
      </c>
      <c r="U28" s="3">
        <f>I28/I$2</f>
        <v>0</v>
      </c>
      <c r="V28" s="3">
        <f>J28/J$2</f>
        <v>13.157894736842104</v>
      </c>
      <c r="W28" s="3">
        <f>K28/K$2</f>
        <v>0</v>
      </c>
      <c r="X28" s="3">
        <f>L28/L$2</f>
        <v>0</v>
      </c>
      <c r="Y28" s="3">
        <f>M28/M$2</f>
        <v>0</v>
      </c>
      <c r="Z28" s="3">
        <f>N28/N$2</f>
        <v>0</v>
      </c>
      <c r="AA28" s="3">
        <f>O28/O$2</f>
        <v>0</v>
      </c>
    </row>
    <row r="29" spans="4:27" x14ac:dyDescent="0.3">
      <c r="R29" s="3">
        <f>F29/F$2</f>
        <v>0</v>
      </c>
    </row>
    <row r="30" spans="4:27" x14ac:dyDescent="0.3">
      <c r="R30" s="3">
        <f>F30/F$2</f>
        <v>0</v>
      </c>
    </row>
  </sheetData>
  <mergeCells count="1">
    <mergeCell ref="D2:E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정기 조</dc:creator>
  <cp:lastModifiedBy>정기 조</cp:lastModifiedBy>
  <dcterms:created xsi:type="dcterms:W3CDTF">2025-08-04T03:56:57Z</dcterms:created>
  <dcterms:modified xsi:type="dcterms:W3CDTF">2025-08-04T09:10:27Z</dcterms:modified>
</cp:coreProperties>
</file>