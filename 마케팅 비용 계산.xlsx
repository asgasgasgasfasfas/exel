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v6\Desktop\투캉 공용 폴더\"/>
    </mc:Choice>
  </mc:AlternateContent>
  <xr:revisionPtr revIDLastSave="0" documentId="13_ncr:1_{A016E419-A300-48C6-83A9-982394CD5C2E}" xr6:coauthVersionLast="47" xr6:coauthVersionMax="47" xr10:uidLastSave="{00000000-0000-0000-0000-000000000000}"/>
  <bookViews>
    <workbookView xWindow="7200" yWindow="0" windowWidth="14400" windowHeight="12780" xr2:uid="{CAF1035B-39F7-4003-9AD6-DEFCDF622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B52" i="1"/>
  <c r="F35" i="1" l="1"/>
  <c r="M35" i="1" s="1"/>
  <c r="I26" i="1"/>
  <c r="E16" i="1"/>
  <c r="L17" i="1"/>
  <c r="K17" i="1"/>
  <c r="K16" i="1"/>
  <c r="K15" i="1"/>
  <c r="E15" i="1"/>
  <c r="K10" i="1"/>
  <c r="K11" i="1"/>
  <c r="K12" i="1" s="1"/>
  <c r="K13" i="1" s="1"/>
  <c r="K14" i="1" s="1"/>
  <c r="K9" i="1"/>
  <c r="E14" i="1"/>
  <c r="E13" i="1"/>
  <c r="E12" i="1"/>
  <c r="E11" i="1"/>
  <c r="E10" i="1"/>
  <c r="E9" i="1"/>
  <c r="E7" i="1"/>
  <c r="E8" i="1"/>
  <c r="E6" i="1"/>
  <c r="E5" i="1"/>
  <c r="P30" i="1" l="1"/>
  <c r="P42" i="1" s="1"/>
</calcChain>
</file>

<file path=xl/sharedStrings.xml><?xml version="1.0" encoding="utf-8"?>
<sst xmlns="http://schemas.openxmlformats.org/spreadsheetml/2006/main" count="63" uniqueCount="52">
  <si>
    <t>국민은행</t>
    <phoneticPr fontId="3" type="noConversion"/>
  </si>
  <si>
    <t>잔액</t>
    <phoneticPr fontId="3" type="noConversion"/>
  </si>
  <si>
    <t>출금</t>
    <phoneticPr fontId="3" type="noConversion"/>
  </si>
  <si>
    <t>입금</t>
    <phoneticPr fontId="3" type="noConversion"/>
  </si>
  <si>
    <t>잔고</t>
    <phoneticPr fontId="3" type="noConversion"/>
  </si>
  <si>
    <t>소상공인 정책자금</t>
    <phoneticPr fontId="3" type="noConversion"/>
  </si>
  <si>
    <t>보증료</t>
    <phoneticPr fontId="3" type="noConversion"/>
  </si>
  <si>
    <t>서버비</t>
    <phoneticPr fontId="3" type="noConversion"/>
  </si>
  <si>
    <t>4대보험료</t>
    <phoneticPr fontId="3" type="noConversion"/>
  </si>
  <si>
    <t>이체</t>
    <phoneticPr fontId="3" type="noConversion"/>
  </si>
  <si>
    <t>신한프리플러스</t>
    <phoneticPr fontId="3" type="noConversion"/>
  </si>
  <si>
    <t>에어브릿지 연계약</t>
    <phoneticPr fontId="3" type="noConversion"/>
  </si>
  <si>
    <t>청년카페</t>
    <phoneticPr fontId="3" type="noConversion"/>
  </si>
  <si>
    <t>카카오 뱅크에서 꺼내옴</t>
    <phoneticPr fontId="3" type="noConversion"/>
  </si>
  <si>
    <t>소상공인 신용대출</t>
    <phoneticPr fontId="3" type="noConversion"/>
  </si>
  <si>
    <t>25년 1기 부가세</t>
    <phoneticPr fontId="3" type="noConversion"/>
  </si>
  <si>
    <t>광고비</t>
    <phoneticPr fontId="3" type="noConversion"/>
  </si>
  <si>
    <t>광고 자금</t>
    <phoneticPr fontId="3" type="noConversion"/>
  </si>
  <si>
    <t>구글애즈</t>
    <phoneticPr fontId="3" type="noConversion"/>
  </si>
  <si>
    <t>광고 비용 7/23까지</t>
    <phoneticPr fontId="3" type="noConversion"/>
  </si>
  <si>
    <t>오차</t>
    <phoneticPr fontId="3" type="noConversion"/>
  </si>
  <si>
    <t>총 자금</t>
    <phoneticPr fontId="3" type="noConversion"/>
  </si>
  <si>
    <t>Event Date</t>
  </si>
  <si>
    <t>총 매출액 (App)</t>
  </si>
  <si>
    <t>500만원까지 10%</t>
    <phoneticPr fontId="3" type="noConversion"/>
  </si>
  <si>
    <t>그 이후 20%</t>
    <phoneticPr fontId="3" type="noConversion"/>
  </si>
  <si>
    <t>젬블로</t>
    <phoneticPr fontId="3" type="noConversion"/>
  </si>
  <si>
    <t>애드팝콘</t>
    <phoneticPr fontId="3" type="noConversion"/>
  </si>
  <si>
    <t>지원금</t>
    <phoneticPr fontId="3" type="noConversion"/>
  </si>
  <si>
    <t>지출 예정</t>
    <phoneticPr fontId="3" type="noConversion"/>
  </si>
  <si>
    <t>애드팝콘 부스팅</t>
    <phoneticPr fontId="3" type="noConversion"/>
  </si>
  <si>
    <t>매출</t>
    <phoneticPr fontId="3" type="noConversion"/>
  </si>
  <si>
    <t>수수료</t>
    <phoneticPr fontId="3" type="noConversion"/>
  </si>
  <si>
    <t>7월31일</t>
    <phoneticPr fontId="3" type="noConversion"/>
  </si>
  <si>
    <t>8월 16일 지급</t>
    <phoneticPr fontId="3" type="noConversion"/>
  </si>
  <si>
    <t>마케팅비(7%)</t>
    <phoneticPr fontId="3" type="noConversion"/>
  </si>
  <si>
    <t>정기 월급</t>
    <phoneticPr fontId="3" type="noConversion"/>
  </si>
  <si>
    <t>원천세</t>
    <phoneticPr fontId="3" type="noConversion"/>
  </si>
  <si>
    <t>원스토어 수수료</t>
    <phoneticPr fontId="3" type="noConversion"/>
  </si>
  <si>
    <t>구글 수수료</t>
    <phoneticPr fontId="3" type="noConversion"/>
  </si>
  <si>
    <t>연간 100만달러 15%</t>
    <phoneticPr fontId="3" type="noConversion"/>
  </si>
  <si>
    <t>지방세</t>
    <phoneticPr fontId="3" type="noConversion"/>
  </si>
  <si>
    <t>겨레 월급</t>
    <phoneticPr fontId="3" type="noConversion"/>
  </si>
  <si>
    <t>용성 월급</t>
    <phoneticPr fontId="3" type="noConversion"/>
  </si>
  <si>
    <t>예상 지급</t>
    <phoneticPr fontId="3" type="noConversion"/>
  </si>
  <si>
    <t>예상 수익</t>
    <phoneticPr fontId="3" type="noConversion"/>
  </si>
  <si>
    <t>소상공인신용대출</t>
    <phoneticPr fontId="3" type="noConversion"/>
  </si>
  <si>
    <t>8월광고비</t>
    <phoneticPr fontId="3" type="noConversion"/>
  </si>
  <si>
    <t>4대보험</t>
    <phoneticPr fontId="3" type="noConversion"/>
  </si>
  <si>
    <t>세무대리</t>
    <phoneticPr fontId="3" type="noConversion"/>
  </si>
  <si>
    <t>광고 수익</t>
    <phoneticPr fontId="3" type="noConversion"/>
  </si>
  <si>
    <t>정기 환불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</si>
</sst>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₩&quot;#,##0_);[Red]\(&quot;₩&quot;#,##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176" fontId="5" fillId="0" borderId="0" xfId="0" applyNumberFormat="1" applyFont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2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6" fontId="0" fillId="2" borderId="0" xfId="0" applyNumberFormat="1" applyFill="1">
      <alignment vertical="center"/>
    </xf>
    <xf numFmtId="4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3A38-23FA-43A1-9DAD-825E17572FDC}">
  <dimension ref="A2:P52"/>
  <sheetViews>
    <sheetView tabSelected="1" topLeftCell="A18" zoomScale="55" zoomScaleNormal="55" workbookViewId="0">
      <selection activeCell="H36" sqref="H36"/>
    </sheetView>
  </sheetViews>
  <sheetFormatPr defaultRowHeight="16.899999999999999" x14ac:dyDescent="0.6"/>
  <cols>
    <col min="1" max="1" width="22.75" bestFit="1" customWidth="1"/>
    <col min="2" max="2" width="15.5" bestFit="1" customWidth="1"/>
    <col min="3" max="3" width="12.5" bestFit="1" customWidth="1"/>
    <col min="4" max="4" width="19.75" bestFit="1" customWidth="1"/>
    <col min="5" max="5" width="13.625" bestFit="1" customWidth="1"/>
    <col min="6" max="6" width="13.125" bestFit="1" customWidth="1"/>
    <col min="7" max="7" width="18.625" bestFit="1" customWidth="1"/>
    <col min="8" max="8" width="15.875" bestFit="1" customWidth="1"/>
    <col min="9" max="9" width="14.25" bestFit="1" customWidth="1"/>
    <col min="10" max="10" width="12.125" bestFit="1" customWidth="1"/>
    <col min="11" max="11" width="15.875" bestFit="1" customWidth="1"/>
    <col min="12" max="13" width="13.625" bestFit="1" customWidth="1"/>
    <col min="14" max="14" width="9.625" bestFit="1" customWidth="1"/>
    <col min="15" max="16" width="14.25" bestFit="1" customWidth="1"/>
    <col min="18" max="18" width="9.25" bestFit="1" customWidth="1"/>
  </cols>
  <sheetData>
    <row r="2" spans="1:12" x14ac:dyDescent="0.6">
      <c r="A2" s="2" t="s">
        <v>0</v>
      </c>
      <c r="G2" s="2" t="s">
        <v>10</v>
      </c>
    </row>
    <row r="3" spans="1:12" x14ac:dyDescent="0.6">
      <c r="B3" t="s">
        <v>2</v>
      </c>
      <c r="C3" t="s">
        <v>3</v>
      </c>
      <c r="D3" t="s">
        <v>9</v>
      </c>
      <c r="E3" t="s">
        <v>1</v>
      </c>
      <c r="H3" t="s">
        <v>2</v>
      </c>
      <c r="I3" t="s">
        <v>3</v>
      </c>
      <c r="J3" t="s">
        <v>9</v>
      </c>
      <c r="K3" t="s">
        <v>1</v>
      </c>
      <c r="L3" t="s">
        <v>20</v>
      </c>
    </row>
    <row r="4" spans="1:12" x14ac:dyDescent="0.6">
      <c r="A4" t="s">
        <v>4</v>
      </c>
      <c r="E4" s="1">
        <v>8175162</v>
      </c>
      <c r="K4" s="3"/>
    </row>
    <row r="5" spans="1:12" x14ac:dyDescent="0.6">
      <c r="A5" t="s">
        <v>5</v>
      </c>
      <c r="C5" s="1">
        <v>50000000</v>
      </c>
      <c r="E5" s="3">
        <f>E4+B5+C5</f>
        <v>58175162</v>
      </c>
    </row>
    <row r="6" spans="1:12" x14ac:dyDescent="0.6">
      <c r="A6" t="s">
        <v>6</v>
      </c>
      <c r="B6" s="3">
        <v>-2042000</v>
      </c>
      <c r="E6" s="3">
        <f>E5+B6+C6</f>
        <v>56133162</v>
      </c>
    </row>
    <row r="7" spans="1:12" x14ac:dyDescent="0.6">
      <c r="A7" t="s">
        <v>7</v>
      </c>
      <c r="B7" s="3">
        <v>-69070</v>
      </c>
      <c r="E7" s="3">
        <f t="shared" ref="E7:E8" si="0">E6+B7+C7</f>
        <v>56064092</v>
      </c>
    </row>
    <row r="8" spans="1:12" x14ac:dyDescent="0.6">
      <c r="A8" t="s">
        <v>8</v>
      </c>
      <c r="B8" s="3">
        <v>-988500</v>
      </c>
      <c r="E8" s="3">
        <f t="shared" si="0"/>
        <v>55075592</v>
      </c>
    </row>
    <row r="9" spans="1:12" x14ac:dyDescent="0.6">
      <c r="A9" t="s">
        <v>10</v>
      </c>
      <c r="D9" s="3">
        <v>-40000000</v>
      </c>
      <c r="E9" s="3">
        <f t="shared" ref="E9:E16" si="1">E8+B9+C9+D9</f>
        <v>15075592</v>
      </c>
      <c r="G9" t="s">
        <v>17</v>
      </c>
      <c r="I9" s="3">
        <v>40000000</v>
      </c>
      <c r="K9" s="3">
        <f>K8+H9+I9+J9</f>
        <v>40000000</v>
      </c>
    </row>
    <row r="10" spans="1:12" x14ac:dyDescent="0.6">
      <c r="A10" t="s">
        <v>11</v>
      </c>
      <c r="B10" s="3">
        <v>-7920000</v>
      </c>
      <c r="C10" s="3"/>
      <c r="E10" s="3">
        <f t="shared" si="1"/>
        <v>7155592</v>
      </c>
      <c r="K10" s="3">
        <f t="shared" ref="K10:K17" si="2">K9+H10+I10+J10</f>
        <v>40000000</v>
      </c>
    </row>
    <row r="11" spans="1:12" x14ac:dyDescent="0.6">
      <c r="A11" t="s">
        <v>12</v>
      </c>
      <c r="B11" s="3">
        <v>-7500</v>
      </c>
      <c r="E11" s="3">
        <f t="shared" si="1"/>
        <v>7148092</v>
      </c>
      <c r="K11" s="3">
        <f t="shared" si="2"/>
        <v>40000000</v>
      </c>
    </row>
    <row r="12" spans="1:12" x14ac:dyDescent="0.6">
      <c r="A12" t="s">
        <v>13</v>
      </c>
      <c r="C12" s="3">
        <v>3200000</v>
      </c>
      <c r="E12" s="3">
        <f t="shared" si="1"/>
        <v>10348092</v>
      </c>
      <c r="K12" s="3">
        <f t="shared" si="2"/>
        <v>40000000</v>
      </c>
    </row>
    <row r="13" spans="1:12" x14ac:dyDescent="0.6">
      <c r="A13" t="s">
        <v>10</v>
      </c>
      <c r="D13" s="3">
        <v>-7500000</v>
      </c>
      <c r="E13" s="3">
        <f t="shared" si="1"/>
        <v>2848092</v>
      </c>
      <c r="G13" t="s">
        <v>17</v>
      </c>
      <c r="I13" s="3">
        <v>7500000</v>
      </c>
      <c r="K13" s="3">
        <f t="shared" si="2"/>
        <v>47500000</v>
      </c>
    </row>
    <row r="14" spans="1:12" x14ac:dyDescent="0.6">
      <c r="A14" t="s">
        <v>14</v>
      </c>
      <c r="C14" s="3">
        <v>40000000</v>
      </c>
      <c r="E14" s="3">
        <f t="shared" si="1"/>
        <v>42848092</v>
      </c>
      <c r="K14" s="3">
        <f t="shared" si="2"/>
        <v>47500000</v>
      </c>
    </row>
    <row r="15" spans="1:12" x14ac:dyDescent="0.6">
      <c r="A15" t="s">
        <v>15</v>
      </c>
      <c r="B15" s="3">
        <v>-1617920</v>
      </c>
      <c r="E15" s="3">
        <f t="shared" si="1"/>
        <v>41230172</v>
      </c>
      <c r="K15" s="3">
        <f t="shared" si="2"/>
        <v>47500000</v>
      </c>
    </row>
    <row r="16" spans="1:12" x14ac:dyDescent="0.6">
      <c r="D16" s="3">
        <v>-40000000</v>
      </c>
      <c r="E16" s="3">
        <f t="shared" si="1"/>
        <v>1230172</v>
      </c>
      <c r="G16" t="s">
        <v>17</v>
      </c>
      <c r="I16" s="3">
        <v>40000000</v>
      </c>
      <c r="K16" s="3">
        <f t="shared" si="2"/>
        <v>87500000</v>
      </c>
    </row>
    <row r="17" spans="1:16" x14ac:dyDescent="0.6">
      <c r="G17" t="s">
        <v>19</v>
      </c>
      <c r="H17" s="3">
        <v>-16604494</v>
      </c>
      <c r="K17" s="3">
        <f t="shared" si="2"/>
        <v>70895506</v>
      </c>
      <c r="L17" s="3">
        <f>K17-70866999</f>
        <v>28507</v>
      </c>
    </row>
    <row r="21" spans="1:16" x14ac:dyDescent="0.6">
      <c r="A21" t="s">
        <v>22</v>
      </c>
      <c r="B21" t="s">
        <v>23</v>
      </c>
    </row>
    <row r="22" spans="1:16" x14ac:dyDescent="0.6">
      <c r="A22" s="5">
        <v>45839</v>
      </c>
      <c r="B22" s="6">
        <v>359700</v>
      </c>
    </row>
    <row r="23" spans="1:16" x14ac:dyDescent="0.6">
      <c r="A23" s="5">
        <v>45840</v>
      </c>
      <c r="B23" s="6">
        <v>132000</v>
      </c>
      <c r="D23" t="s">
        <v>38</v>
      </c>
    </row>
    <row r="24" spans="1:16" x14ac:dyDescent="0.6">
      <c r="A24" s="5">
        <v>45841</v>
      </c>
      <c r="B24" s="6">
        <v>143000</v>
      </c>
      <c r="D24" t="s">
        <v>24</v>
      </c>
      <c r="K24" s="2" t="s">
        <v>28</v>
      </c>
    </row>
    <row r="25" spans="1:16" x14ac:dyDescent="0.6">
      <c r="A25" s="5">
        <v>45842</v>
      </c>
      <c r="B25" s="6">
        <v>116600</v>
      </c>
      <c r="D25" t="s">
        <v>25</v>
      </c>
      <c r="I25" t="s">
        <v>21</v>
      </c>
      <c r="K25" t="s">
        <v>26</v>
      </c>
    </row>
    <row r="26" spans="1:16" x14ac:dyDescent="0.6">
      <c r="A26" s="5">
        <v>45843</v>
      </c>
      <c r="B26" s="6">
        <v>180400</v>
      </c>
      <c r="I26" s="4">
        <f>SUM(I4:I16)</f>
        <v>87500000</v>
      </c>
      <c r="K26" t="s">
        <v>27</v>
      </c>
      <c r="L26" s="3">
        <v>15000000</v>
      </c>
    </row>
    <row r="27" spans="1:16" x14ac:dyDescent="0.6">
      <c r="A27" s="5">
        <v>45845</v>
      </c>
      <c r="B27" s="6">
        <v>39600</v>
      </c>
      <c r="D27" t="s">
        <v>39</v>
      </c>
      <c r="K27" t="s">
        <v>18</v>
      </c>
      <c r="L27" s="3">
        <v>15000000</v>
      </c>
    </row>
    <row r="28" spans="1:16" x14ac:dyDescent="0.6">
      <c r="A28" s="5">
        <v>45847</v>
      </c>
      <c r="B28" s="6">
        <v>152900</v>
      </c>
      <c r="D28" t="s">
        <v>40</v>
      </c>
    </row>
    <row r="29" spans="1:16" x14ac:dyDescent="0.6">
      <c r="A29" s="5">
        <v>45848</v>
      </c>
      <c r="B29" s="6">
        <v>30800</v>
      </c>
      <c r="K29" t="s">
        <v>29</v>
      </c>
    </row>
    <row r="30" spans="1:16" x14ac:dyDescent="0.6">
      <c r="A30" s="5">
        <v>45849</v>
      </c>
      <c r="B30" s="6">
        <v>145200</v>
      </c>
      <c r="K30" t="s">
        <v>30</v>
      </c>
      <c r="L30" s="3">
        <v>-38628880</v>
      </c>
      <c r="O30" t="s">
        <v>44</v>
      </c>
      <c r="P30" s="8">
        <f>M35</f>
        <v>165012166.55000001</v>
      </c>
    </row>
    <row r="31" spans="1:16" x14ac:dyDescent="0.6">
      <c r="A31" s="5">
        <v>45850</v>
      </c>
      <c r="B31" s="6">
        <v>202400</v>
      </c>
    </row>
    <row r="32" spans="1:16" x14ac:dyDescent="0.6">
      <c r="A32" s="5">
        <v>45851</v>
      </c>
      <c r="B32" s="6">
        <v>20900</v>
      </c>
      <c r="O32" t="s">
        <v>42</v>
      </c>
      <c r="P32" s="3">
        <v>-6000000</v>
      </c>
    </row>
    <row r="33" spans="1:16" x14ac:dyDescent="0.6">
      <c r="A33" s="5">
        <v>45852</v>
      </c>
      <c r="B33" s="6">
        <v>162800</v>
      </c>
      <c r="E33" t="s">
        <v>33</v>
      </c>
      <c r="O33" t="s">
        <v>43</v>
      </c>
      <c r="P33" s="3">
        <v>-4000000</v>
      </c>
    </row>
    <row r="34" spans="1:16" x14ac:dyDescent="0.6">
      <c r="A34" s="5">
        <v>45853</v>
      </c>
      <c r="B34" s="6">
        <v>267300</v>
      </c>
      <c r="E34" t="s">
        <v>31</v>
      </c>
      <c r="F34" t="s">
        <v>32</v>
      </c>
      <c r="G34" t="s">
        <v>16</v>
      </c>
      <c r="H34" t="s">
        <v>30</v>
      </c>
      <c r="I34" t="s">
        <v>26</v>
      </c>
      <c r="J34" t="s">
        <v>7</v>
      </c>
      <c r="K34" t="s">
        <v>35</v>
      </c>
      <c r="L34" t="s">
        <v>50</v>
      </c>
      <c r="M34" t="s">
        <v>34</v>
      </c>
      <c r="O34" t="s">
        <v>36</v>
      </c>
      <c r="P34" s="3">
        <v>-2059610</v>
      </c>
    </row>
    <row r="35" spans="1:16" x14ac:dyDescent="0.6">
      <c r="A35" s="5">
        <v>45854</v>
      </c>
      <c r="B35" s="6">
        <v>2717000</v>
      </c>
      <c r="D35" s="3"/>
      <c r="E35" s="3">
        <f>B52+D37</f>
        <v>205948223</v>
      </c>
      <c r="F35" s="3">
        <f>-E35*0.15</f>
        <v>-30892233.449999999</v>
      </c>
      <c r="G35" s="3">
        <v>0</v>
      </c>
      <c r="H35" s="3">
        <v>-38628880</v>
      </c>
      <c r="I35" s="3">
        <v>25000000</v>
      </c>
      <c r="J35" s="3">
        <v>-1500000</v>
      </c>
      <c r="K35" s="3">
        <v>-6914943</v>
      </c>
      <c r="L35" s="3">
        <v>12000000</v>
      </c>
      <c r="M35" s="8">
        <f>E35+F35+G35+H35+I35+J35+K35+L35</f>
        <v>165012166.55000001</v>
      </c>
      <c r="O35" t="s">
        <v>37</v>
      </c>
      <c r="P35" s="3">
        <v>-25950</v>
      </c>
    </row>
    <row r="36" spans="1:16" x14ac:dyDescent="0.6">
      <c r="A36" s="5">
        <v>45855</v>
      </c>
      <c r="B36" s="6">
        <v>10568807</v>
      </c>
      <c r="D36" t="s">
        <v>51</v>
      </c>
      <c r="O36" t="s">
        <v>41</v>
      </c>
      <c r="P36" s="3">
        <v>-2590</v>
      </c>
    </row>
    <row r="37" spans="1:16" x14ac:dyDescent="0.6">
      <c r="A37" s="5">
        <v>45856</v>
      </c>
      <c r="B37" s="6">
        <v>12560900</v>
      </c>
      <c r="D37" s="3">
        <v>-4000000</v>
      </c>
      <c r="O37" t="s">
        <v>46</v>
      </c>
      <c r="P37" s="3">
        <v>-40000000</v>
      </c>
    </row>
    <row r="38" spans="1:16" x14ac:dyDescent="0.6">
      <c r="A38" s="5">
        <v>45857</v>
      </c>
      <c r="B38" s="6">
        <v>18991500</v>
      </c>
      <c r="O38" t="s">
        <v>47</v>
      </c>
      <c r="P38" s="3">
        <v>-100000000</v>
      </c>
    </row>
    <row r="39" spans="1:16" x14ac:dyDescent="0.6">
      <c r="A39" s="5">
        <v>45858</v>
      </c>
      <c r="B39" s="6">
        <v>17752900</v>
      </c>
      <c r="O39" t="s">
        <v>48</v>
      </c>
      <c r="P39" s="3">
        <v>-988500</v>
      </c>
    </row>
    <row r="40" spans="1:16" x14ac:dyDescent="0.6">
      <c r="A40" s="5">
        <v>45859</v>
      </c>
      <c r="B40" s="6">
        <v>13028400</v>
      </c>
      <c r="D40" s="3"/>
      <c r="O40" t="s">
        <v>49</v>
      </c>
      <c r="P40" s="3">
        <v>-110000</v>
      </c>
    </row>
    <row r="41" spans="1:16" x14ac:dyDescent="0.6">
      <c r="A41" s="5">
        <v>45860</v>
      </c>
      <c r="B41" s="6">
        <v>13438700</v>
      </c>
    </row>
    <row r="42" spans="1:16" x14ac:dyDescent="0.6">
      <c r="A42" s="5">
        <v>45861</v>
      </c>
      <c r="B42" s="6">
        <v>12865616</v>
      </c>
      <c r="O42" t="s">
        <v>45</v>
      </c>
      <c r="P42" s="9">
        <f>P30+P32+P33+P34+P35+P36+P37+P38+P39+P40</f>
        <v>11825516.550000012</v>
      </c>
    </row>
    <row r="43" spans="1:16" x14ac:dyDescent="0.6">
      <c r="A43" s="5">
        <v>45862</v>
      </c>
      <c r="B43" s="6">
        <v>12641200</v>
      </c>
      <c r="H43" s="3"/>
      <c r="I43" s="3"/>
      <c r="J43" s="3"/>
      <c r="M43" s="3"/>
    </row>
    <row r="44" spans="1:16" x14ac:dyDescent="0.6">
      <c r="A44" s="5">
        <v>45863</v>
      </c>
      <c r="B44" s="6">
        <v>14798300</v>
      </c>
      <c r="H44" s="3"/>
    </row>
    <row r="45" spans="1:16" x14ac:dyDescent="0.6">
      <c r="A45" s="5">
        <v>45864</v>
      </c>
      <c r="B45" s="6">
        <v>17833200</v>
      </c>
    </row>
    <row r="46" spans="1:16" x14ac:dyDescent="0.6">
      <c r="A46" s="5">
        <v>45865</v>
      </c>
      <c r="B46" s="6">
        <v>14197700</v>
      </c>
    </row>
    <row r="47" spans="1:16" x14ac:dyDescent="0.6">
      <c r="A47" s="5">
        <v>45866</v>
      </c>
      <c r="B47" s="10">
        <v>15162400</v>
      </c>
    </row>
    <row r="48" spans="1:16" x14ac:dyDescent="0.6">
      <c r="A48" s="5">
        <v>45867</v>
      </c>
      <c r="B48" s="10">
        <v>10105700</v>
      </c>
    </row>
    <row r="49" spans="1:2" x14ac:dyDescent="0.6">
      <c r="A49" s="5">
        <v>45868</v>
      </c>
      <c r="B49" s="10">
        <v>10066100</v>
      </c>
    </row>
    <row r="50" spans="1:2" x14ac:dyDescent="0.6">
      <c r="A50" s="5">
        <v>45869</v>
      </c>
      <c r="B50" s="10">
        <v>11266200</v>
      </c>
    </row>
    <row r="52" spans="1:2" x14ac:dyDescent="0.6">
      <c r="B52" s="7">
        <f>SUM(B22:B51)</f>
        <v>209948223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고용성</dc:creator>
  <cp:lastModifiedBy>용성 고</cp:lastModifiedBy>
  <dcterms:created xsi:type="dcterms:W3CDTF">2025-07-24T01:10:47Z</dcterms:created>
  <dcterms:modified xsi:type="dcterms:W3CDTF">2025-08-01T14:10:48Z</dcterms:modified>
</cp:coreProperties>
</file>