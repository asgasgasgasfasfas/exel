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분석\"/>
    </mc:Choice>
  </mc:AlternateContent>
  <xr:revisionPtr revIDLastSave="0" documentId="13_ncr:1_{022B9CA1-7E15-46E6-A52F-136BC2A43345}" xr6:coauthVersionLast="47" xr6:coauthVersionMax="47" xr10:uidLastSave="{00000000-0000-0000-0000-000000000000}"/>
  <bookViews>
    <workbookView xWindow="38280" yWindow="-120" windowWidth="29040" windowHeight="15720" activeTab="1" xr2:uid="{4B8B9127-5BD4-4F0E-AEA2-F16610F47B45}"/>
  </bookViews>
  <sheets>
    <sheet name="총매출" sheetId="1" r:id="rId1"/>
    <sheet name="스테이지별 매출" sheetId="2" r:id="rId2"/>
    <sheet name="Sheet2" sheetId="7" r:id="rId3"/>
    <sheet name="Sheet1" sheetId="6" r:id="rId4"/>
    <sheet name="8월1일" sheetId="4" r:id="rId5"/>
  </sheets>
  <externalReferences>
    <externalReference r:id="rId6"/>
  </externalReferences>
  <definedNames>
    <definedName name="_xlnm._FilterDatabase" localSheetId="4" hidden="1">'8월1일'!$E$4:$E$32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7" l="1"/>
  <c r="C12" i="7"/>
  <c r="C36" i="7"/>
  <c r="C3" i="7"/>
  <c r="C13" i="7"/>
  <c r="C37" i="7"/>
  <c r="C38" i="7"/>
  <c r="C14" i="7"/>
  <c r="C15" i="7"/>
  <c r="C16" i="7"/>
  <c r="C17" i="7"/>
  <c r="C18" i="7"/>
  <c r="C19" i="7"/>
  <c r="C4" i="7"/>
  <c r="C20" i="7"/>
  <c r="C21" i="7"/>
  <c r="C5" i="7"/>
  <c r="C22" i="7"/>
  <c r="C23" i="7"/>
  <c r="C6" i="7"/>
  <c r="C24" i="7"/>
  <c r="C25" i="7"/>
  <c r="C7" i="7"/>
  <c r="C26" i="7"/>
  <c r="C27" i="7"/>
  <c r="C8" i="7"/>
  <c r="C28" i="7"/>
  <c r="C29" i="7"/>
  <c r="C9" i="7"/>
  <c r="C30" i="7"/>
  <c r="C31" i="7"/>
  <c r="C10" i="7"/>
  <c r="C32" i="7"/>
  <c r="C33" i="7"/>
  <c r="C11" i="7"/>
  <c r="C34" i="7"/>
  <c r="C2" i="7"/>
  <c r="H37" i="6"/>
  <c r="H15" i="6"/>
  <c r="H36" i="6"/>
  <c r="H14" i="6"/>
  <c r="H35" i="6"/>
  <c r="H34" i="6"/>
  <c r="H13" i="6"/>
  <c r="H33" i="6"/>
  <c r="H32" i="6"/>
  <c r="H12" i="6"/>
  <c r="H31" i="6"/>
  <c r="H30" i="6"/>
  <c r="H11" i="6"/>
  <c r="H29" i="6"/>
  <c r="H28" i="6"/>
  <c r="H10" i="6"/>
  <c r="H27" i="6"/>
  <c r="H26" i="6"/>
  <c r="H9" i="6"/>
  <c r="H25" i="6"/>
  <c r="H24" i="6"/>
  <c r="H8" i="6"/>
  <c r="H23" i="6"/>
  <c r="H22" i="6"/>
  <c r="H21" i="6"/>
  <c r="H20" i="6"/>
  <c r="H19" i="6"/>
  <c r="H18" i="6"/>
  <c r="H17" i="6"/>
  <c r="H7" i="6"/>
  <c r="H39" i="6"/>
  <c r="H16" i="6"/>
  <c r="H38" i="6"/>
  <c r="H6" i="6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5" i="4"/>
  <c r="B1" i="2"/>
  <c r="D34" i="2"/>
  <c r="E34" i="2"/>
  <c r="F34" i="2"/>
  <c r="G34" i="2"/>
  <c r="H34" i="2"/>
  <c r="I34" i="2"/>
  <c r="J34" i="2"/>
  <c r="K34" i="2"/>
  <c r="C34" i="2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4" i="4"/>
</calcChain>
</file>

<file path=xl/sharedStrings.xml><?xml version="1.0" encoding="utf-8"?>
<sst xmlns="http://schemas.openxmlformats.org/spreadsheetml/2006/main" count="598" uniqueCount="206">
  <si>
    <t>Event Date</t>
  </si>
  <si>
    <t>총 매출액 (App)</t>
  </si>
  <si>
    <t>Event Action</t>
  </si>
  <si>
    <t>ItemPurchased (App)</t>
  </si>
  <si>
    <t>Preminum_Product__2</t>
  </si>
  <si>
    <t>Preminum_Product__1</t>
  </si>
  <si>
    <t>account_Product_draw_4__0</t>
  </si>
  <si>
    <t>Sudden_Product_Growth2__0</t>
  </si>
  <si>
    <t>account_Product_draw_3__0</t>
  </si>
  <si>
    <t>(0)_account_Product_6__0</t>
  </si>
  <si>
    <t>account_Product_draw_0__1</t>
  </si>
  <si>
    <t>Sudden_Product_Weapon__0</t>
  </si>
  <si>
    <t>account_Product_draw_1__1</t>
  </si>
  <si>
    <t>Sudden_Product_Hero1__0</t>
  </si>
  <si>
    <t>Minigame_Product_draw_0__550</t>
  </si>
  <si>
    <t>(0)_account_Product_7__0</t>
  </si>
  <si>
    <t>(0)_account_Product_3__0</t>
  </si>
  <si>
    <t>Preminum_Product__4</t>
  </si>
  <si>
    <t>Pass_Product_2__0</t>
  </si>
  <si>
    <t>Minigame_Product_draw_3__3300</t>
  </si>
  <si>
    <t>Sudden_Product_Hero1__1</t>
  </si>
  <si>
    <t>Preminum_Product__3</t>
  </si>
  <si>
    <t>account_Product_draw_5__0</t>
  </si>
  <si>
    <t>Sudden_Product_Hero2__0</t>
  </si>
  <si>
    <t>Pass_Product_0__0</t>
  </si>
  <si>
    <t>Minigame_Product_draw_6__5500</t>
  </si>
  <si>
    <t>Minigame_Product_draw_4__3300</t>
  </si>
  <si>
    <t>Minigame_Product_draw_1__1100</t>
  </si>
  <si>
    <t>account_Product_Hero_0__0</t>
  </si>
  <si>
    <t>(0)_account_Product_2__0</t>
  </si>
  <si>
    <t>Sudden_Product_Weapon__1</t>
  </si>
  <si>
    <t>Pass_Product_1__0</t>
  </si>
  <si>
    <t>account_Product_draw_0__3</t>
  </si>
  <si>
    <t>account_Product_draw_0__2</t>
  </si>
  <si>
    <t>(0)_account_Product_4__0</t>
  </si>
  <si>
    <t>Sudden_Product_Stage__0</t>
  </si>
  <si>
    <t>Sudden_Product_Hero1__2</t>
  </si>
  <si>
    <t>Pass_Product_3__0</t>
  </si>
  <si>
    <t>Pass_Product_0__2</t>
  </si>
  <si>
    <t>account_Product_Hero_6__0</t>
  </si>
  <si>
    <t>Sudden_Product_Stage__5</t>
  </si>
  <si>
    <t>Sudden_Product_Research__5</t>
  </si>
  <si>
    <t>Sudden_Product_Research__2</t>
  </si>
  <si>
    <t>Sudden_Product_Hero2__3</t>
  </si>
  <si>
    <t>Sudden_Product_Hero2__2</t>
  </si>
  <si>
    <t>Sudden_Product_Hero2__1</t>
  </si>
  <si>
    <t>Sudden_Product_Growth2__1</t>
  </si>
  <si>
    <t>Pass_Product_0__1</t>
  </si>
  <si>
    <t>account_Product_draw_5__2</t>
  </si>
  <si>
    <t>account_Product_draw_5__1</t>
  </si>
  <si>
    <t>account_Product_draw_4__1</t>
  </si>
  <si>
    <t>account_Product_draw_3__3</t>
  </si>
  <si>
    <t>account_Product_draw_3__2</t>
  </si>
  <si>
    <t>account_Product_draw_3__1</t>
  </si>
  <si>
    <t>account_Product_draw_0__4</t>
  </si>
  <si>
    <t>(0)_account_Product_3__2</t>
  </si>
  <si>
    <t>(0)_account_Product_3__1</t>
  </si>
  <si>
    <t>(0)_account_Product_1__0</t>
  </si>
  <si>
    <t>Sudden_Product_Stage__4</t>
  </si>
  <si>
    <t>Sudden_Product_Research__3</t>
  </si>
  <si>
    <t>Sudden_Product_Growth1__3</t>
  </si>
  <si>
    <t>Sudden_Product_Growth1__0</t>
  </si>
  <si>
    <t>Sudden_Product_Boost__0</t>
  </si>
  <si>
    <t>Sudden_Product_Armor__0</t>
  </si>
  <si>
    <t>Pass_Product_3__3</t>
  </si>
  <si>
    <t>Pass_Product_2__1</t>
  </si>
  <si>
    <t>Pass_Product_1__1</t>
  </si>
  <si>
    <t>Pass_Product_0__3</t>
  </si>
  <si>
    <t>Minigame_Product_draw_2__1100</t>
  </si>
  <si>
    <t>account_Product_Hero_9__0</t>
  </si>
  <si>
    <t>account_Product_Hero_5__0</t>
  </si>
  <si>
    <t>account_Product_Hero_4__0</t>
  </si>
  <si>
    <t>account_Product_Hero_3__0</t>
  </si>
  <si>
    <t>account_Product_Hero_2__0</t>
  </si>
  <si>
    <t>account_Product_Hero_1__0</t>
  </si>
  <si>
    <t>account_Product_Hero_10__0</t>
  </si>
  <si>
    <t>account_Product_draw_5__3</t>
  </si>
  <si>
    <t>account_Product_draw_4__3</t>
  </si>
  <si>
    <t>account_Product_draw_4__2</t>
  </si>
  <si>
    <t>account_Product_draw_1__2</t>
  </si>
  <si>
    <t>(0)_account_Product_5__0</t>
  </si>
  <si>
    <t>Sudden_Product_Weapon__2</t>
  </si>
  <si>
    <t>Sudden_Product_Stage__3</t>
  </si>
  <si>
    <t>Sudden_Product_Stage__10</t>
  </si>
  <si>
    <t>Sudden_Product_Research__6</t>
  </si>
  <si>
    <t>Sudden_Product_Hero1__3</t>
  </si>
  <si>
    <t>Sudden_Product_Growth2__7</t>
  </si>
  <si>
    <t>Sudden_Product_Growth2__2</t>
  </si>
  <si>
    <t>Sudden_Product_Growth1__5</t>
  </si>
  <si>
    <t>Sudden_Product_Growth1__4</t>
  </si>
  <si>
    <t>Pass_Product_3__5</t>
  </si>
  <si>
    <t>Pass_Product_3__4</t>
  </si>
  <si>
    <t>Pass_Product_3__1</t>
  </si>
  <si>
    <t>Pass_Product_1__2</t>
  </si>
  <si>
    <t>Pass_Product_0__6</t>
  </si>
  <si>
    <t>account_Product_draw_1__3</t>
  </si>
  <si>
    <t>(1)_account_Product_8__0</t>
  </si>
  <si>
    <t>(1)_account_Product_4__0</t>
  </si>
  <si>
    <t>Sudden_Product_Weapon__3</t>
  </si>
  <si>
    <t>Sudden_Product_Stage__9</t>
  </si>
  <si>
    <t>Sudden_Product_Stage__8</t>
  </si>
  <si>
    <t>Sudden_Product_Stage__6</t>
  </si>
  <si>
    <t>Sudden_Product_Stage__1</t>
  </si>
  <si>
    <t>Sudden_Product_Research__4</t>
  </si>
  <si>
    <t>Event 값 (App)</t>
  </si>
  <si>
    <t>Event Label</t>
  </si>
  <si>
    <t>0~10</t>
  </si>
  <si>
    <t>100~110</t>
  </si>
  <si>
    <t>10~20</t>
  </si>
  <si>
    <t>110~120</t>
  </si>
  <si>
    <t>120~130</t>
  </si>
  <si>
    <t>130~140</t>
  </si>
  <si>
    <t>140~150</t>
  </si>
  <si>
    <t>150~160</t>
  </si>
  <si>
    <t>150~200</t>
  </si>
  <si>
    <t>200~250</t>
  </si>
  <si>
    <t>20~30</t>
  </si>
  <si>
    <t>250~300</t>
  </si>
  <si>
    <t>300~350</t>
  </si>
  <si>
    <t>30~40</t>
  </si>
  <si>
    <t>350~400</t>
  </si>
  <si>
    <t>400~450</t>
  </si>
  <si>
    <t>40~50</t>
  </si>
  <si>
    <t>450~500</t>
  </si>
  <si>
    <t>500~550</t>
  </si>
  <si>
    <t>50~60</t>
  </si>
  <si>
    <t>550~600</t>
  </si>
  <si>
    <t>600~650</t>
  </si>
  <si>
    <t>60~70</t>
  </si>
  <si>
    <t>700~750</t>
  </si>
  <si>
    <t>70~80</t>
  </si>
  <si>
    <t>750~800</t>
  </si>
  <si>
    <t>80~90</t>
  </si>
  <si>
    <t>850~900</t>
  </si>
  <si>
    <t>90~100</t>
  </si>
  <si>
    <t>1000~1050</t>
  </si>
  <si>
    <t>1050~1100</t>
  </si>
  <si>
    <t>800~850</t>
  </si>
  <si>
    <t>Sudden_Product_Research__1</t>
  </si>
  <si>
    <t>Sudden_Product_Growth1__2</t>
  </si>
  <si>
    <t>Pass_Product_3__2</t>
  </si>
  <si>
    <t>Sudden_Product_Research__0</t>
  </si>
  <si>
    <t>Minigame_Product_draw_5__5500</t>
  </si>
  <si>
    <t>account_Product_Hero_6__1</t>
  </si>
  <si>
    <t>account_Product_Hero_7__0</t>
  </si>
  <si>
    <t>(1)_account_Product_3__0</t>
  </si>
  <si>
    <t>account_Product_Hero_8__0</t>
  </si>
  <si>
    <t>Sudden_Product_Growth1__1</t>
  </si>
  <si>
    <t>Sudden_Product_Armor__1</t>
  </si>
  <si>
    <t>account_Product_Hero_6__2</t>
  </si>
  <si>
    <t>(1)_account_Product_2__0</t>
  </si>
  <si>
    <t>(1)_account_Product_1__0</t>
  </si>
  <si>
    <t>account_Product_Hero_4__1</t>
  </si>
  <si>
    <t>account_Product_Hero_10__1</t>
  </si>
  <si>
    <t>account_Product_Hero_0__1</t>
  </si>
  <si>
    <t>account_Product_draw_1__4</t>
  </si>
  <si>
    <t>(1)_account_Product_2__1</t>
  </si>
  <si>
    <t>8월1일</t>
    <phoneticPr fontId="1" type="noConversion"/>
  </si>
  <si>
    <t>8월2일</t>
    <phoneticPr fontId="1" type="noConversion"/>
  </si>
  <si>
    <t>Diamond_Product__4</t>
  </si>
  <si>
    <t>account_Product_draw_5__4</t>
  </si>
  <si>
    <t>(1)_account_Product_3__2</t>
  </si>
  <si>
    <t>(1)_account_Product_3__1</t>
  </si>
  <si>
    <t>Sudden_Product_Stage__2</t>
  </si>
  <si>
    <t>Sudden_Product_Growth2__4</t>
  </si>
  <si>
    <t>Sudden_Product_Boost__1</t>
  </si>
  <si>
    <t>account_Product_draw_0__5</t>
  </si>
  <si>
    <t>(1)_account_Product_6__0</t>
  </si>
  <si>
    <t>Sudden_Product_Weapon__5</t>
  </si>
  <si>
    <t>Sudden_Product_Research__9</t>
  </si>
  <si>
    <t>Sudden_Product_Research__8</t>
  </si>
  <si>
    <t>Sudden_Product_Growth2__6</t>
  </si>
  <si>
    <t>Sudden_Product_Growth2__3</t>
  </si>
  <si>
    <t>8월 3일</t>
    <phoneticPr fontId="1" type="noConversion"/>
  </si>
  <si>
    <t>900~950</t>
  </si>
  <si>
    <t>950~1000</t>
  </si>
  <si>
    <t>Sum</t>
  </si>
  <si>
    <t>1150~1200</t>
  </si>
  <si>
    <t>1200~1250</t>
  </si>
  <si>
    <t>650~700</t>
  </si>
  <si>
    <t>100~150</t>
    <phoneticPr fontId="1" type="noConversion"/>
  </si>
  <si>
    <t>50~100</t>
    <phoneticPr fontId="1" type="noConversion"/>
  </si>
  <si>
    <t>0~50</t>
    <phoneticPr fontId="1" type="noConversion"/>
  </si>
  <si>
    <t>Channel</t>
  </si>
  <si>
    <t>google.adwords</t>
  </si>
  <si>
    <t>unattributed</t>
  </si>
  <si>
    <t>facebook.business</t>
  </si>
  <si>
    <t>adpopcorn</t>
  </si>
  <si>
    <t>게임설치수</t>
    <phoneticPr fontId="1" type="noConversion"/>
  </si>
  <si>
    <t>(0)_account_Product_1__1</t>
  </si>
  <si>
    <t>Sudden_Product_Research__11</t>
  </si>
  <si>
    <t>account_Product_Hero_0__2</t>
  </si>
  <si>
    <t>account_Product_draw_3__4</t>
  </si>
  <si>
    <t>(0)_account_Product_2__1</t>
  </si>
  <si>
    <t>(0)_account_Product_1__2</t>
  </si>
  <si>
    <t>Sudden_Product_Research__7</t>
  </si>
  <si>
    <t>Sudden_Product_Growth1__6</t>
  </si>
  <si>
    <t>Sudden_Product_Boost__2</t>
  </si>
  <si>
    <t>Preminum_Product_4</t>
  </si>
  <si>
    <t>Preminum_Product_3</t>
  </si>
  <si>
    <t>Preminum_Product_2</t>
  </si>
  <si>
    <t>Pass_Product_0__7</t>
  </si>
  <si>
    <t>Pass_Product_0__4</t>
  </si>
  <si>
    <t>account_Product_Hero_1__1</t>
  </si>
  <si>
    <t>account_Product_draw_4__4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</si>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</sst>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4" fontId="2" fillId="0" borderId="0" xfId="1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3" fontId="0" fillId="2" borderId="0" xfId="0" applyNumberFormat="1" applyFill="1">
      <alignment vertical="center"/>
    </xf>
    <xf numFmtId="1" fontId="0" fillId="0" borderId="0" xfId="0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g19\Documents\bm&#44844;&#47532;&#54364;.xlsx" TargetMode="External"/><Relationship Id="rId1" Type="http://schemas.openxmlformats.org/officeDocument/2006/relationships/externalLinkPath" Target="/Users/jjg19/Documents/bm&#44844;&#47532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I1" t="str">
            <v>account_Product_Draw_0__</v>
          </cell>
          <cell r="J1" t="str">
            <v>계정한정소환무기</v>
          </cell>
        </row>
        <row r="2">
          <cell r="I2" t="str">
            <v>account_Product_Draw_1__</v>
          </cell>
          <cell r="J2" t="str">
            <v>계정한정소환갑옷</v>
          </cell>
        </row>
        <row r="3">
          <cell r="I3" t="str">
            <v>account_Product_Draw_2__</v>
          </cell>
          <cell r="J3" t="str">
            <v>계정한정소환장비</v>
          </cell>
        </row>
        <row r="4">
          <cell r="I4" t="str">
            <v>account_Product_Draw_3__</v>
          </cell>
          <cell r="J4" t="str">
            <v>계정한정소환고려</v>
          </cell>
        </row>
        <row r="5">
          <cell r="I5" t="str">
            <v>account_Product_Draw_4__</v>
          </cell>
          <cell r="J5" t="str">
            <v>계정한정소환조선</v>
          </cell>
        </row>
        <row r="6">
          <cell r="I6" t="str">
            <v>account_Product_Draw_5__</v>
          </cell>
          <cell r="J6" t="str">
            <v>계정한정소환가속</v>
          </cell>
        </row>
        <row r="7">
          <cell r="J7"/>
        </row>
        <row r="8">
          <cell r="J8"/>
        </row>
        <row r="9">
          <cell r="I9" t="str">
            <v>account_Product_Hero_0__</v>
          </cell>
          <cell r="J9" t="str">
            <v>계정한정영웅육성지원</v>
          </cell>
        </row>
        <row r="10">
          <cell r="I10" t="str">
            <v>account_Product_Hero_1__</v>
          </cell>
          <cell r="J10" t="str">
            <v>계정한정영웅초월지원</v>
          </cell>
        </row>
        <row r="11">
          <cell r="I11" t="str">
            <v>account_Product_Hero_2__</v>
          </cell>
          <cell r="J11" t="str">
            <v>계정한정영웅어빌지원</v>
          </cell>
        </row>
        <row r="12">
          <cell r="I12" t="str">
            <v>account_Product_Hero_3__</v>
          </cell>
          <cell r="J12" t="str">
            <v>계정한정영웅룬지원</v>
          </cell>
        </row>
        <row r="13">
          <cell r="I13" t="str">
            <v>account_Product_Hero_4__</v>
          </cell>
          <cell r="J13" t="str">
            <v>계정한정영웅무기지원</v>
          </cell>
        </row>
        <row r="14">
          <cell r="I14" t="str">
            <v>account_Product_Hero_5__</v>
          </cell>
          <cell r="J14" t="str">
            <v>계정한정영웅갑옷지원</v>
          </cell>
        </row>
        <row r="15">
          <cell r="I15" t="str">
            <v>account_Product_Hero_6__</v>
          </cell>
          <cell r="J15" t="str">
            <v>계정한정영웅필드지원</v>
          </cell>
        </row>
        <row r="16">
          <cell r="I16" t="str">
            <v>account_Product_Hero_7__</v>
          </cell>
          <cell r="J16" t="str">
            <v>계정한정영웅점령전지원</v>
          </cell>
        </row>
        <row r="17">
          <cell r="I17" t="str">
            <v>account_Product_Hero_8__</v>
          </cell>
          <cell r="J17" t="str">
            <v>계정한정영웅무릉전</v>
          </cell>
        </row>
        <row r="18">
          <cell r="I18" t="str">
            <v>account_Product_Hero_9__</v>
          </cell>
          <cell r="J18" t="str">
            <v>계정한정영웅퇴마전</v>
          </cell>
        </row>
        <row r="19">
          <cell r="I19" t="str">
            <v>account_Product_Hero_10__</v>
          </cell>
          <cell r="J19" t="str">
            <v>계정한정영웅연구지원</v>
          </cell>
        </row>
        <row r="20">
          <cell r="J20"/>
        </row>
        <row r="21">
          <cell r="J21"/>
        </row>
        <row r="22">
          <cell r="I22" t="str">
            <v>(0)_account_Product_0__</v>
          </cell>
          <cell r="J22" t="str">
            <v>기한한정일간 무료</v>
          </cell>
        </row>
        <row r="23">
          <cell r="I23" t="str">
            <v>(0)_account_Product_1__</v>
          </cell>
          <cell r="J23" t="str">
            <v xml:space="preserve">기한한정일간장비 </v>
          </cell>
        </row>
        <row r="24">
          <cell r="I24" t="str">
            <v>(0)_account_Product_2__</v>
          </cell>
          <cell r="J24" t="str">
            <v xml:space="preserve">기한한정일간영웅 </v>
          </cell>
        </row>
        <row r="25">
          <cell r="I25" t="str">
            <v>(0)_account_Product_3__</v>
          </cell>
          <cell r="J25" t="str">
            <v>기한한정일간가속</v>
          </cell>
        </row>
        <row r="26">
          <cell r="I26" t="str">
            <v>(0)_account_Product_4__</v>
          </cell>
          <cell r="J26" t="str">
            <v xml:space="preserve">기한한정일간어빌석 </v>
          </cell>
        </row>
        <row r="27">
          <cell r="I27" t="str">
            <v>(0)_account_Product_5__</v>
          </cell>
          <cell r="J27" t="str">
            <v xml:space="preserve">기한한정일간연구석 </v>
          </cell>
        </row>
        <row r="28">
          <cell r="I28" t="str">
            <v>(0)_account_Product_6__</v>
          </cell>
          <cell r="J28" t="str">
            <v xml:space="preserve">기한한정일간입장권 </v>
          </cell>
        </row>
        <row r="29">
          <cell r="I29" t="str">
            <v>(0)_account_Product_7__</v>
          </cell>
          <cell r="J29" t="str">
            <v>기한한정일간입장권</v>
          </cell>
        </row>
        <row r="30">
          <cell r="J30"/>
        </row>
        <row r="31">
          <cell r="I31" t="str">
            <v>(1)_account_Product_0__</v>
          </cell>
          <cell r="J31" t="str">
            <v>주간 일간 무료</v>
          </cell>
        </row>
        <row r="32">
          <cell r="I32" t="str">
            <v>(1)_account_Product_1__</v>
          </cell>
          <cell r="J32" t="str">
            <v xml:space="preserve">주간장비 </v>
          </cell>
        </row>
        <row r="33">
          <cell r="I33" t="str">
            <v>(1)_account_Product_2__</v>
          </cell>
          <cell r="J33" t="str">
            <v xml:space="preserve">주간영웅 </v>
          </cell>
        </row>
        <row r="34">
          <cell r="I34" t="str">
            <v>(1)_account_Product_3__</v>
          </cell>
          <cell r="J34" t="str">
            <v xml:space="preserve">주간가속 </v>
          </cell>
        </row>
        <row r="35">
          <cell r="I35" t="str">
            <v>(1)_account_Product_4__</v>
          </cell>
          <cell r="J35" t="str">
            <v xml:space="preserve">주간어빌석 </v>
          </cell>
        </row>
        <row r="36">
          <cell r="I36" t="str">
            <v>(1)_account_Product_5__</v>
          </cell>
          <cell r="J36" t="str">
            <v xml:space="preserve">주간연구석 </v>
          </cell>
        </row>
        <row r="37">
          <cell r="I37" t="str">
            <v>(1)_account_Product_6__</v>
          </cell>
          <cell r="J37" t="str">
            <v xml:space="preserve">주간입장권 </v>
          </cell>
        </row>
        <row r="38">
          <cell r="I38" t="str">
            <v>(1)_account_Product_7__</v>
          </cell>
          <cell r="J38" t="str">
            <v xml:space="preserve">주간다이아 </v>
          </cell>
        </row>
        <row r="39">
          <cell r="I39" t="str">
            <v>(1)_account_Product_8__</v>
          </cell>
          <cell r="J39" t="str">
            <v xml:space="preserve">주간고려 지원 </v>
          </cell>
        </row>
        <row r="40">
          <cell r="I40" t="str">
            <v>(1)_account_Product_9__</v>
          </cell>
          <cell r="J40" t="str">
            <v xml:space="preserve">주간조선 지원 </v>
          </cell>
        </row>
        <row r="43">
          <cell r="I43" t="str">
            <v>Diamond_Product__1</v>
          </cell>
          <cell r="J43" t="str">
            <v>무료</v>
          </cell>
        </row>
        <row r="44">
          <cell r="I44" t="str">
            <v>Diamond_Product__2</v>
          </cell>
          <cell r="J44" t="str">
            <v>다이아330</v>
          </cell>
        </row>
        <row r="45">
          <cell r="I45" t="str">
            <v>Diamond_Product__3</v>
          </cell>
          <cell r="J45" t="str">
            <v>다이아550</v>
          </cell>
        </row>
        <row r="46">
          <cell r="I46" t="str">
            <v>Diamond_Product__4</v>
          </cell>
          <cell r="J46" t="str">
            <v>다이아990</v>
          </cell>
        </row>
        <row r="47">
          <cell r="I47" t="str">
            <v>Diamond_Product__5</v>
          </cell>
          <cell r="J47" t="str">
            <v>다이아3300</v>
          </cell>
        </row>
        <row r="48">
          <cell r="I48" t="str">
            <v>Diamond_Product__6</v>
          </cell>
          <cell r="J48" t="str">
            <v>다이아5900</v>
          </cell>
        </row>
        <row r="51">
          <cell r="I51" t="str">
            <v>Pass_Product_0__</v>
          </cell>
          <cell r="J51" t="str">
            <v>사냥패스1</v>
          </cell>
        </row>
        <row r="52">
          <cell r="I52" t="str">
            <v>Pass_Product_1__</v>
          </cell>
          <cell r="J52" t="str">
            <v>레벨패스1</v>
          </cell>
        </row>
        <row r="53">
          <cell r="I53" t="str">
            <v>Pass_Product_2__</v>
          </cell>
          <cell r="J53" t="str">
            <v>스테이지패스1</v>
          </cell>
        </row>
        <row r="54">
          <cell r="I54" t="str">
            <v>Pass_Product_3__</v>
          </cell>
          <cell r="J54" t="str">
            <v>육성패스1</v>
          </cell>
        </row>
        <row r="56">
          <cell r="I56" t="str">
            <v>Preminum_Product_1</v>
          </cell>
          <cell r="J56" t="str">
            <v>무료</v>
          </cell>
        </row>
        <row r="57">
          <cell r="I57" t="str">
            <v>Preminum_Product_2</v>
          </cell>
          <cell r="J57" t="str">
            <v>광고제거</v>
          </cell>
        </row>
        <row r="58">
          <cell r="I58" t="str">
            <v>Preminum_Product_3</v>
          </cell>
          <cell r="J58" t="str">
            <v>프리미엄</v>
          </cell>
        </row>
        <row r="59">
          <cell r="I59" t="str">
            <v>Preminum_Product_4</v>
          </cell>
          <cell r="J59" t="str">
            <v>월간 소환</v>
          </cell>
        </row>
        <row r="60">
          <cell r="I60" t="str">
            <v>Preminum_Product_5</v>
          </cell>
          <cell r="J60" t="str">
            <v>월간 스페셜</v>
          </cell>
        </row>
        <row r="62">
          <cell r="I62" t="str">
            <v>Sudden_Product_Stage__</v>
          </cell>
          <cell r="J62" t="str">
            <v>돌발스테이지</v>
          </cell>
        </row>
        <row r="63">
          <cell r="I63" t="str">
            <v>Sudden_Product_Weapon__</v>
          </cell>
          <cell r="J63" t="str">
            <v>돌발무기</v>
          </cell>
        </row>
        <row r="64">
          <cell r="I64" t="str">
            <v>Sudden_Product_Armor__</v>
          </cell>
          <cell r="J64" t="str">
            <v>돌발갑옷</v>
          </cell>
        </row>
        <row r="65">
          <cell r="I65" t="str">
            <v>Sudden_Product_Hero2__</v>
          </cell>
          <cell r="J65" t="str">
            <v>돌발조선</v>
          </cell>
        </row>
        <row r="66">
          <cell r="I66" t="str">
            <v>Sudden_Product_Hero1__</v>
          </cell>
          <cell r="J66" t="str">
            <v>돌발고려</v>
          </cell>
        </row>
        <row r="67">
          <cell r="I67" t="str">
            <v>Sudden_Product_Boost__</v>
          </cell>
          <cell r="J67" t="str">
            <v>돌발가속권</v>
          </cell>
        </row>
        <row r="68">
          <cell r="I68" t="str">
            <v>Sudden_Product_Research__</v>
          </cell>
          <cell r="J68" t="str">
            <v>돌발연구</v>
          </cell>
        </row>
        <row r="69">
          <cell r="I69" t="str">
            <v>Sudden_Product_Growth1__</v>
          </cell>
          <cell r="J69" t="str">
            <v>돌발육성</v>
          </cell>
        </row>
        <row r="70">
          <cell r="I70" t="str">
            <v>Sudden_Product_Growth2__</v>
          </cell>
          <cell r="J70" t="str">
            <v>돌발초월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C2B8-099C-436F-A55B-C74A152AF286}">
  <dimension ref="A1:K30"/>
  <sheetViews>
    <sheetView workbookViewId="0">
      <selection activeCell="F23" sqref="F23"/>
    </sheetView>
  </sheetViews>
  <sheetFormatPr defaultRowHeight="16.5" x14ac:dyDescent="0.3"/>
  <cols>
    <col min="1" max="1" width="11.125" bestFit="1" customWidth="1"/>
    <col min="2" max="2" width="15.5" bestFit="1" customWidth="1"/>
    <col min="7" max="7" width="15.5" bestFit="1" customWidth="1"/>
  </cols>
  <sheetData>
    <row r="1" spans="1:11" x14ac:dyDescent="0.3">
      <c r="A1" t="s">
        <v>0</v>
      </c>
      <c r="B1" t="s">
        <v>1</v>
      </c>
    </row>
    <row r="2" spans="1:11" x14ac:dyDescent="0.3">
      <c r="A2" s="1">
        <v>45853</v>
      </c>
      <c r="B2" s="4">
        <v>854700</v>
      </c>
    </row>
    <row r="3" spans="1:11" x14ac:dyDescent="0.3">
      <c r="A3" s="1">
        <v>45854</v>
      </c>
      <c r="B3" s="4">
        <v>3177900</v>
      </c>
    </row>
    <row r="4" spans="1:11" x14ac:dyDescent="0.3">
      <c r="A4" s="1">
        <v>45855</v>
      </c>
      <c r="B4" s="4">
        <v>10807507</v>
      </c>
    </row>
    <row r="5" spans="1:11" x14ac:dyDescent="0.3">
      <c r="A5" s="1">
        <v>45856</v>
      </c>
      <c r="B5" s="4">
        <v>13126300</v>
      </c>
    </row>
    <row r="6" spans="1:11" x14ac:dyDescent="0.3">
      <c r="A6" s="1">
        <v>45857</v>
      </c>
      <c r="B6" s="4">
        <v>18346900</v>
      </c>
    </row>
    <row r="7" spans="1:11" x14ac:dyDescent="0.3">
      <c r="A7" s="1">
        <v>45858</v>
      </c>
      <c r="B7" s="4">
        <v>17067600</v>
      </c>
    </row>
    <row r="8" spans="1:11" x14ac:dyDescent="0.3">
      <c r="A8" s="1">
        <v>45859</v>
      </c>
      <c r="B8" s="4">
        <v>14774100</v>
      </c>
    </row>
    <row r="9" spans="1:11" x14ac:dyDescent="0.3">
      <c r="A9" s="1">
        <v>45860</v>
      </c>
      <c r="B9" s="4">
        <v>16184300</v>
      </c>
      <c r="I9" s="1"/>
      <c r="J9" s="2"/>
    </row>
    <row r="10" spans="1:11" x14ac:dyDescent="0.3">
      <c r="A10" s="1">
        <v>45861</v>
      </c>
      <c r="B10" s="4">
        <v>15142616</v>
      </c>
      <c r="I10" s="1"/>
      <c r="J10" s="1"/>
      <c r="K10" s="2"/>
    </row>
    <row r="11" spans="1:11" x14ac:dyDescent="0.3">
      <c r="A11" s="1">
        <v>45862</v>
      </c>
      <c r="B11" s="4">
        <v>14297800</v>
      </c>
      <c r="I11" s="1"/>
      <c r="J11" s="1"/>
      <c r="K11" s="2"/>
    </row>
    <row r="12" spans="1:11" x14ac:dyDescent="0.3">
      <c r="A12" s="1">
        <v>45863</v>
      </c>
      <c r="B12" s="4">
        <v>14451800</v>
      </c>
      <c r="I12" s="1"/>
      <c r="J12" s="1"/>
      <c r="K12" s="2"/>
    </row>
    <row r="13" spans="1:11" x14ac:dyDescent="0.3">
      <c r="A13" s="1">
        <v>45864</v>
      </c>
      <c r="B13" s="4">
        <v>18903500</v>
      </c>
      <c r="J13" s="1"/>
      <c r="K13" s="2"/>
    </row>
    <row r="14" spans="1:11" x14ac:dyDescent="0.3">
      <c r="A14" s="1">
        <v>45865</v>
      </c>
      <c r="B14" s="4">
        <v>16406500</v>
      </c>
      <c r="J14" s="1"/>
      <c r="K14" s="2"/>
    </row>
    <row r="15" spans="1:11" x14ac:dyDescent="0.3">
      <c r="A15" s="1">
        <v>45866</v>
      </c>
      <c r="B15" s="4">
        <v>14029400</v>
      </c>
      <c r="J15" s="1"/>
      <c r="K15" s="2"/>
    </row>
    <row r="16" spans="1:11" x14ac:dyDescent="0.3">
      <c r="A16" s="1">
        <v>45867</v>
      </c>
      <c r="B16" s="4">
        <v>11873400</v>
      </c>
      <c r="J16" s="1"/>
      <c r="K16" s="2"/>
    </row>
    <row r="17" spans="1:11" x14ac:dyDescent="0.3">
      <c r="A17" s="1">
        <v>45868</v>
      </c>
      <c r="B17" s="4">
        <v>8616300</v>
      </c>
      <c r="J17" s="1"/>
      <c r="K17" s="2"/>
    </row>
    <row r="18" spans="1:11" x14ac:dyDescent="0.3">
      <c r="A18" s="1">
        <v>45869</v>
      </c>
      <c r="B18" s="4">
        <v>9121200</v>
      </c>
      <c r="J18" s="1"/>
      <c r="K18" s="2"/>
    </row>
    <row r="19" spans="1:11" x14ac:dyDescent="0.3">
      <c r="B19" s="4"/>
      <c r="J19" s="1"/>
      <c r="K19" s="2"/>
    </row>
    <row r="20" spans="1:11" x14ac:dyDescent="0.3">
      <c r="B20" s="4"/>
      <c r="J20" s="1"/>
      <c r="K20" s="2"/>
    </row>
    <row r="21" spans="1:11" x14ac:dyDescent="0.3">
      <c r="A21" s="3">
        <v>45870</v>
      </c>
      <c r="B21" s="4">
        <v>13532200</v>
      </c>
      <c r="J21" s="1"/>
      <c r="K21" s="2"/>
    </row>
    <row r="22" spans="1:11" x14ac:dyDescent="0.3">
      <c r="A22" s="3">
        <v>45871</v>
      </c>
      <c r="B22" s="4">
        <v>9675600</v>
      </c>
      <c r="J22" s="1"/>
      <c r="K22" s="2"/>
    </row>
    <row r="23" spans="1:11" x14ac:dyDescent="0.3">
      <c r="A23" s="3">
        <v>45872</v>
      </c>
      <c r="B23" s="4">
        <v>10817400</v>
      </c>
      <c r="J23" s="1"/>
      <c r="K23" s="2"/>
    </row>
    <row r="24" spans="1:11" x14ac:dyDescent="0.3">
      <c r="A24" s="1">
        <v>45873</v>
      </c>
      <c r="B24" s="4">
        <v>10820700</v>
      </c>
      <c r="J24" s="1"/>
      <c r="K24" s="2"/>
    </row>
    <row r="25" spans="1:11" x14ac:dyDescent="0.3">
      <c r="J25" s="1"/>
      <c r="K25" s="2"/>
    </row>
    <row r="26" spans="1:11" x14ac:dyDescent="0.3">
      <c r="J26" s="1"/>
      <c r="K26" s="2"/>
    </row>
    <row r="27" spans="1:11" x14ac:dyDescent="0.3">
      <c r="J27" s="1"/>
      <c r="K27" s="2"/>
    </row>
    <row r="28" spans="1:11" x14ac:dyDescent="0.3">
      <c r="G28" s="2"/>
      <c r="J28" s="1"/>
      <c r="K28" s="2"/>
    </row>
    <row r="29" spans="1:11" x14ac:dyDescent="0.3">
      <c r="J29" s="1"/>
      <c r="K29" s="2"/>
    </row>
    <row r="30" spans="1:11" x14ac:dyDescent="0.3">
      <c r="J30" s="1"/>
      <c r="K30" s="2"/>
    </row>
  </sheetData>
  <sortState xmlns:xlrd2="http://schemas.microsoft.com/office/spreadsheetml/2017/richdata2" ref="A2:B22">
    <sortCondition ref="A2:A22"/>
  </sortState>
  <phoneticPr fontId="1" type="noConversion"/>
  <hyperlinks>
    <hyperlink ref="A23" location="'8월1일'!A221" display="'8월1일'!A221" xr:uid="{6CE5793D-95C8-4568-8E68-9605A478FA52}"/>
    <hyperlink ref="A22" location="'8월2일'!A106" display="'8월2일'!A106" xr:uid="{E3BA06A9-F95D-432A-B35A-127E252EB792}"/>
    <hyperlink ref="A21" location="'8월1일'!A1" display="'8월1일'!A1" xr:uid="{333DA46F-AB42-423E-B37D-733D9A79C9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BE10-DC29-4AED-8CA3-7942B4E9D979}">
  <dimension ref="A1:M34"/>
  <sheetViews>
    <sheetView tabSelected="1" workbookViewId="0">
      <selection activeCell="M14" sqref="M14"/>
    </sheetView>
  </sheetViews>
  <sheetFormatPr defaultRowHeight="16.5" x14ac:dyDescent="0.3"/>
  <cols>
    <col min="1" max="1" width="15.5" bestFit="1" customWidth="1"/>
    <col min="2" max="2" width="13" bestFit="1" customWidth="1"/>
    <col min="3" max="3" width="12" bestFit="1" customWidth="1"/>
    <col min="4" max="4" width="11" bestFit="1" customWidth="1"/>
    <col min="5" max="11" width="12" bestFit="1" customWidth="1"/>
    <col min="12" max="12" width="11" bestFit="1" customWidth="1"/>
    <col min="13" max="13" width="11.375" bestFit="1" customWidth="1"/>
    <col min="14" max="14" width="14.375" bestFit="1" customWidth="1"/>
  </cols>
  <sheetData>
    <row r="1" spans="1:13" x14ac:dyDescent="0.3">
      <c r="A1" t="s">
        <v>188</v>
      </c>
      <c r="B1">
        <f>SUM(C1:L1)</f>
        <v>9243</v>
      </c>
      <c r="C1">
        <v>1445</v>
      </c>
      <c r="D1">
        <v>1451</v>
      </c>
      <c r="E1">
        <v>968</v>
      </c>
      <c r="F1">
        <v>844</v>
      </c>
      <c r="G1">
        <v>836</v>
      </c>
      <c r="H1">
        <v>767</v>
      </c>
      <c r="I1">
        <v>792</v>
      </c>
      <c r="J1">
        <v>933</v>
      </c>
      <c r="K1">
        <v>899</v>
      </c>
      <c r="L1">
        <v>308</v>
      </c>
    </row>
    <row r="2" spans="1:13" x14ac:dyDescent="0.3">
      <c r="A2" s="5"/>
      <c r="B2" s="5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3" x14ac:dyDescent="0.3">
      <c r="A3" t="s">
        <v>105</v>
      </c>
      <c r="B3" t="s">
        <v>176</v>
      </c>
      <c r="C3" s="6">
        <v>45864</v>
      </c>
      <c r="D3" s="6">
        <v>45865</v>
      </c>
      <c r="E3" s="6">
        <v>45866</v>
      </c>
      <c r="F3" s="6">
        <v>45867</v>
      </c>
      <c r="G3" s="6">
        <v>45868</v>
      </c>
      <c r="H3" s="6">
        <v>45869</v>
      </c>
      <c r="I3" s="6">
        <v>45870</v>
      </c>
      <c r="J3" s="6">
        <v>45871</v>
      </c>
      <c r="K3" s="6">
        <v>45872</v>
      </c>
      <c r="L3" s="6"/>
      <c r="M3" s="6"/>
    </row>
    <row r="4" spans="1:13" x14ac:dyDescent="0.3">
      <c r="A4" s="4" t="s">
        <v>182</v>
      </c>
      <c r="B4" s="4">
        <v>16299800</v>
      </c>
      <c r="C4" s="4">
        <v>2841300</v>
      </c>
      <c r="D4" s="4">
        <v>2757700</v>
      </c>
      <c r="E4" s="4">
        <v>1464100</v>
      </c>
      <c r="F4" s="4">
        <v>1670900</v>
      </c>
      <c r="G4" s="4">
        <v>1312300</v>
      </c>
      <c r="H4" s="4">
        <v>1067000</v>
      </c>
      <c r="I4" s="4">
        <v>1157200</v>
      </c>
      <c r="J4" s="4">
        <v>1538900</v>
      </c>
      <c r="K4" s="4">
        <v>1711600</v>
      </c>
      <c r="L4" s="4"/>
    </row>
    <row r="5" spans="1:13" x14ac:dyDescent="0.3">
      <c r="A5" s="4" t="s">
        <v>181</v>
      </c>
      <c r="B5" s="4">
        <v>10228900</v>
      </c>
      <c r="C5" s="4">
        <v>1662100</v>
      </c>
      <c r="D5" s="4">
        <v>1764400</v>
      </c>
      <c r="E5" s="4">
        <v>1012000</v>
      </c>
      <c r="F5" s="4">
        <v>658900</v>
      </c>
      <c r="G5" s="4">
        <v>1338700</v>
      </c>
      <c r="H5" s="4">
        <v>630300</v>
      </c>
      <c r="I5" s="4">
        <v>974600</v>
      </c>
      <c r="J5" s="4">
        <v>830500</v>
      </c>
      <c r="K5" s="4">
        <v>1038400</v>
      </c>
      <c r="L5" s="4"/>
    </row>
    <row r="6" spans="1:13" x14ac:dyDescent="0.3">
      <c r="A6" s="4" t="s">
        <v>180</v>
      </c>
      <c r="B6" s="4">
        <v>8554700</v>
      </c>
      <c r="C6" s="4">
        <v>976800</v>
      </c>
      <c r="D6" s="4">
        <v>1025200</v>
      </c>
      <c r="E6" s="4">
        <v>1205600</v>
      </c>
      <c r="F6" s="4">
        <v>503800</v>
      </c>
      <c r="G6" s="4">
        <v>1105500</v>
      </c>
      <c r="H6" s="4">
        <v>815100</v>
      </c>
      <c r="I6" s="4">
        <v>921800</v>
      </c>
      <c r="J6" s="4">
        <v>777700</v>
      </c>
      <c r="K6" s="4">
        <v>973500</v>
      </c>
      <c r="L6" s="4"/>
    </row>
    <row r="7" spans="1:13" x14ac:dyDescent="0.3">
      <c r="A7" s="4" t="s">
        <v>114</v>
      </c>
      <c r="B7" s="4">
        <v>6316200</v>
      </c>
      <c r="C7" s="4">
        <v>732600</v>
      </c>
      <c r="D7" s="4">
        <v>776600</v>
      </c>
      <c r="E7" s="4">
        <v>313500</v>
      </c>
      <c r="F7" s="4">
        <v>899800</v>
      </c>
      <c r="G7" s="4">
        <v>994400</v>
      </c>
      <c r="H7" s="4">
        <v>342100</v>
      </c>
      <c r="I7" s="4">
        <v>768900</v>
      </c>
      <c r="J7" s="4">
        <v>522500</v>
      </c>
      <c r="K7" s="4">
        <v>674300</v>
      </c>
      <c r="L7" s="4"/>
    </row>
    <row r="8" spans="1:13" x14ac:dyDescent="0.3">
      <c r="A8" s="7" t="s">
        <v>115</v>
      </c>
      <c r="B8" s="7">
        <v>10241000</v>
      </c>
      <c r="C8" s="7">
        <v>1116500</v>
      </c>
      <c r="D8" s="7">
        <v>910800</v>
      </c>
      <c r="E8" s="7">
        <v>2036100</v>
      </c>
      <c r="F8" s="7">
        <v>1337600</v>
      </c>
      <c r="G8" s="7">
        <v>855800</v>
      </c>
      <c r="H8" s="7">
        <v>816200</v>
      </c>
      <c r="I8" s="7">
        <v>1570800</v>
      </c>
      <c r="J8" s="7">
        <v>607200</v>
      </c>
      <c r="K8" s="7">
        <v>807400</v>
      </c>
      <c r="L8" s="4"/>
    </row>
    <row r="9" spans="1:13" x14ac:dyDescent="0.3">
      <c r="A9" s="7" t="s">
        <v>117</v>
      </c>
      <c r="B9" s="7">
        <v>17150100</v>
      </c>
      <c r="C9" s="7">
        <v>3129500</v>
      </c>
      <c r="D9" s="7">
        <v>2171400</v>
      </c>
      <c r="E9" s="7">
        <v>1952500</v>
      </c>
      <c r="F9" s="7">
        <v>1296900</v>
      </c>
      <c r="G9" s="7">
        <v>1324400</v>
      </c>
      <c r="H9" s="7">
        <v>1642300</v>
      </c>
      <c r="I9" s="7">
        <v>1939300</v>
      </c>
      <c r="J9" s="7">
        <v>2030600</v>
      </c>
      <c r="K9" s="7">
        <v>1445400</v>
      </c>
      <c r="L9" s="2"/>
      <c r="M9" s="4"/>
    </row>
    <row r="10" spans="1:13" x14ac:dyDescent="0.3">
      <c r="A10" s="4" t="s">
        <v>118</v>
      </c>
      <c r="B10" s="4">
        <v>9323600</v>
      </c>
      <c r="C10" s="4">
        <v>924000</v>
      </c>
      <c r="D10" s="4">
        <v>995500</v>
      </c>
      <c r="E10" s="4">
        <v>1563100</v>
      </c>
      <c r="F10" s="4">
        <v>963600</v>
      </c>
      <c r="G10" s="4">
        <v>288200</v>
      </c>
      <c r="H10" s="4">
        <v>961400</v>
      </c>
      <c r="I10" s="4">
        <v>1381600</v>
      </c>
      <c r="J10" s="4">
        <v>713900</v>
      </c>
      <c r="K10" s="4">
        <v>1194600</v>
      </c>
      <c r="L10" s="4"/>
    </row>
    <row r="11" spans="1:13" x14ac:dyDescent="0.3">
      <c r="A11" s="4" t="s">
        <v>120</v>
      </c>
      <c r="B11" s="4">
        <v>9204800</v>
      </c>
      <c r="C11" s="4">
        <v>1166000</v>
      </c>
      <c r="D11" s="4">
        <v>601700</v>
      </c>
      <c r="E11" s="4">
        <v>550000</v>
      </c>
      <c r="F11" s="4">
        <v>550000</v>
      </c>
      <c r="G11" s="4">
        <v>754600</v>
      </c>
      <c r="H11" s="4">
        <v>1551000</v>
      </c>
      <c r="I11" s="4">
        <v>1856800</v>
      </c>
      <c r="J11" s="4">
        <v>1227600</v>
      </c>
      <c r="K11" s="4">
        <v>739200</v>
      </c>
      <c r="L11" s="4"/>
    </row>
    <row r="12" spans="1:13" x14ac:dyDescent="0.3">
      <c r="A12" s="4" t="s">
        <v>121</v>
      </c>
      <c r="B12" s="4">
        <v>7304000</v>
      </c>
      <c r="C12" s="4">
        <v>1612600</v>
      </c>
      <c r="D12" s="4">
        <v>352000</v>
      </c>
      <c r="E12" s="4">
        <v>1315600</v>
      </c>
      <c r="F12" s="4">
        <v>418000</v>
      </c>
      <c r="G12" s="4">
        <v>376200</v>
      </c>
      <c r="H12" s="4">
        <v>1144000</v>
      </c>
      <c r="I12" s="4">
        <v>1160500</v>
      </c>
      <c r="J12" s="4">
        <v>385000</v>
      </c>
      <c r="K12" s="4">
        <v>408100</v>
      </c>
      <c r="L12" s="4"/>
    </row>
    <row r="13" spans="1:13" x14ac:dyDescent="0.3">
      <c r="A13" s="4" t="s">
        <v>123</v>
      </c>
      <c r="B13" s="4">
        <v>8473300</v>
      </c>
      <c r="C13" s="4">
        <v>803000</v>
      </c>
      <c r="D13" s="4">
        <v>1485000</v>
      </c>
      <c r="E13" s="4">
        <v>1384900</v>
      </c>
      <c r="F13" s="4">
        <v>589600</v>
      </c>
      <c r="G13" s="4">
        <v>231000</v>
      </c>
      <c r="H13" s="4">
        <v>1430000</v>
      </c>
      <c r="I13" s="4">
        <v>545600</v>
      </c>
      <c r="J13" s="4">
        <v>705100</v>
      </c>
      <c r="K13" s="4">
        <v>647900</v>
      </c>
      <c r="L13" s="4"/>
    </row>
    <row r="14" spans="1:13" x14ac:dyDescent="0.3">
      <c r="A14" s="4" t="s">
        <v>124</v>
      </c>
      <c r="B14" s="4">
        <v>3017300</v>
      </c>
      <c r="C14" s="4">
        <v>220000</v>
      </c>
      <c r="D14" s="4">
        <v>814000</v>
      </c>
      <c r="E14" s="4">
        <v>238700</v>
      </c>
      <c r="F14" s="4">
        <v>501600</v>
      </c>
      <c r="G14" s="4">
        <v>341000</v>
      </c>
      <c r="H14" s="4">
        <v>319000</v>
      </c>
      <c r="I14" s="4">
        <v>0</v>
      </c>
      <c r="J14" s="4">
        <v>143000</v>
      </c>
      <c r="K14" s="4">
        <v>275000</v>
      </c>
      <c r="L14" s="4"/>
    </row>
    <row r="15" spans="1:13" x14ac:dyDescent="0.3">
      <c r="A15" s="4" t="s">
        <v>126</v>
      </c>
      <c r="B15" s="4">
        <v>4131600</v>
      </c>
      <c r="C15" s="4">
        <v>1382700</v>
      </c>
      <c r="D15" s="4">
        <v>253000</v>
      </c>
      <c r="E15" s="4">
        <v>231000</v>
      </c>
      <c r="F15" s="4">
        <v>385000</v>
      </c>
      <c r="G15" s="4">
        <v>880000</v>
      </c>
      <c r="H15" s="4">
        <v>245300</v>
      </c>
      <c r="I15" s="4">
        <v>352000</v>
      </c>
      <c r="J15" s="4">
        <v>66000</v>
      </c>
      <c r="K15" s="4">
        <v>220000</v>
      </c>
      <c r="L15" s="2"/>
    </row>
    <row r="16" spans="1:13" x14ac:dyDescent="0.3">
      <c r="A16" s="4" t="s">
        <v>127</v>
      </c>
      <c r="B16" s="4">
        <v>2103200</v>
      </c>
      <c r="C16" s="4">
        <v>1117600</v>
      </c>
      <c r="D16" s="4">
        <v>28600</v>
      </c>
      <c r="E16" s="4">
        <v>11000</v>
      </c>
      <c r="F16" s="4">
        <v>220000</v>
      </c>
      <c r="G16" s="4">
        <v>55000</v>
      </c>
      <c r="H16" s="4">
        <v>110000</v>
      </c>
      <c r="I16" s="4">
        <v>0</v>
      </c>
      <c r="J16" s="4">
        <v>0</v>
      </c>
      <c r="K16" s="4">
        <v>418000</v>
      </c>
      <c r="L16" s="2"/>
    </row>
    <row r="17" spans="1:13" x14ac:dyDescent="0.3">
      <c r="A17" s="4" t="s">
        <v>179</v>
      </c>
      <c r="B17" s="4">
        <v>1177000</v>
      </c>
      <c r="C17" s="4">
        <v>0</v>
      </c>
      <c r="D17" s="4">
        <v>220000</v>
      </c>
      <c r="E17" s="4">
        <v>770000</v>
      </c>
      <c r="F17" s="4">
        <v>0</v>
      </c>
      <c r="G17" s="4">
        <v>22000</v>
      </c>
      <c r="H17" s="4">
        <v>0</v>
      </c>
      <c r="I17" s="4">
        <v>0</v>
      </c>
      <c r="J17" s="4">
        <v>0</v>
      </c>
      <c r="K17" s="4">
        <v>0</v>
      </c>
      <c r="L17" s="2"/>
    </row>
    <row r="18" spans="1:13" x14ac:dyDescent="0.3">
      <c r="A18" t="s">
        <v>129</v>
      </c>
      <c r="B18" s="4">
        <v>1375000</v>
      </c>
      <c r="C18" s="4">
        <v>0</v>
      </c>
      <c r="D18" s="4">
        <v>0</v>
      </c>
      <c r="E18" s="4">
        <v>1100000</v>
      </c>
      <c r="F18" s="4">
        <v>0</v>
      </c>
      <c r="G18" s="4">
        <v>143000</v>
      </c>
      <c r="H18" s="4">
        <v>33000</v>
      </c>
      <c r="I18" s="4">
        <v>88000</v>
      </c>
      <c r="J18" s="4">
        <v>0</v>
      </c>
      <c r="K18" s="4">
        <v>11000</v>
      </c>
      <c r="L18" s="2"/>
      <c r="M18" s="2"/>
    </row>
    <row r="19" spans="1:13" x14ac:dyDescent="0.3">
      <c r="A19" t="s">
        <v>131</v>
      </c>
      <c r="B19" s="4">
        <v>662200</v>
      </c>
      <c r="C19" s="4">
        <v>1100</v>
      </c>
      <c r="D19" s="4">
        <v>0</v>
      </c>
      <c r="E19" s="4">
        <v>0</v>
      </c>
      <c r="F19" s="4">
        <v>110000</v>
      </c>
      <c r="G19" s="4">
        <v>0</v>
      </c>
      <c r="H19" s="4">
        <v>110000</v>
      </c>
      <c r="I19" s="4">
        <v>221100</v>
      </c>
      <c r="J19" s="4">
        <v>0</v>
      </c>
      <c r="K19" s="4">
        <v>110000</v>
      </c>
      <c r="L19" s="2"/>
      <c r="M19" s="2"/>
    </row>
    <row r="20" spans="1:13" x14ac:dyDescent="0.3">
      <c r="A20" s="4" t="s">
        <v>137</v>
      </c>
      <c r="B20" s="4">
        <v>454300</v>
      </c>
      <c r="C20" s="4">
        <v>1100</v>
      </c>
      <c r="D20" s="4">
        <v>1100</v>
      </c>
      <c r="E20" s="4">
        <v>0</v>
      </c>
      <c r="F20" s="4">
        <v>0</v>
      </c>
      <c r="G20" s="4">
        <v>0</v>
      </c>
      <c r="H20" s="4">
        <v>0</v>
      </c>
      <c r="I20" s="4">
        <v>440000</v>
      </c>
      <c r="J20" s="4">
        <v>0</v>
      </c>
      <c r="K20" s="4">
        <v>0</v>
      </c>
      <c r="L20" s="2"/>
    </row>
    <row r="21" spans="1:13" x14ac:dyDescent="0.3">
      <c r="A21" s="4" t="s">
        <v>133</v>
      </c>
      <c r="B21" s="4">
        <v>111100</v>
      </c>
      <c r="C21" s="4">
        <v>1100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110000</v>
      </c>
      <c r="L21" s="2"/>
    </row>
    <row r="22" spans="1:13" x14ac:dyDescent="0.3">
      <c r="A22" t="s">
        <v>174</v>
      </c>
      <c r="B22" s="4">
        <v>36300</v>
      </c>
      <c r="C22" s="4">
        <v>36300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2"/>
    </row>
    <row r="23" spans="1:13" x14ac:dyDescent="0.3">
      <c r="A23" t="s">
        <v>175</v>
      </c>
      <c r="B23" s="4">
        <v>24200</v>
      </c>
      <c r="C23" s="4">
        <v>17600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6600</v>
      </c>
      <c r="K23" s="4">
        <v>0</v>
      </c>
      <c r="L23" s="2"/>
    </row>
    <row r="24" spans="1:13" x14ac:dyDescent="0.3">
      <c r="A24" s="4" t="s">
        <v>135</v>
      </c>
      <c r="B24" s="4">
        <v>99000</v>
      </c>
      <c r="C24" s="4">
        <v>0</v>
      </c>
      <c r="D24" s="4">
        <v>0</v>
      </c>
      <c r="E24" s="4">
        <v>0</v>
      </c>
      <c r="F24" s="4">
        <v>0</v>
      </c>
      <c r="G24" s="4">
        <v>33000</v>
      </c>
      <c r="H24" s="4">
        <v>33000</v>
      </c>
      <c r="I24" s="4">
        <v>33000</v>
      </c>
      <c r="J24" s="4">
        <v>0</v>
      </c>
      <c r="K24" s="4">
        <v>0</v>
      </c>
      <c r="L24" s="2"/>
      <c r="M24" s="2"/>
    </row>
    <row r="25" spans="1:13" x14ac:dyDescent="0.3">
      <c r="A25" s="4" t="s">
        <v>136</v>
      </c>
      <c r="B25" s="4">
        <v>154000</v>
      </c>
      <c r="C25" s="4">
        <v>33000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66000</v>
      </c>
      <c r="J25" s="4">
        <v>55000</v>
      </c>
      <c r="K25" s="4">
        <v>0</v>
      </c>
      <c r="L25" s="2"/>
      <c r="M25" s="2"/>
    </row>
    <row r="26" spans="1:13" x14ac:dyDescent="0.3">
      <c r="A26" s="4" t="s">
        <v>177</v>
      </c>
      <c r="B26" s="4">
        <v>6600</v>
      </c>
      <c r="C26" s="4">
        <v>6600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2"/>
    </row>
    <row r="27" spans="1:13" x14ac:dyDescent="0.3">
      <c r="A27" s="4" t="s">
        <v>178</v>
      </c>
      <c r="B27" s="4">
        <v>11000</v>
      </c>
      <c r="C27" s="4">
        <v>0</v>
      </c>
      <c r="D27" s="4">
        <v>0</v>
      </c>
      <c r="E27" s="4">
        <v>0</v>
      </c>
      <c r="F27" s="4">
        <v>0</v>
      </c>
      <c r="G27" s="4">
        <v>11000</v>
      </c>
      <c r="H27" s="4">
        <v>0</v>
      </c>
      <c r="I27" s="4">
        <v>0</v>
      </c>
      <c r="J27" s="4">
        <v>0</v>
      </c>
      <c r="K27" s="4">
        <v>0</v>
      </c>
      <c r="L27" s="2"/>
    </row>
    <row r="28" spans="1:13" x14ac:dyDescent="0.3">
      <c r="L28" s="2"/>
    </row>
    <row r="29" spans="1:13" x14ac:dyDescent="0.3">
      <c r="A29" t="s">
        <v>183</v>
      </c>
      <c r="B29" t="s">
        <v>176</v>
      </c>
      <c r="C29" s="6">
        <v>45864</v>
      </c>
      <c r="D29" s="6">
        <v>45865</v>
      </c>
      <c r="E29" s="6">
        <v>45866</v>
      </c>
      <c r="F29" s="6">
        <v>45867</v>
      </c>
      <c r="G29" s="6">
        <v>45868</v>
      </c>
      <c r="H29" s="6">
        <v>45869</v>
      </c>
      <c r="I29" s="6">
        <v>45870</v>
      </c>
      <c r="J29" s="6">
        <v>45871</v>
      </c>
      <c r="K29" s="6">
        <v>45872</v>
      </c>
      <c r="L29" s="2"/>
    </row>
    <row r="30" spans="1:13" x14ac:dyDescent="0.3">
      <c r="A30" t="s">
        <v>184</v>
      </c>
      <c r="B30" s="4">
        <v>3827</v>
      </c>
      <c r="C30">
        <v>598</v>
      </c>
      <c r="D30">
        <v>574</v>
      </c>
      <c r="E30">
        <v>413</v>
      </c>
      <c r="F30">
        <v>371</v>
      </c>
      <c r="G30">
        <v>360</v>
      </c>
      <c r="H30">
        <v>317</v>
      </c>
      <c r="I30">
        <v>349</v>
      </c>
      <c r="J30">
        <v>363</v>
      </c>
      <c r="K30">
        <v>356</v>
      </c>
      <c r="L30" s="2"/>
    </row>
    <row r="31" spans="1:13" x14ac:dyDescent="0.3">
      <c r="A31" t="s">
        <v>185</v>
      </c>
      <c r="B31" s="4">
        <v>3368</v>
      </c>
      <c r="C31">
        <v>497</v>
      </c>
      <c r="D31">
        <v>534</v>
      </c>
      <c r="E31">
        <v>345</v>
      </c>
      <c r="F31">
        <v>277</v>
      </c>
      <c r="G31">
        <v>298</v>
      </c>
      <c r="H31">
        <v>298</v>
      </c>
      <c r="I31">
        <v>286</v>
      </c>
      <c r="J31">
        <v>372</v>
      </c>
      <c r="K31">
        <v>344</v>
      </c>
      <c r="L31" s="2"/>
    </row>
    <row r="32" spans="1:13" x14ac:dyDescent="0.3">
      <c r="A32" t="s">
        <v>186</v>
      </c>
      <c r="B32" s="4">
        <v>2047</v>
      </c>
      <c r="C32">
        <v>349</v>
      </c>
      <c r="D32">
        <v>343</v>
      </c>
      <c r="E32">
        <v>210</v>
      </c>
      <c r="F32">
        <v>196</v>
      </c>
      <c r="G32">
        <v>178</v>
      </c>
      <c r="H32">
        <v>152</v>
      </c>
      <c r="I32">
        <v>157</v>
      </c>
      <c r="J32">
        <v>198</v>
      </c>
      <c r="K32">
        <v>199</v>
      </c>
    </row>
    <row r="33" spans="1:12" x14ac:dyDescent="0.3">
      <c r="A33" t="s">
        <v>187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C34">
        <f>SUM(C30:C33)</f>
        <v>1445</v>
      </c>
      <c r="D34">
        <f t="shared" ref="D34:K34" si="0">SUM(D30:D33)</f>
        <v>1451</v>
      </c>
      <c r="E34">
        <f t="shared" si="0"/>
        <v>968</v>
      </c>
      <c r="F34">
        <f t="shared" si="0"/>
        <v>844</v>
      </c>
      <c r="G34">
        <f t="shared" si="0"/>
        <v>836</v>
      </c>
      <c r="H34">
        <f t="shared" si="0"/>
        <v>767</v>
      </c>
      <c r="I34">
        <f t="shared" si="0"/>
        <v>792</v>
      </c>
      <c r="J34">
        <f t="shared" si="0"/>
        <v>933</v>
      </c>
      <c r="K34">
        <f t="shared" si="0"/>
        <v>899</v>
      </c>
      <c r="L3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CE36-E206-4EAB-943D-CC58FAEC6A4E}">
  <dimension ref="A1:O38"/>
  <sheetViews>
    <sheetView workbookViewId="0">
      <selection activeCell="C16" sqref="C16"/>
    </sheetView>
  </sheetViews>
  <sheetFormatPr defaultRowHeight="16.5" x14ac:dyDescent="0.3"/>
  <sheetData>
    <row r="1" spans="1:15" x14ac:dyDescent="0.3">
      <c r="A1" t="s">
        <v>205</v>
      </c>
      <c r="B1" t="s">
        <v>105</v>
      </c>
      <c r="D1" t="s">
        <v>176</v>
      </c>
      <c r="E1" s="6">
        <v>45864</v>
      </c>
      <c r="F1" s="6">
        <v>45865</v>
      </c>
      <c r="G1" s="6">
        <v>45866</v>
      </c>
      <c r="H1" s="6">
        <v>45867</v>
      </c>
      <c r="I1" s="6">
        <v>45868</v>
      </c>
      <c r="J1" s="6">
        <v>45869</v>
      </c>
      <c r="K1" s="6">
        <v>45870</v>
      </c>
      <c r="L1" s="6">
        <v>45871</v>
      </c>
      <c r="M1" s="6">
        <v>45872</v>
      </c>
      <c r="N1" s="6">
        <v>45873</v>
      </c>
      <c r="O1" s="6">
        <v>45874</v>
      </c>
    </row>
    <row r="2" spans="1:15" x14ac:dyDescent="0.3">
      <c r="A2" t="s">
        <v>1</v>
      </c>
      <c r="B2" t="s">
        <v>106</v>
      </c>
      <c r="C2">
        <f>(LEFT(B2,FIND("~",B2)-1)+RIGHT(B2,LEN(B2)-FIND("~",B2)))/2</f>
        <v>5</v>
      </c>
      <c r="D2" s="2">
        <v>5952100</v>
      </c>
      <c r="E2" s="2">
        <v>870100</v>
      </c>
      <c r="F2" s="2">
        <v>970200</v>
      </c>
      <c r="G2" s="2">
        <v>539000</v>
      </c>
      <c r="H2" s="2">
        <v>485100</v>
      </c>
      <c r="I2" s="2">
        <v>515900</v>
      </c>
      <c r="J2" s="2">
        <v>431200</v>
      </c>
      <c r="K2" s="2">
        <v>492800</v>
      </c>
      <c r="L2" s="2">
        <v>531300</v>
      </c>
      <c r="M2" s="2">
        <v>569800</v>
      </c>
      <c r="N2" s="2">
        <v>423500</v>
      </c>
      <c r="O2" s="2">
        <v>123200</v>
      </c>
    </row>
    <row r="3" spans="1:15" x14ac:dyDescent="0.3">
      <c r="A3" t="s">
        <v>1</v>
      </c>
      <c r="B3" t="s">
        <v>108</v>
      </c>
      <c r="C3">
        <f>(LEFT(B3,FIND("~",B3)-1)+RIGHT(B3,LEN(B3)-FIND("~",B3)))/2</f>
        <v>15</v>
      </c>
      <c r="D3" s="2">
        <v>1986600</v>
      </c>
      <c r="E3" s="2">
        <v>331100</v>
      </c>
      <c r="F3" s="2">
        <v>292600</v>
      </c>
      <c r="G3" s="2">
        <v>130900</v>
      </c>
      <c r="H3" s="2">
        <v>238700</v>
      </c>
      <c r="I3" s="2">
        <v>146300</v>
      </c>
      <c r="J3" s="2">
        <v>123200</v>
      </c>
      <c r="K3" s="2">
        <v>107800</v>
      </c>
      <c r="L3" s="2">
        <v>231000</v>
      </c>
      <c r="M3" s="2">
        <v>231000</v>
      </c>
      <c r="N3" s="2">
        <v>107800</v>
      </c>
      <c r="O3" s="2">
        <v>46200</v>
      </c>
    </row>
    <row r="4" spans="1:15" x14ac:dyDescent="0.3">
      <c r="A4" t="s">
        <v>1</v>
      </c>
      <c r="B4" t="s">
        <v>116</v>
      </c>
      <c r="C4">
        <f>(LEFT(B4,FIND("~",B4)-1)+RIGHT(B4,LEN(B4)-FIND("~",B4)))/2</f>
        <v>25</v>
      </c>
      <c r="D4" s="2">
        <v>4489100</v>
      </c>
      <c r="E4" s="2">
        <v>779900</v>
      </c>
      <c r="F4" s="2">
        <v>805200</v>
      </c>
      <c r="G4" s="2">
        <v>286000</v>
      </c>
      <c r="H4" s="2">
        <v>394900</v>
      </c>
      <c r="I4" s="2">
        <v>232100</v>
      </c>
      <c r="J4" s="2">
        <v>235400</v>
      </c>
      <c r="K4" s="2">
        <v>233200</v>
      </c>
      <c r="L4" s="2">
        <v>381700</v>
      </c>
      <c r="M4" s="2">
        <v>531300</v>
      </c>
      <c r="N4" s="2">
        <v>512600</v>
      </c>
      <c r="O4" s="2">
        <v>96800</v>
      </c>
    </row>
    <row r="5" spans="1:15" x14ac:dyDescent="0.3">
      <c r="A5" t="s">
        <v>1</v>
      </c>
      <c r="B5" t="s">
        <v>119</v>
      </c>
      <c r="C5">
        <f>(LEFT(B5,FIND("~",B5)-1)+RIGHT(B5,LEN(B5)-FIND("~",B5)))/2</f>
        <v>35</v>
      </c>
      <c r="D5" s="2">
        <v>2571800</v>
      </c>
      <c r="E5" s="2">
        <v>476300</v>
      </c>
      <c r="F5" s="2">
        <v>234300</v>
      </c>
      <c r="G5" s="2">
        <v>238700</v>
      </c>
      <c r="H5" s="2">
        <v>220000</v>
      </c>
      <c r="I5" s="2">
        <v>179300</v>
      </c>
      <c r="J5" s="2">
        <v>196900</v>
      </c>
      <c r="K5" s="2">
        <v>79200</v>
      </c>
      <c r="L5" s="2">
        <v>167200</v>
      </c>
      <c r="M5" s="2">
        <v>262900</v>
      </c>
      <c r="N5" s="2">
        <v>352000</v>
      </c>
      <c r="O5" s="2">
        <v>165000</v>
      </c>
    </row>
    <row r="6" spans="1:15" x14ac:dyDescent="0.3">
      <c r="A6" t="s">
        <v>1</v>
      </c>
      <c r="B6" t="s">
        <v>122</v>
      </c>
      <c r="C6">
        <f>(LEFT(B6,FIND("~",B6)-1)+RIGHT(B6,LEN(B6)-FIND("~",B6)))/2</f>
        <v>45</v>
      </c>
      <c r="D6" s="2">
        <v>2565200</v>
      </c>
      <c r="E6" s="2">
        <v>383900</v>
      </c>
      <c r="F6" s="2">
        <v>455400</v>
      </c>
      <c r="G6" s="2">
        <v>269500</v>
      </c>
      <c r="H6" s="2">
        <v>332200</v>
      </c>
      <c r="I6" s="2">
        <v>238700</v>
      </c>
      <c r="J6" s="2">
        <v>80300</v>
      </c>
      <c r="K6" s="2">
        <v>244200</v>
      </c>
      <c r="L6" s="2">
        <v>227700</v>
      </c>
      <c r="M6" s="2">
        <v>116600</v>
      </c>
      <c r="N6" s="2">
        <v>194700</v>
      </c>
      <c r="O6" s="2">
        <v>22000</v>
      </c>
    </row>
    <row r="7" spans="1:15" x14ac:dyDescent="0.3">
      <c r="A7" t="s">
        <v>1</v>
      </c>
      <c r="B7" t="s">
        <v>125</v>
      </c>
      <c r="C7">
        <f>(LEFT(B7,FIND("~",B7)-1)+RIGHT(B7,LEN(B7)-FIND("~",B7)))/2</f>
        <v>55</v>
      </c>
      <c r="D7" s="2">
        <v>2261600</v>
      </c>
      <c r="E7" s="2">
        <v>203500</v>
      </c>
      <c r="F7" s="2">
        <v>536800</v>
      </c>
      <c r="G7" s="2">
        <v>189200</v>
      </c>
      <c r="H7" s="2">
        <v>154000</v>
      </c>
      <c r="I7" s="2">
        <v>203500</v>
      </c>
      <c r="J7" s="2">
        <v>137500</v>
      </c>
      <c r="K7" s="2">
        <v>168300</v>
      </c>
      <c r="L7" s="2">
        <v>160600</v>
      </c>
      <c r="M7" s="2">
        <v>231000</v>
      </c>
      <c r="N7" s="2">
        <v>240900</v>
      </c>
      <c r="O7" s="2">
        <v>36300</v>
      </c>
    </row>
    <row r="8" spans="1:15" x14ac:dyDescent="0.3">
      <c r="A8" t="s">
        <v>1</v>
      </c>
      <c r="B8" t="s">
        <v>128</v>
      </c>
      <c r="C8">
        <f>(LEFT(B8,FIND("~",B8)-1)+RIGHT(B8,LEN(B8)-FIND("~",B8)))/2</f>
        <v>65</v>
      </c>
      <c r="D8" s="2">
        <v>1993200</v>
      </c>
      <c r="E8" s="2">
        <v>261800</v>
      </c>
      <c r="F8" s="2">
        <v>322300</v>
      </c>
      <c r="G8" s="2">
        <v>213400</v>
      </c>
      <c r="H8" s="2">
        <v>136400</v>
      </c>
      <c r="I8" s="2">
        <v>238700</v>
      </c>
      <c r="J8" s="2">
        <v>154000</v>
      </c>
      <c r="K8" s="2">
        <v>83600</v>
      </c>
      <c r="L8" s="2">
        <v>256300</v>
      </c>
      <c r="M8" s="2">
        <v>182600</v>
      </c>
      <c r="N8" s="2">
        <v>136400</v>
      </c>
      <c r="O8" s="2">
        <v>7700</v>
      </c>
    </row>
    <row r="9" spans="1:15" x14ac:dyDescent="0.3">
      <c r="A9" t="s">
        <v>1</v>
      </c>
      <c r="B9" t="s">
        <v>130</v>
      </c>
      <c r="C9">
        <f>(LEFT(B9,FIND("~",B9)-1)+RIGHT(B9,LEN(B9)-FIND("~",B9)))/2</f>
        <v>75</v>
      </c>
      <c r="D9" s="2">
        <v>1563100</v>
      </c>
      <c r="E9" s="2">
        <v>202400</v>
      </c>
      <c r="F9" s="2">
        <v>244200</v>
      </c>
      <c r="G9" s="2">
        <v>77000</v>
      </c>
      <c r="H9" s="2">
        <v>85800</v>
      </c>
      <c r="I9" s="2">
        <v>232100</v>
      </c>
      <c r="J9" s="2">
        <v>84700</v>
      </c>
      <c r="K9" s="2">
        <v>347600</v>
      </c>
      <c r="L9" s="2">
        <v>46200</v>
      </c>
      <c r="M9" s="2">
        <v>118800</v>
      </c>
      <c r="N9" s="2">
        <v>80300</v>
      </c>
      <c r="O9" s="2">
        <v>44000</v>
      </c>
    </row>
    <row r="10" spans="1:15" x14ac:dyDescent="0.3">
      <c r="A10" t="s">
        <v>1</v>
      </c>
      <c r="B10" t="s">
        <v>132</v>
      </c>
      <c r="C10">
        <f>(LEFT(B10,FIND("~",B10)-1)+RIGHT(B10,LEN(B10)-FIND("~",B10)))/2</f>
        <v>85</v>
      </c>
      <c r="D10" s="2">
        <v>2198900</v>
      </c>
      <c r="E10" s="2">
        <v>508200</v>
      </c>
      <c r="F10" s="2">
        <v>316800</v>
      </c>
      <c r="G10" s="2">
        <v>292600</v>
      </c>
      <c r="H10" s="2">
        <v>53900</v>
      </c>
      <c r="I10" s="2">
        <v>275000</v>
      </c>
      <c r="J10" s="2">
        <v>44000</v>
      </c>
      <c r="K10" s="2">
        <v>139700</v>
      </c>
      <c r="L10" s="2">
        <v>146300</v>
      </c>
      <c r="M10" s="2">
        <v>216700</v>
      </c>
      <c r="N10" s="2">
        <v>144100</v>
      </c>
      <c r="O10" s="2">
        <v>61600</v>
      </c>
    </row>
    <row r="11" spans="1:15" x14ac:dyDescent="0.3">
      <c r="A11" t="s">
        <v>1</v>
      </c>
      <c r="B11" t="s">
        <v>134</v>
      </c>
      <c r="C11">
        <f>(LEFT(B11,FIND("~",B11)-1)+RIGHT(B11,LEN(B11)-FIND("~",B11)))/2</f>
        <v>95</v>
      </c>
      <c r="D11" s="2">
        <v>3235100</v>
      </c>
      <c r="E11" s="2">
        <v>486200</v>
      </c>
      <c r="F11" s="2">
        <v>344300</v>
      </c>
      <c r="G11" s="2">
        <v>239800</v>
      </c>
      <c r="H11" s="2">
        <v>228800</v>
      </c>
      <c r="I11" s="2">
        <v>389400</v>
      </c>
      <c r="J11" s="2">
        <v>210100</v>
      </c>
      <c r="K11" s="2">
        <v>235400</v>
      </c>
      <c r="L11" s="2">
        <v>221100</v>
      </c>
      <c r="M11" s="2">
        <v>289300</v>
      </c>
      <c r="N11" s="2">
        <v>502700</v>
      </c>
      <c r="O11" s="2">
        <v>88000</v>
      </c>
    </row>
    <row r="12" spans="1:15" x14ac:dyDescent="0.3">
      <c r="A12" t="s">
        <v>1</v>
      </c>
      <c r="B12" t="s">
        <v>107</v>
      </c>
      <c r="C12">
        <f>(LEFT(B12,FIND("~",B12)-1)+RIGHT(B12,LEN(B12)-FIND("~",B12)))/2</f>
        <v>105</v>
      </c>
      <c r="D12" s="2">
        <v>1332100</v>
      </c>
      <c r="E12" s="2">
        <v>108900</v>
      </c>
      <c r="F12" s="2">
        <v>151800</v>
      </c>
      <c r="G12" s="2">
        <v>105600</v>
      </c>
      <c r="H12">
        <v>0</v>
      </c>
      <c r="I12" s="2">
        <v>369600</v>
      </c>
      <c r="J12" s="2">
        <v>42900</v>
      </c>
      <c r="K12" s="2">
        <v>213400</v>
      </c>
      <c r="L12" s="2">
        <v>55000</v>
      </c>
      <c r="M12" s="2">
        <v>212300</v>
      </c>
      <c r="N12" s="2">
        <v>17600</v>
      </c>
      <c r="O12" s="2">
        <v>55000</v>
      </c>
    </row>
    <row r="13" spans="1:15" x14ac:dyDescent="0.3">
      <c r="A13" t="s">
        <v>1</v>
      </c>
      <c r="B13" t="s">
        <v>109</v>
      </c>
      <c r="C13">
        <f>(LEFT(B13,FIND("~",B13)-1)+RIGHT(B13,LEN(B13)-FIND("~",B13)))/2</f>
        <v>115</v>
      </c>
      <c r="D13" s="2">
        <v>3249400</v>
      </c>
      <c r="E13" s="2">
        <v>368500</v>
      </c>
      <c r="F13" s="2">
        <v>453200</v>
      </c>
      <c r="G13" s="2">
        <v>308000</v>
      </c>
      <c r="H13" s="2">
        <v>173800</v>
      </c>
      <c r="I13" s="2">
        <v>343200</v>
      </c>
      <c r="J13" s="2">
        <v>348700</v>
      </c>
      <c r="K13" s="2">
        <v>275000</v>
      </c>
      <c r="L13" s="2">
        <v>387200</v>
      </c>
      <c r="M13" s="2">
        <v>291500</v>
      </c>
      <c r="N13" s="2">
        <v>218900</v>
      </c>
      <c r="O13" s="2">
        <v>81400</v>
      </c>
    </row>
    <row r="14" spans="1:15" x14ac:dyDescent="0.3">
      <c r="A14" t="s">
        <v>1</v>
      </c>
      <c r="B14" t="s">
        <v>110</v>
      </c>
      <c r="C14">
        <f>(LEFT(B14,FIND("~",B14)-1)+RIGHT(B14,LEN(B14)-FIND("~",B14)))/2</f>
        <v>125</v>
      </c>
      <c r="D14" s="2">
        <v>1465200</v>
      </c>
      <c r="E14" s="2">
        <v>101200</v>
      </c>
      <c r="F14" s="2">
        <v>255200</v>
      </c>
      <c r="G14" s="2">
        <v>194700</v>
      </c>
      <c r="H14" s="2">
        <v>12100</v>
      </c>
      <c r="I14" s="2">
        <v>151800</v>
      </c>
      <c r="J14" s="2">
        <v>179300</v>
      </c>
      <c r="K14" s="2">
        <v>246400</v>
      </c>
      <c r="L14" s="2">
        <v>102300</v>
      </c>
      <c r="M14" s="2">
        <v>138600</v>
      </c>
      <c r="N14" s="2">
        <v>2200</v>
      </c>
      <c r="O14" s="2">
        <v>81400</v>
      </c>
    </row>
    <row r="15" spans="1:15" x14ac:dyDescent="0.3">
      <c r="A15" t="s">
        <v>1</v>
      </c>
      <c r="B15" t="s">
        <v>111</v>
      </c>
      <c r="C15">
        <f>(LEFT(B15,FIND("~",B15)-1)+RIGHT(B15,LEN(B15)-FIND("~",B15)))/2</f>
        <v>135</v>
      </c>
      <c r="D15" s="2">
        <v>1802900</v>
      </c>
      <c r="E15" s="2">
        <v>185900</v>
      </c>
      <c r="F15" s="2">
        <v>39600</v>
      </c>
      <c r="G15" s="2">
        <v>418000</v>
      </c>
      <c r="H15" s="2">
        <v>91300</v>
      </c>
      <c r="I15" s="2">
        <v>90200</v>
      </c>
      <c r="J15" s="2">
        <v>209000</v>
      </c>
      <c r="K15" s="2">
        <v>150700</v>
      </c>
      <c r="L15" s="2">
        <v>107800</v>
      </c>
      <c r="M15" s="2">
        <v>284900</v>
      </c>
      <c r="N15" s="2">
        <v>167200</v>
      </c>
      <c r="O15" s="2">
        <v>58300</v>
      </c>
    </row>
    <row r="16" spans="1:15" x14ac:dyDescent="0.3">
      <c r="A16" t="s">
        <v>1</v>
      </c>
      <c r="B16" t="s">
        <v>112</v>
      </c>
      <c r="C16">
        <f>(LEFT(B16,FIND("~",B16)-1)+RIGHT(B16,LEN(B16)-FIND("~",B16)))/2</f>
        <v>145</v>
      </c>
      <c r="D16" s="2">
        <v>1615900</v>
      </c>
      <c r="E16" s="2">
        <v>212300</v>
      </c>
      <c r="F16" s="2">
        <v>125400</v>
      </c>
      <c r="G16" s="2">
        <v>179300</v>
      </c>
      <c r="H16" s="2">
        <v>226600</v>
      </c>
      <c r="I16" s="2">
        <v>150700</v>
      </c>
      <c r="J16" s="2">
        <v>35200</v>
      </c>
      <c r="K16" s="2">
        <v>36300</v>
      </c>
      <c r="L16" s="2">
        <v>125400</v>
      </c>
      <c r="M16" s="2">
        <v>46200</v>
      </c>
      <c r="N16" s="2">
        <v>300300</v>
      </c>
      <c r="O16" s="2">
        <v>178200</v>
      </c>
    </row>
    <row r="17" spans="1:15" x14ac:dyDescent="0.3">
      <c r="A17" t="s">
        <v>1</v>
      </c>
      <c r="B17" t="s">
        <v>113</v>
      </c>
      <c r="C17">
        <f>(LEFT(B17,FIND("~",B17)-1)+RIGHT(B17,LEN(B17)-FIND("~",B17)))/2</f>
        <v>155</v>
      </c>
      <c r="D17" s="2">
        <v>288200</v>
      </c>
      <c r="E17" s="2">
        <v>51700</v>
      </c>
      <c r="F17" s="2">
        <v>40700</v>
      </c>
      <c r="G17" s="2">
        <v>14300</v>
      </c>
      <c r="H17">
        <v>0</v>
      </c>
      <c r="I17">
        <v>0</v>
      </c>
      <c r="J17" s="2">
        <v>16500</v>
      </c>
      <c r="K17" s="2">
        <v>55000</v>
      </c>
      <c r="L17" s="2">
        <v>66000</v>
      </c>
      <c r="M17" s="2">
        <v>33000</v>
      </c>
      <c r="N17" s="2">
        <v>11000</v>
      </c>
      <c r="O17">
        <v>0</v>
      </c>
    </row>
    <row r="18" spans="1:15" x14ac:dyDescent="0.3">
      <c r="A18" t="s">
        <v>1</v>
      </c>
      <c r="B18" t="s">
        <v>114</v>
      </c>
      <c r="C18">
        <f>(LEFT(B18,FIND("~",B18)-1)+RIGHT(B18,LEN(B18)-FIND("~",B18)))/2</f>
        <v>175</v>
      </c>
      <c r="D18" s="2">
        <v>6790300</v>
      </c>
      <c r="E18" s="2">
        <v>732600</v>
      </c>
      <c r="F18" s="2">
        <v>776600</v>
      </c>
      <c r="G18" s="2">
        <v>313500</v>
      </c>
      <c r="H18" s="2">
        <v>899800</v>
      </c>
      <c r="I18" s="2">
        <v>994400</v>
      </c>
      <c r="J18" s="2">
        <v>342100</v>
      </c>
      <c r="K18" s="2">
        <v>768900</v>
      </c>
      <c r="L18" s="2">
        <v>522500</v>
      </c>
      <c r="M18" s="2">
        <v>674300</v>
      </c>
      <c r="N18" s="2">
        <v>563200</v>
      </c>
      <c r="O18" s="2">
        <v>202400</v>
      </c>
    </row>
    <row r="19" spans="1:15" x14ac:dyDescent="0.3">
      <c r="A19" t="s">
        <v>1</v>
      </c>
      <c r="B19" t="s">
        <v>115</v>
      </c>
      <c r="C19">
        <f>(LEFT(B19,FIND("~",B19)-1)+RIGHT(B19,LEN(B19)-FIND("~",B19)))/2</f>
        <v>225</v>
      </c>
      <c r="D19" s="2">
        <v>10916400</v>
      </c>
      <c r="E19" s="2">
        <v>1116500</v>
      </c>
      <c r="F19" s="2">
        <v>910800</v>
      </c>
      <c r="G19" s="2">
        <v>2036100</v>
      </c>
      <c r="H19" s="2">
        <v>1337600</v>
      </c>
      <c r="I19" s="2">
        <v>855800</v>
      </c>
      <c r="J19" s="2">
        <v>816200</v>
      </c>
      <c r="K19" s="2">
        <v>1570800</v>
      </c>
      <c r="L19" s="2">
        <v>607200</v>
      </c>
      <c r="M19" s="2">
        <v>807400</v>
      </c>
      <c r="N19" s="2">
        <v>709500</v>
      </c>
      <c r="O19" s="2">
        <v>148500</v>
      </c>
    </row>
    <row r="20" spans="1:15" x14ac:dyDescent="0.3">
      <c r="A20" t="s">
        <v>1</v>
      </c>
      <c r="B20" t="s">
        <v>117</v>
      </c>
      <c r="C20">
        <f>(LEFT(B20,FIND("~",B20)-1)+RIGHT(B20,LEN(B20)-FIND("~",B20)))/2</f>
        <v>275</v>
      </c>
      <c r="D20" s="2">
        <v>18524000</v>
      </c>
      <c r="E20" s="2">
        <v>3129500</v>
      </c>
      <c r="F20" s="2">
        <v>2171400</v>
      </c>
      <c r="G20" s="2">
        <v>1952500</v>
      </c>
      <c r="H20" s="2">
        <v>1296900</v>
      </c>
      <c r="I20" s="2">
        <v>1324400</v>
      </c>
      <c r="J20" s="2">
        <v>1642300</v>
      </c>
      <c r="K20" s="2">
        <v>1939300</v>
      </c>
      <c r="L20" s="2">
        <v>2030600</v>
      </c>
      <c r="M20" s="2">
        <v>1445400</v>
      </c>
      <c r="N20" s="2">
        <v>620400</v>
      </c>
      <c r="O20" s="2">
        <v>971300</v>
      </c>
    </row>
    <row r="21" spans="1:15" x14ac:dyDescent="0.3">
      <c r="A21" t="s">
        <v>1</v>
      </c>
      <c r="B21" t="s">
        <v>118</v>
      </c>
      <c r="C21">
        <f>(LEFT(B21,FIND("~",B21)-1)+RIGHT(B21,LEN(B21)-FIND("~",B21)))/2</f>
        <v>325</v>
      </c>
      <c r="D21" s="2">
        <v>10634800</v>
      </c>
      <c r="E21" s="2">
        <v>924000</v>
      </c>
      <c r="F21" s="2">
        <v>995500</v>
      </c>
      <c r="G21" s="2">
        <v>1563100</v>
      </c>
      <c r="H21" s="2">
        <v>963600</v>
      </c>
      <c r="I21" s="2">
        <v>288200</v>
      </c>
      <c r="J21" s="2">
        <v>961400</v>
      </c>
      <c r="K21" s="2">
        <v>1381600</v>
      </c>
      <c r="L21" s="2">
        <v>713900</v>
      </c>
      <c r="M21" s="2">
        <v>1194600</v>
      </c>
      <c r="N21" s="2">
        <v>1316700</v>
      </c>
      <c r="O21" s="2">
        <v>332200</v>
      </c>
    </row>
    <row r="22" spans="1:15" x14ac:dyDescent="0.3">
      <c r="A22" t="s">
        <v>1</v>
      </c>
      <c r="B22" t="s">
        <v>120</v>
      </c>
      <c r="C22">
        <f>(LEFT(B22,FIND("~",B22)-1)+RIGHT(B22,LEN(B22)-FIND("~",B22)))/2</f>
        <v>375</v>
      </c>
      <c r="D22" s="2">
        <v>10472000</v>
      </c>
      <c r="E22" s="2">
        <v>1166000</v>
      </c>
      <c r="F22" s="2">
        <v>601700</v>
      </c>
      <c r="G22" s="2">
        <v>550000</v>
      </c>
      <c r="H22" s="2">
        <v>550000</v>
      </c>
      <c r="I22" s="2">
        <v>754600</v>
      </c>
      <c r="J22" s="2">
        <v>1551000</v>
      </c>
      <c r="K22" s="2">
        <v>1856800</v>
      </c>
      <c r="L22" s="2">
        <v>1227600</v>
      </c>
      <c r="M22" s="2">
        <v>739200</v>
      </c>
      <c r="N22" s="2">
        <v>1233100</v>
      </c>
      <c r="O22" s="2">
        <v>242000</v>
      </c>
    </row>
    <row r="23" spans="1:15" x14ac:dyDescent="0.3">
      <c r="A23" t="s">
        <v>1</v>
      </c>
      <c r="B23" t="s">
        <v>121</v>
      </c>
      <c r="C23">
        <f>(LEFT(B23,FIND("~",B23)-1)+RIGHT(B23,LEN(B23)-FIND("~",B23)))/2</f>
        <v>425</v>
      </c>
      <c r="D23" s="2">
        <v>7646100</v>
      </c>
      <c r="E23" s="2">
        <v>1612600</v>
      </c>
      <c r="F23" s="2">
        <v>352000</v>
      </c>
      <c r="G23" s="2">
        <v>1315600</v>
      </c>
      <c r="H23" s="2">
        <v>418000</v>
      </c>
      <c r="I23" s="2">
        <v>376200</v>
      </c>
      <c r="J23" s="2">
        <v>1144000</v>
      </c>
      <c r="K23" s="2">
        <v>1160500</v>
      </c>
      <c r="L23" s="2">
        <v>385000</v>
      </c>
      <c r="M23" s="2">
        <v>408100</v>
      </c>
      <c r="N23" s="2">
        <v>335500</v>
      </c>
      <c r="O23" s="2">
        <v>138600</v>
      </c>
    </row>
    <row r="24" spans="1:15" x14ac:dyDescent="0.3">
      <c r="A24" t="s">
        <v>1</v>
      </c>
      <c r="B24" t="s">
        <v>123</v>
      </c>
      <c r="C24">
        <f>(LEFT(B24,FIND("~",B24)-1)+RIGHT(B24,LEN(B24)-FIND("~",B24)))/2</f>
        <v>475</v>
      </c>
      <c r="D24" s="2">
        <v>8794500</v>
      </c>
      <c r="E24" s="2">
        <v>803000</v>
      </c>
      <c r="F24" s="2">
        <v>1485000</v>
      </c>
      <c r="G24" s="2">
        <v>1384900</v>
      </c>
      <c r="H24" s="2">
        <v>589600</v>
      </c>
      <c r="I24" s="2">
        <v>231000</v>
      </c>
      <c r="J24" s="2">
        <v>1430000</v>
      </c>
      <c r="K24" s="2">
        <v>545600</v>
      </c>
      <c r="L24" s="2">
        <v>705100</v>
      </c>
      <c r="M24" s="2">
        <v>647900</v>
      </c>
      <c r="N24" s="2">
        <v>872300</v>
      </c>
      <c r="O24" s="2">
        <v>100100</v>
      </c>
    </row>
    <row r="25" spans="1:15" x14ac:dyDescent="0.3">
      <c r="A25" t="s">
        <v>1</v>
      </c>
      <c r="B25" t="s">
        <v>124</v>
      </c>
      <c r="C25">
        <f>(LEFT(B25,FIND("~",B25)-1)+RIGHT(B25,LEN(B25)-FIND("~",B25)))/2</f>
        <v>525</v>
      </c>
      <c r="D25" s="2">
        <v>3292300</v>
      </c>
      <c r="E25" s="2">
        <v>220000</v>
      </c>
      <c r="F25" s="2">
        <v>814000</v>
      </c>
      <c r="G25" s="2">
        <v>238700</v>
      </c>
      <c r="H25" s="2">
        <v>501600</v>
      </c>
      <c r="I25" s="2">
        <v>341000</v>
      </c>
      <c r="J25" s="2">
        <v>319000</v>
      </c>
      <c r="K25">
        <v>0</v>
      </c>
      <c r="L25" s="2">
        <v>143000</v>
      </c>
      <c r="M25" s="2">
        <v>275000</v>
      </c>
      <c r="N25" s="2">
        <v>440000</v>
      </c>
      <c r="O25">
        <v>0</v>
      </c>
    </row>
    <row r="26" spans="1:15" x14ac:dyDescent="0.3">
      <c r="A26" t="s">
        <v>1</v>
      </c>
      <c r="B26" t="s">
        <v>126</v>
      </c>
      <c r="C26">
        <f>(LEFT(B26,FIND("~",B26)-1)+RIGHT(B26,LEN(B26)-FIND("~",B26)))/2</f>
        <v>575</v>
      </c>
      <c r="D26" s="2">
        <v>4131600</v>
      </c>
      <c r="E26" s="2">
        <v>1382700</v>
      </c>
      <c r="F26" s="2">
        <v>253000</v>
      </c>
      <c r="G26" s="2">
        <v>231000</v>
      </c>
      <c r="H26" s="2">
        <v>385000</v>
      </c>
      <c r="I26" s="2">
        <v>880000</v>
      </c>
      <c r="J26" s="2">
        <v>245300</v>
      </c>
      <c r="K26" s="2">
        <v>352000</v>
      </c>
      <c r="L26" s="2">
        <v>66000</v>
      </c>
      <c r="M26" s="2">
        <v>220000</v>
      </c>
      <c r="N26" s="2">
        <v>116600</v>
      </c>
      <c r="O26">
        <v>0</v>
      </c>
    </row>
    <row r="27" spans="1:15" x14ac:dyDescent="0.3">
      <c r="A27" t="s">
        <v>1</v>
      </c>
      <c r="B27" t="s">
        <v>127</v>
      </c>
      <c r="C27">
        <f>(LEFT(B27,FIND("~",B27)-1)+RIGHT(B27,LEN(B27)-FIND("~",B27)))/2</f>
        <v>625</v>
      </c>
      <c r="D27" s="2">
        <v>2103200</v>
      </c>
      <c r="E27" s="2">
        <v>1117600</v>
      </c>
      <c r="F27" s="2">
        <v>28600</v>
      </c>
      <c r="G27" s="2">
        <v>11000</v>
      </c>
      <c r="H27" s="2">
        <v>220000</v>
      </c>
      <c r="I27" s="2">
        <v>55000</v>
      </c>
      <c r="J27" s="2">
        <v>110000</v>
      </c>
      <c r="K27">
        <v>0</v>
      </c>
      <c r="L27">
        <v>0</v>
      </c>
      <c r="M27" s="2">
        <v>418000</v>
      </c>
      <c r="N27" s="2">
        <v>143000</v>
      </c>
      <c r="O27">
        <v>0</v>
      </c>
    </row>
    <row r="28" spans="1:15" x14ac:dyDescent="0.3">
      <c r="A28" t="s">
        <v>1</v>
      </c>
      <c r="B28" t="s">
        <v>179</v>
      </c>
      <c r="C28">
        <f>(LEFT(B28,FIND("~",B28)-1)+RIGHT(B28,LEN(B28)-FIND("~",B28)))/2</f>
        <v>675</v>
      </c>
      <c r="D28" s="2">
        <v>1177000</v>
      </c>
      <c r="E28">
        <v>0</v>
      </c>
      <c r="F28" s="2">
        <v>220000</v>
      </c>
      <c r="G28" s="2">
        <v>770000</v>
      </c>
      <c r="H28">
        <v>0</v>
      </c>
      <c r="I28" s="2">
        <v>22000</v>
      </c>
      <c r="J28">
        <v>0</v>
      </c>
      <c r="K28">
        <v>0</v>
      </c>
      <c r="L28">
        <v>0</v>
      </c>
      <c r="M28">
        <v>0</v>
      </c>
      <c r="N28" s="2">
        <v>165000</v>
      </c>
      <c r="O28">
        <v>0</v>
      </c>
    </row>
    <row r="29" spans="1:15" x14ac:dyDescent="0.3">
      <c r="A29" t="s">
        <v>1</v>
      </c>
      <c r="B29" t="s">
        <v>129</v>
      </c>
      <c r="C29">
        <f>(LEFT(B29,FIND("~",B29)-1)+RIGHT(B29,LEN(B29)-FIND("~",B29)))/2</f>
        <v>725</v>
      </c>
      <c r="D29" s="2">
        <v>1420100</v>
      </c>
      <c r="E29">
        <v>0</v>
      </c>
      <c r="F29">
        <v>0</v>
      </c>
      <c r="G29" s="2">
        <v>1100000</v>
      </c>
      <c r="H29">
        <v>0</v>
      </c>
      <c r="I29" s="2">
        <v>143000</v>
      </c>
      <c r="J29" s="2">
        <v>33000</v>
      </c>
      <c r="K29" s="2">
        <v>88000</v>
      </c>
      <c r="L29">
        <v>0</v>
      </c>
      <c r="M29" s="2">
        <v>11000</v>
      </c>
      <c r="N29" s="2">
        <v>1100</v>
      </c>
      <c r="O29" s="2">
        <v>44000</v>
      </c>
    </row>
    <row r="30" spans="1:15" x14ac:dyDescent="0.3">
      <c r="A30" t="s">
        <v>1</v>
      </c>
      <c r="B30" t="s">
        <v>131</v>
      </c>
      <c r="C30">
        <f>(LEFT(B30,FIND("~",B30)-1)+RIGHT(B30,LEN(B30)-FIND("~",B30)))/2</f>
        <v>775</v>
      </c>
      <c r="D30" s="2">
        <v>992200</v>
      </c>
      <c r="E30" s="2">
        <v>1100</v>
      </c>
      <c r="F30">
        <v>0</v>
      </c>
      <c r="G30">
        <v>0</v>
      </c>
      <c r="H30" s="2">
        <v>110000</v>
      </c>
      <c r="I30">
        <v>0</v>
      </c>
      <c r="J30" s="2">
        <v>110000</v>
      </c>
      <c r="K30" s="2">
        <v>221100</v>
      </c>
      <c r="L30">
        <v>0</v>
      </c>
      <c r="M30" s="2">
        <v>110000</v>
      </c>
      <c r="N30" s="2">
        <v>330000</v>
      </c>
      <c r="O30" s="2">
        <v>110000</v>
      </c>
    </row>
    <row r="31" spans="1:15" x14ac:dyDescent="0.3">
      <c r="A31" t="s">
        <v>1</v>
      </c>
      <c r="B31" t="s">
        <v>137</v>
      </c>
      <c r="C31">
        <f>(LEFT(B31,FIND("~",B31)-1)+RIGHT(B31,LEN(B31)-FIND("~",B31)))/2</f>
        <v>825</v>
      </c>
      <c r="D31" s="2">
        <v>454300</v>
      </c>
      <c r="E31" s="2">
        <v>1100</v>
      </c>
      <c r="F31" s="2">
        <v>1100</v>
      </c>
      <c r="G31">
        <v>0</v>
      </c>
      <c r="H31">
        <v>0</v>
      </c>
      <c r="I31">
        <v>0</v>
      </c>
      <c r="J31">
        <v>0</v>
      </c>
      <c r="K31" s="2">
        <v>440000</v>
      </c>
      <c r="L31">
        <v>0</v>
      </c>
      <c r="M31">
        <v>0</v>
      </c>
      <c r="N31" s="2">
        <v>12100</v>
      </c>
      <c r="O31">
        <v>0</v>
      </c>
    </row>
    <row r="32" spans="1:15" x14ac:dyDescent="0.3">
      <c r="A32" t="s">
        <v>1</v>
      </c>
      <c r="B32" t="s">
        <v>133</v>
      </c>
      <c r="C32">
        <f>(LEFT(B32,FIND("~",B32)-1)+RIGHT(B32,LEN(B32)-FIND("~",B32)))/2</f>
        <v>875</v>
      </c>
      <c r="D32" s="2">
        <v>661100</v>
      </c>
      <c r="E32" s="2">
        <v>1100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2">
        <v>110000</v>
      </c>
      <c r="N32" s="2">
        <v>550000</v>
      </c>
      <c r="O32">
        <v>0</v>
      </c>
    </row>
    <row r="33" spans="1:15" x14ac:dyDescent="0.3">
      <c r="A33" t="s">
        <v>1</v>
      </c>
      <c r="B33" t="s">
        <v>174</v>
      </c>
      <c r="C33">
        <f>(LEFT(B33,FIND("~",B33)-1)+RIGHT(B33,LEN(B33)-FIND("~",B33)))/2</f>
        <v>925</v>
      </c>
      <c r="D33" s="2">
        <v>36300</v>
      </c>
      <c r="E33" s="2">
        <v>36300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t="s">
        <v>1</v>
      </c>
      <c r="B34" t="s">
        <v>175</v>
      </c>
      <c r="C34">
        <f>(LEFT(B34,FIND("~",B34)-1)+RIGHT(B34,LEN(B34)-FIND("~",B34)))/2</f>
        <v>975</v>
      </c>
      <c r="D34" s="2">
        <v>24200</v>
      </c>
      <c r="E34" s="2">
        <v>17600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2">
        <v>6600</v>
      </c>
      <c r="M34">
        <v>0</v>
      </c>
      <c r="N34">
        <v>0</v>
      </c>
      <c r="O34">
        <v>0</v>
      </c>
    </row>
    <row r="35" spans="1:15" x14ac:dyDescent="0.3">
      <c r="A35" t="s">
        <v>1</v>
      </c>
      <c r="B35" t="s">
        <v>135</v>
      </c>
      <c r="C35">
        <f>(LEFT(B35,FIND("~",B35)-1)+RIGHT(B35,LEN(B35)-FIND("~",B35)))/2</f>
        <v>1025</v>
      </c>
      <c r="D35" s="2">
        <v>99000</v>
      </c>
      <c r="E35">
        <v>0</v>
      </c>
      <c r="F35">
        <v>0</v>
      </c>
      <c r="G35">
        <v>0</v>
      </c>
      <c r="H35">
        <v>0</v>
      </c>
      <c r="I35" s="2">
        <v>33000</v>
      </c>
      <c r="J35" s="2">
        <v>33000</v>
      </c>
      <c r="K35" s="2">
        <v>33000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t="s">
        <v>1</v>
      </c>
      <c r="B36" t="s">
        <v>136</v>
      </c>
      <c r="C36">
        <f>(LEFT(B36,FIND("~",B36)-1)+RIGHT(B36,LEN(B36)-FIND("~",B36)))/2</f>
        <v>1075</v>
      </c>
      <c r="D36" s="2">
        <v>165000</v>
      </c>
      <c r="E36" s="2">
        <v>33000</v>
      </c>
      <c r="F36">
        <v>0</v>
      </c>
      <c r="G36">
        <v>0</v>
      </c>
      <c r="H36">
        <v>0</v>
      </c>
      <c r="I36">
        <v>0</v>
      </c>
      <c r="J36">
        <v>0</v>
      </c>
      <c r="K36" s="2">
        <v>66000</v>
      </c>
      <c r="L36" s="2">
        <v>55000</v>
      </c>
      <c r="M36">
        <v>0</v>
      </c>
      <c r="N36">
        <v>0</v>
      </c>
      <c r="O36" s="2">
        <v>11000</v>
      </c>
    </row>
    <row r="37" spans="1:15" x14ac:dyDescent="0.3">
      <c r="A37" t="s">
        <v>1</v>
      </c>
      <c r="B37" t="s">
        <v>177</v>
      </c>
      <c r="C37">
        <f>(LEFT(B37,FIND("~",B37)-1)+RIGHT(B37,LEN(B37)-FIND("~",B37)))/2</f>
        <v>1175</v>
      </c>
      <c r="D37" s="2">
        <v>6600</v>
      </c>
      <c r="E37" s="2">
        <v>6600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t="s">
        <v>1</v>
      </c>
      <c r="B38" t="s">
        <v>178</v>
      </c>
      <c r="C38">
        <f>(LEFT(B38,FIND("~",B38)-1)+RIGHT(B38,LEN(B38)-FIND("~",B38)))/2</f>
        <v>1225</v>
      </c>
      <c r="D38" s="2">
        <v>11000</v>
      </c>
      <c r="E38">
        <v>0</v>
      </c>
      <c r="F38">
        <v>0</v>
      </c>
      <c r="G38">
        <v>0</v>
      </c>
      <c r="H38">
        <v>0</v>
      </c>
      <c r="I38" s="2">
        <v>11000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</sheetData>
  <sortState xmlns:xlrd2="http://schemas.microsoft.com/office/spreadsheetml/2017/richdata2" ref="A3:O38">
    <sortCondition ref="C3:C38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3851-6258-43FA-A7D2-31077154CBCE}">
  <dimension ref="F5:M39"/>
  <sheetViews>
    <sheetView topLeftCell="A16" workbookViewId="0">
      <selection activeCell="L5" sqref="L5:L39"/>
    </sheetView>
  </sheetViews>
  <sheetFormatPr defaultRowHeight="16.5" x14ac:dyDescent="0.3"/>
  <cols>
    <col min="7" max="7" width="11.375" bestFit="1" customWidth="1"/>
  </cols>
  <sheetData>
    <row r="5" spans="6:13" x14ac:dyDescent="0.3">
      <c r="F5" t="s">
        <v>205</v>
      </c>
      <c r="G5" t="s">
        <v>105</v>
      </c>
      <c r="H5" t="s">
        <v>176</v>
      </c>
      <c r="I5" s="6">
        <v>45870</v>
      </c>
      <c r="J5" s="6">
        <v>45871</v>
      </c>
      <c r="K5" s="6">
        <v>45872</v>
      </c>
      <c r="L5" s="6">
        <v>45873</v>
      </c>
      <c r="M5" s="6">
        <v>45874</v>
      </c>
    </row>
    <row r="6" spans="6:13" x14ac:dyDescent="0.3">
      <c r="F6" t="s">
        <v>1</v>
      </c>
      <c r="G6" t="s">
        <v>106</v>
      </c>
      <c r="H6" s="2">
        <f>(LEFT(G6,FIND("~",G6)-1)+RIGHT(G6,LEN(G6)-FIND("~",G6)))/2</f>
        <v>5</v>
      </c>
      <c r="I6" s="2">
        <v>492800</v>
      </c>
      <c r="J6" s="2">
        <v>531300</v>
      </c>
      <c r="K6" s="2">
        <v>569800</v>
      </c>
      <c r="L6" s="2">
        <v>423500</v>
      </c>
      <c r="M6" s="2">
        <v>107800</v>
      </c>
    </row>
    <row r="7" spans="6:13" x14ac:dyDescent="0.3">
      <c r="F7" t="s">
        <v>1</v>
      </c>
      <c r="G7" t="s">
        <v>108</v>
      </c>
      <c r="H7" s="2">
        <f>(LEFT(G7,FIND("~",G7)-1)+RIGHT(G7,LEN(G7)-FIND("~",G7)))/2</f>
        <v>15</v>
      </c>
      <c r="I7" s="2">
        <v>107800</v>
      </c>
      <c r="J7" s="2">
        <v>231000</v>
      </c>
      <c r="K7" s="2">
        <v>231000</v>
      </c>
      <c r="L7" s="2">
        <v>107800</v>
      </c>
      <c r="M7" s="2">
        <v>46200</v>
      </c>
    </row>
    <row r="8" spans="6:13" x14ac:dyDescent="0.3">
      <c r="F8" t="s">
        <v>1</v>
      </c>
      <c r="G8" t="s">
        <v>116</v>
      </c>
      <c r="H8" s="2">
        <f>(LEFT(G8,FIND("~",G8)-1)+RIGHT(G8,LEN(G8)-FIND("~",G8)))/2</f>
        <v>25</v>
      </c>
      <c r="I8" s="2">
        <v>233200</v>
      </c>
      <c r="J8" s="2">
        <v>381700</v>
      </c>
      <c r="K8" s="2">
        <v>531300</v>
      </c>
      <c r="L8" s="2">
        <v>512600</v>
      </c>
      <c r="M8" s="2">
        <v>96800</v>
      </c>
    </row>
    <row r="9" spans="6:13" x14ac:dyDescent="0.3">
      <c r="F9" t="s">
        <v>1</v>
      </c>
      <c r="G9" t="s">
        <v>119</v>
      </c>
      <c r="H9" s="2">
        <f>(LEFT(G9,FIND("~",G9)-1)+RIGHT(G9,LEN(G9)-FIND("~",G9)))/2</f>
        <v>35</v>
      </c>
      <c r="I9" s="2">
        <v>79200</v>
      </c>
      <c r="J9" s="2">
        <v>167200</v>
      </c>
      <c r="K9" s="2">
        <v>262900</v>
      </c>
      <c r="L9" s="2">
        <v>352000</v>
      </c>
      <c r="M9" s="2">
        <v>165000</v>
      </c>
    </row>
    <row r="10" spans="6:13" x14ac:dyDescent="0.3">
      <c r="F10" t="s">
        <v>1</v>
      </c>
      <c r="G10" t="s">
        <v>122</v>
      </c>
      <c r="H10" s="2">
        <f>(LEFT(G10,FIND("~",G10)-1)+RIGHT(G10,LEN(G10)-FIND("~",G10)))/2</f>
        <v>45</v>
      </c>
      <c r="I10" s="2">
        <v>244200</v>
      </c>
      <c r="J10" s="2">
        <v>227700</v>
      </c>
      <c r="K10" s="2">
        <v>116600</v>
      </c>
      <c r="L10" s="2">
        <v>194700</v>
      </c>
      <c r="M10" s="2">
        <v>22000</v>
      </c>
    </row>
    <row r="11" spans="6:13" x14ac:dyDescent="0.3">
      <c r="F11" t="s">
        <v>1</v>
      </c>
      <c r="G11" t="s">
        <v>125</v>
      </c>
      <c r="H11" s="2">
        <f>(LEFT(G11,FIND("~",G11)-1)+RIGHT(G11,LEN(G11)-FIND("~",G11)))/2</f>
        <v>55</v>
      </c>
      <c r="I11" s="2">
        <v>168300</v>
      </c>
      <c r="J11" s="2">
        <v>160600</v>
      </c>
      <c r="K11" s="2">
        <v>231000</v>
      </c>
      <c r="L11" s="2">
        <v>240900</v>
      </c>
      <c r="M11" s="2">
        <v>36300</v>
      </c>
    </row>
    <row r="12" spans="6:13" x14ac:dyDescent="0.3">
      <c r="F12" t="s">
        <v>1</v>
      </c>
      <c r="G12" t="s">
        <v>128</v>
      </c>
      <c r="H12" s="2">
        <f>(LEFT(G12,FIND("~",G12)-1)+RIGHT(G12,LEN(G12)-FIND("~",G12)))/2</f>
        <v>65</v>
      </c>
      <c r="I12" s="2">
        <v>83600</v>
      </c>
      <c r="J12" s="2">
        <v>256300</v>
      </c>
      <c r="K12" s="2">
        <v>182600</v>
      </c>
      <c r="L12" s="2">
        <v>136400</v>
      </c>
      <c r="M12" s="2">
        <v>7700</v>
      </c>
    </row>
    <row r="13" spans="6:13" x14ac:dyDescent="0.3">
      <c r="F13" t="s">
        <v>1</v>
      </c>
      <c r="G13" t="s">
        <v>130</v>
      </c>
      <c r="H13" s="2">
        <f>(LEFT(G13,FIND("~",G13)-1)+RIGHT(G13,LEN(G13)-FIND("~",G13)))/2</f>
        <v>75</v>
      </c>
      <c r="I13" s="2">
        <v>347600</v>
      </c>
      <c r="J13" s="2">
        <v>46200</v>
      </c>
      <c r="K13" s="2">
        <v>118800</v>
      </c>
      <c r="L13" s="2">
        <v>80300</v>
      </c>
      <c r="M13" s="2">
        <v>44000</v>
      </c>
    </row>
    <row r="14" spans="6:13" x14ac:dyDescent="0.3">
      <c r="F14" t="s">
        <v>1</v>
      </c>
      <c r="G14" t="s">
        <v>132</v>
      </c>
      <c r="H14" s="2">
        <f>(LEFT(G14,FIND("~",G14)-1)+RIGHT(G14,LEN(G14)-FIND("~",G14)))/2</f>
        <v>85</v>
      </c>
      <c r="I14" s="2">
        <v>139700</v>
      </c>
      <c r="J14" s="2">
        <v>146300</v>
      </c>
      <c r="K14" s="2">
        <v>216700</v>
      </c>
      <c r="L14" s="2">
        <v>144100</v>
      </c>
      <c r="M14" s="2">
        <v>61600</v>
      </c>
    </row>
    <row r="15" spans="6:13" x14ac:dyDescent="0.3">
      <c r="F15" t="s">
        <v>1</v>
      </c>
      <c r="G15" t="s">
        <v>134</v>
      </c>
      <c r="H15" s="2">
        <f>(LEFT(G15,FIND("~",G15)-1)+RIGHT(G15,LEN(G15)-FIND("~",G15)))/2</f>
        <v>95</v>
      </c>
      <c r="I15" s="2">
        <v>235400</v>
      </c>
      <c r="J15" s="2">
        <v>221100</v>
      </c>
      <c r="K15" s="2">
        <v>289300</v>
      </c>
      <c r="L15" s="2">
        <v>502700</v>
      </c>
      <c r="M15" s="2">
        <v>88000</v>
      </c>
    </row>
    <row r="16" spans="6:13" x14ac:dyDescent="0.3">
      <c r="F16" t="s">
        <v>1</v>
      </c>
      <c r="G16" t="s">
        <v>107</v>
      </c>
      <c r="H16" s="2">
        <f>(LEFT(G16,FIND("~",G16)-1)+RIGHT(G16,LEN(G16)-FIND("~",G16)))/2</f>
        <v>105</v>
      </c>
      <c r="I16" s="2">
        <v>213400</v>
      </c>
      <c r="J16" s="2">
        <v>55000</v>
      </c>
      <c r="K16" s="2">
        <v>212300</v>
      </c>
      <c r="L16" s="2">
        <v>17600</v>
      </c>
      <c r="M16" s="2">
        <v>55000</v>
      </c>
    </row>
    <row r="17" spans="6:13" x14ac:dyDescent="0.3">
      <c r="F17" t="s">
        <v>1</v>
      </c>
      <c r="G17" t="s">
        <v>109</v>
      </c>
      <c r="H17" s="2">
        <f>(LEFT(G17,FIND("~",G17)-1)+RIGHT(G17,LEN(G17)-FIND("~",G17)))/2</f>
        <v>115</v>
      </c>
      <c r="I17" s="2">
        <v>275000</v>
      </c>
      <c r="J17" s="2">
        <v>387200</v>
      </c>
      <c r="K17" s="2">
        <v>291500</v>
      </c>
      <c r="L17" s="2">
        <v>218900</v>
      </c>
      <c r="M17" s="2">
        <v>81400</v>
      </c>
    </row>
    <row r="18" spans="6:13" x14ac:dyDescent="0.3">
      <c r="F18" t="s">
        <v>1</v>
      </c>
      <c r="G18" t="s">
        <v>110</v>
      </c>
      <c r="H18" s="2">
        <f>(LEFT(G18,FIND("~",G18)-1)+RIGHT(G18,LEN(G18)-FIND("~",G18)))/2</f>
        <v>125</v>
      </c>
      <c r="I18" s="2">
        <v>246400</v>
      </c>
      <c r="J18" s="2">
        <v>102300</v>
      </c>
      <c r="K18" s="2">
        <v>138600</v>
      </c>
      <c r="L18" s="2">
        <v>2200</v>
      </c>
      <c r="M18" s="2">
        <v>81400</v>
      </c>
    </row>
    <row r="19" spans="6:13" x14ac:dyDescent="0.3">
      <c r="F19" t="s">
        <v>1</v>
      </c>
      <c r="G19" t="s">
        <v>111</v>
      </c>
      <c r="H19" s="2">
        <f>(LEFT(G19,FIND("~",G19)-1)+RIGHT(G19,LEN(G19)-FIND("~",G19)))/2</f>
        <v>135</v>
      </c>
      <c r="I19" s="2">
        <v>150700</v>
      </c>
      <c r="J19" s="2">
        <v>107800</v>
      </c>
      <c r="K19" s="2">
        <v>284900</v>
      </c>
      <c r="L19" s="2">
        <v>167200</v>
      </c>
      <c r="M19" s="2">
        <v>58300</v>
      </c>
    </row>
    <row r="20" spans="6:13" x14ac:dyDescent="0.3">
      <c r="F20" t="s">
        <v>1</v>
      </c>
      <c r="G20" t="s">
        <v>112</v>
      </c>
      <c r="H20" s="2">
        <f>(LEFT(G20,FIND("~",G20)-1)+RIGHT(G20,LEN(G20)-FIND("~",G20)))/2</f>
        <v>145</v>
      </c>
      <c r="I20" s="2">
        <v>36300</v>
      </c>
      <c r="J20" s="2">
        <v>125400</v>
      </c>
      <c r="K20" s="2">
        <v>46200</v>
      </c>
      <c r="L20" s="2">
        <v>300300</v>
      </c>
      <c r="M20" s="2">
        <v>178200</v>
      </c>
    </row>
    <row r="21" spans="6:13" x14ac:dyDescent="0.3">
      <c r="F21" t="s">
        <v>1</v>
      </c>
      <c r="G21" t="s">
        <v>113</v>
      </c>
      <c r="H21" s="2">
        <f>(LEFT(G21,FIND("~",G21)-1)+RIGHT(G21,LEN(G21)-FIND("~",G21)))/2</f>
        <v>155</v>
      </c>
      <c r="I21" s="2">
        <v>55000</v>
      </c>
      <c r="J21" s="2">
        <v>66000</v>
      </c>
      <c r="K21" s="2">
        <v>33000</v>
      </c>
      <c r="L21" s="2">
        <v>11000</v>
      </c>
      <c r="M21">
        <v>0</v>
      </c>
    </row>
    <row r="22" spans="6:13" x14ac:dyDescent="0.3">
      <c r="F22" t="s">
        <v>1</v>
      </c>
      <c r="G22" t="s">
        <v>114</v>
      </c>
      <c r="H22" s="2">
        <f>(LEFT(G22,FIND("~",G22)-1)+RIGHT(G22,LEN(G22)-FIND("~",G22)))/2</f>
        <v>175</v>
      </c>
      <c r="I22" s="2">
        <v>768900</v>
      </c>
      <c r="J22" s="2">
        <v>522500</v>
      </c>
      <c r="K22" s="2">
        <v>674300</v>
      </c>
      <c r="L22" s="2">
        <v>563200</v>
      </c>
      <c r="M22" s="2">
        <v>147400</v>
      </c>
    </row>
    <row r="23" spans="6:13" x14ac:dyDescent="0.3">
      <c r="F23" t="s">
        <v>1</v>
      </c>
      <c r="G23" t="s">
        <v>115</v>
      </c>
      <c r="H23" s="2">
        <f>(LEFT(G23,FIND("~",G23)-1)+RIGHT(G23,LEN(G23)-FIND("~",G23)))/2</f>
        <v>225</v>
      </c>
      <c r="I23" s="2">
        <v>1570800</v>
      </c>
      <c r="J23" s="2">
        <v>607200</v>
      </c>
      <c r="K23" s="2">
        <v>807400</v>
      </c>
      <c r="L23" s="2">
        <v>709500</v>
      </c>
      <c r="M23" s="2">
        <v>148500</v>
      </c>
    </row>
    <row r="24" spans="6:13" x14ac:dyDescent="0.3">
      <c r="F24" t="s">
        <v>1</v>
      </c>
      <c r="G24" t="s">
        <v>117</v>
      </c>
      <c r="H24" s="2">
        <f>(LEFT(G24,FIND("~",G24)-1)+RIGHT(G24,LEN(G24)-FIND("~",G24)))/2</f>
        <v>275</v>
      </c>
      <c r="I24" s="2">
        <v>1939300</v>
      </c>
      <c r="J24" s="2">
        <v>2030600</v>
      </c>
      <c r="K24" s="2">
        <v>1445400</v>
      </c>
      <c r="L24" s="2">
        <v>620400</v>
      </c>
      <c r="M24" s="2">
        <v>971300</v>
      </c>
    </row>
    <row r="25" spans="6:13" x14ac:dyDescent="0.3">
      <c r="F25" t="s">
        <v>1</v>
      </c>
      <c r="G25" t="s">
        <v>118</v>
      </c>
      <c r="H25" s="2">
        <f>(LEFT(G25,FIND("~",G25)-1)+RIGHT(G25,LEN(G25)-FIND("~",G25)))/2</f>
        <v>325</v>
      </c>
      <c r="I25" s="2">
        <v>1381600</v>
      </c>
      <c r="J25" s="2">
        <v>713900</v>
      </c>
      <c r="K25" s="2">
        <v>1194600</v>
      </c>
      <c r="L25" s="2">
        <v>1316700</v>
      </c>
      <c r="M25" s="2">
        <v>332200</v>
      </c>
    </row>
    <row r="26" spans="6:13" x14ac:dyDescent="0.3">
      <c r="F26" t="s">
        <v>1</v>
      </c>
      <c r="G26" t="s">
        <v>120</v>
      </c>
      <c r="H26" s="2">
        <f>(LEFT(G26,FIND("~",G26)-1)+RIGHT(G26,LEN(G26)-FIND("~",G26)))/2</f>
        <v>375</v>
      </c>
      <c r="I26" s="2">
        <v>1856800</v>
      </c>
      <c r="J26" s="2">
        <v>1227600</v>
      </c>
      <c r="K26" s="2">
        <v>739200</v>
      </c>
      <c r="L26" s="2">
        <v>1233100</v>
      </c>
      <c r="M26" s="2">
        <v>231000</v>
      </c>
    </row>
    <row r="27" spans="6:13" x14ac:dyDescent="0.3">
      <c r="F27" t="s">
        <v>1</v>
      </c>
      <c r="G27" t="s">
        <v>121</v>
      </c>
      <c r="H27" s="2">
        <f>(LEFT(G27,FIND("~",G27)-1)+RIGHT(G27,LEN(G27)-FIND("~",G27)))/2</f>
        <v>425</v>
      </c>
      <c r="I27" s="2">
        <v>1160500</v>
      </c>
      <c r="J27" s="2">
        <v>385000</v>
      </c>
      <c r="K27" s="2">
        <v>408100</v>
      </c>
      <c r="L27" s="2">
        <v>335500</v>
      </c>
      <c r="M27" s="2">
        <v>138600</v>
      </c>
    </row>
    <row r="28" spans="6:13" x14ac:dyDescent="0.3">
      <c r="F28" t="s">
        <v>1</v>
      </c>
      <c r="G28" t="s">
        <v>123</v>
      </c>
      <c r="H28" s="2">
        <f>(LEFT(G28,FIND("~",G28)-1)+RIGHT(G28,LEN(G28)-FIND("~",G28)))/2</f>
        <v>475</v>
      </c>
      <c r="I28" s="2">
        <v>545600</v>
      </c>
      <c r="J28" s="2">
        <v>705100</v>
      </c>
      <c r="K28" s="2">
        <v>647900</v>
      </c>
      <c r="L28" s="2">
        <v>872300</v>
      </c>
      <c r="M28" s="2">
        <v>100100</v>
      </c>
    </row>
    <row r="29" spans="6:13" x14ac:dyDescent="0.3">
      <c r="F29" t="s">
        <v>1</v>
      </c>
      <c r="G29" t="s">
        <v>124</v>
      </c>
      <c r="H29" s="2">
        <f>(LEFT(G29,FIND("~",G29)-1)+RIGHT(G29,LEN(G29)-FIND("~",G29)))/2</f>
        <v>525</v>
      </c>
      <c r="I29">
        <v>0</v>
      </c>
      <c r="J29" s="2">
        <v>143000</v>
      </c>
      <c r="K29" s="2">
        <v>275000</v>
      </c>
      <c r="L29" s="2">
        <v>440000</v>
      </c>
      <c r="M29">
        <v>0</v>
      </c>
    </row>
    <row r="30" spans="6:13" x14ac:dyDescent="0.3">
      <c r="F30" t="s">
        <v>1</v>
      </c>
      <c r="G30" t="s">
        <v>126</v>
      </c>
      <c r="H30" s="2">
        <f>(LEFT(G30,FIND("~",G30)-1)+RIGHT(G30,LEN(G30)-FIND("~",G30)))/2</f>
        <v>575</v>
      </c>
      <c r="I30" s="2">
        <v>352000</v>
      </c>
      <c r="J30" s="2">
        <v>66000</v>
      </c>
      <c r="K30" s="2">
        <v>220000</v>
      </c>
      <c r="L30" s="2">
        <v>116600</v>
      </c>
      <c r="M30">
        <v>0</v>
      </c>
    </row>
    <row r="31" spans="6:13" x14ac:dyDescent="0.3">
      <c r="F31" t="s">
        <v>1</v>
      </c>
      <c r="G31" t="s">
        <v>127</v>
      </c>
      <c r="H31" s="2">
        <f>(LEFT(G31,FIND("~",G31)-1)+RIGHT(G31,LEN(G31)-FIND("~",G31)))/2</f>
        <v>625</v>
      </c>
      <c r="I31">
        <v>0</v>
      </c>
      <c r="J31">
        <v>0</v>
      </c>
      <c r="K31" s="2">
        <v>418000</v>
      </c>
      <c r="L31" s="2">
        <v>143000</v>
      </c>
      <c r="M31">
        <v>0</v>
      </c>
    </row>
    <row r="32" spans="6:13" x14ac:dyDescent="0.3">
      <c r="F32" t="s">
        <v>1</v>
      </c>
      <c r="G32" t="s">
        <v>179</v>
      </c>
      <c r="H32" s="2">
        <f>(LEFT(G32,FIND("~",G32)-1)+RIGHT(G32,LEN(G32)-FIND("~",G32)))/2</f>
        <v>675</v>
      </c>
      <c r="I32">
        <v>0</v>
      </c>
      <c r="J32">
        <v>0</v>
      </c>
      <c r="K32">
        <v>0</v>
      </c>
      <c r="L32" s="2">
        <v>165000</v>
      </c>
      <c r="M32">
        <v>0</v>
      </c>
    </row>
    <row r="33" spans="6:13" x14ac:dyDescent="0.3">
      <c r="F33" t="s">
        <v>1</v>
      </c>
      <c r="G33" t="s">
        <v>129</v>
      </c>
      <c r="H33" s="2">
        <f>(LEFT(G33,FIND("~",G33)-1)+RIGHT(G33,LEN(G33)-FIND("~",G33)))/2</f>
        <v>725</v>
      </c>
      <c r="I33" s="2">
        <v>88000</v>
      </c>
      <c r="J33">
        <v>0</v>
      </c>
      <c r="K33" s="2">
        <v>11000</v>
      </c>
      <c r="L33" s="2">
        <v>1100</v>
      </c>
      <c r="M33" s="2">
        <v>44000</v>
      </c>
    </row>
    <row r="34" spans="6:13" x14ac:dyDescent="0.3">
      <c r="F34" t="s">
        <v>1</v>
      </c>
      <c r="G34" t="s">
        <v>131</v>
      </c>
      <c r="H34" s="2">
        <f>(LEFT(G34,FIND("~",G34)-1)+RIGHT(G34,LEN(G34)-FIND("~",G34)))/2</f>
        <v>775</v>
      </c>
      <c r="I34" s="2">
        <v>221100</v>
      </c>
      <c r="J34">
        <v>0</v>
      </c>
      <c r="K34" s="2">
        <v>110000</v>
      </c>
      <c r="L34" s="2">
        <v>330000</v>
      </c>
      <c r="M34" s="2">
        <v>110000</v>
      </c>
    </row>
    <row r="35" spans="6:13" x14ac:dyDescent="0.3">
      <c r="F35" t="s">
        <v>1</v>
      </c>
      <c r="G35" t="s">
        <v>137</v>
      </c>
      <c r="H35" s="2">
        <f>(LEFT(G35,FIND("~",G35)-1)+RIGHT(G35,LEN(G35)-FIND("~",G35)))/2</f>
        <v>825</v>
      </c>
      <c r="I35" s="2">
        <v>440000</v>
      </c>
      <c r="J35">
        <v>0</v>
      </c>
      <c r="K35">
        <v>0</v>
      </c>
      <c r="L35" s="2">
        <v>12100</v>
      </c>
      <c r="M35">
        <v>0</v>
      </c>
    </row>
    <row r="36" spans="6:13" x14ac:dyDescent="0.3">
      <c r="F36" t="s">
        <v>1</v>
      </c>
      <c r="G36" t="s">
        <v>133</v>
      </c>
      <c r="H36" s="2">
        <f>(LEFT(G36,FIND("~",G36)-1)+RIGHT(G36,LEN(G36)-FIND("~",G36)))/2</f>
        <v>875</v>
      </c>
      <c r="I36">
        <v>0</v>
      </c>
      <c r="J36">
        <v>0</v>
      </c>
      <c r="K36" s="2">
        <v>110000</v>
      </c>
      <c r="L36" s="2">
        <v>550000</v>
      </c>
      <c r="M36">
        <v>0</v>
      </c>
    </row>
    <row r="37" spans="6:13" x14ac:dyDescent="0.3">
      <c r="F37" t="s">
        <v>1</v>
      </c>
      <c r="G37" t="s">
        <v>175</v>
      </c>
      <c r="H37" s="2">
        <f>(LEFT(G37,FIND("~",G37)-1)+RIGHT(G37,LEN(G37)-FIND("~",G37)))/2</f>
        <v>975</v>
      </c>
      <c r="I37">
        <v>0</v>
      </c>
      <c r="J37" s="2">
        <v>6600</v>
      </c>
      <c r="K37">
        <v>0</v>
      </c>
      <c r="L37">
        <v>0</v>
      </c>
      <c r="M37">
        <v>0</v>
      </c>
    </row>
    <row r="38" spans="6:13" x14ac:dyDescent="0.3">
      <c r="F38" t="s">
        <v>1</v>
      </c>
      <c r="G38" t="s">
        <v>135</v>
      </c>
      <c r="H38" s="2">
        <f>(LEFT(G38,FIND("~",G38)-1)+RIGHT(G38,LEN(G38)-FIND("~",G38)))/2</f>
        <v>1025</v>
      </c>
      <c r="I38" s="2">
        <v>33000</v>
      </c>
      <c r="J38">
        <v>0</v>
      </c>
      <c r="K38">
        <v>0</v>
      </c>
      <c r="L38">
        <v>0</v>
      </c>
      <c r="M38">
        <v>0</v>
      </c>
    </row>
    <row r="39" spans="6:13" x14ac:dyDescent="0.3">
      <c r="F39" t="s">
        <v>1</v>
      </c>
      <c r="G39" t="s">
        <v>136</v>
      </c>
      <c r="H39" s="2">
        <f>(LEFT(G39,FIND("~",G39)-1)+RIGHT(G39,LEN(G39)-FIND("~",G39)))/2</f>
        <v>1075</v>
      </c>
      <c r="I39" s="2">
        <v>66000</v>
      </c>
      <c r="J39" s="2">
        <v>55000</v>
      </c>
      <c r="K39">
        <v>0</v>
      </c>
      <c r="L39">
        <v>0</v>
      </c>
      <c r="M39" s="2">
        <v>11000</v>
      </c>
    </row>
  </sheetData>
  <sortState xmlns:xlrd2="http://schemas.microsoft.com/office/spreadsheetml/2017/richdata2" ref="F6:M39">
    <sortCondition ref="H6:H3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8D30-B435-4F11-847C-BFEA1E492AAF}">
  <dimension ref="A1:S104"/>
  <sheetViews>
    <sheetView topLeftCell="D85" workbookViewId="0">
      <selection activeCell="S5" sqref="S5:S104"/>
    </sheetView>
  </sheetViews>
  <sheetFormatPr defaultRowHeight="16.5" x14ac:dyDescent="0.3"/>
  <cols>
    <col min="1" max="1" width="31.75" bestFit="1" customWidth="1"/>
    <col min="2" max="2" width="23.5" bestFit="1" customWidth="1"/>
    <col min="3" max="3" width="15.5" bestFit="1" customWidth="1"/>
    <col min="6" max="6" width="31.75" bestFit="1" customWidth="1"/>
  </cols>
  <sheetData>
    <row r="1" spans="1:19" x14ac:dyDescent="0.3">
      <c r="A1" t="s">
        <v>157</v>
      </c>
      <c r="F1" t="s">
        <v>158</v>
      </c>
      <c r="K1" t="s">
        <v>173</v>
      </c>
    </row>
    <row r="3" spans="1:19" x14ac:dyDescent="0.3">
      <c r="A3" t="s">
        <v>2</v>
      </c>
      <c r="C3" t="s">
        <v>3</v>
      </c>
      <c r="D3" t="s">
        <v>104</v>
      </c>
      <c r="F3" t="s">
        <v>2</v>
      </c>
      <c r="H3" t="s">
        <v>3</v>
      </c>
      <c r="I3" s="2" t="s">
        <v>104</v>
      </c>
    </row>
    <row r="4" spans="1:19" x14ac:dyDescent="0.3">
      <c r="A4" t="s">
        <v>6</v>
      </c>
      <c r="B4" t="str">
        <f>IFERROR(VLOOKUP(LEFT(A4, FIND("__", A4) + 1), [1]Sheet2!I$1:J$71, 2, FALSE), "구독권")</f>
        <v>계정한정소환조선</v>
      </c>
      <c r="C4" s="2">
        <v>28</v>
      </c>
      <c r="D4" s="4">
        <v>3080</v>
      </c>
      <c r="F4" t="s">
        <v>9</v>
      </c>
      <c r="G4" t="str">
        <f>IFERROR(VLOOKUP(LEFT(F4, FIND("__", F4) + 1), [1]Sheet2!I$1:J$71, 2, FALSE), "구독권")</f>
        <v xml:space="preserve">기한한정일간입장권 </v>
      </c>
      <c r="H4">
        <v>33</v>
      </c>
      <c r="I4" s="2">
        <v>3630</v>
      </c>
      <c r="K4" t="s">
        <v>2</v>
      </c>
      <c r="M4" t="s">
        <v>3</v>
      </c>
      <c r="N4" t="s">
        <v>104</v>
      </c>
      <c r="P4" t="s">
        <v>2</v>
      </c>
      <c r="R4" t="s">
        <v>3</v>
      </c>
      <c r="S4" t="s">
        <v>104</v>
      </c>
    </row>
    <row r="5" spans="1:19" x14ac:dyDescent="0.3">
      <c r="A5" t="s">
        <v>8</v>
      </c>
      <c r="B5" t="str">
        <f>IFERROR(VLOOKUP(LEFT(A5, FIND("__", A5) + 1), [1]Sheet2!I$1:J$71, 2, FALSE), "구독권")</f>
        <v>계정한정소환고려</v>
      </c>
      <c r="C5" s="2">
        <v>27</v>
      </c>
      <c r="D5" s="4">
        <v>2970</v>
      </c>
      <c r="F5" t="s">
        <v>5</v>
      </c>
      <c r="G5" t="str">
        <f>IFERROR(VLOOKUP(LEFT(F5, FIND("__", F5) + 1), [1]Sheet2!I$1:J$71, 2, FALSE), "구독권")</f>
        <v>구독권</v>
      </c>
      <c r="H5">
        <v>25</v>
      </c>
      <c r="I5" s="2">
        <v>19250</v>
      </c>
      <c r="K5" t="s">
        <v>4</v>
      </c>
      <c r="L5" t="str">
        <f>IFERROR(VLOOKUP(LEFT(K5, FIND("__", K5) + 1), [1]Sheet2!I$1:J$71, 2, FALSE), "구독권")</f>
        <v>구독권</v>
      </c>
      <c r="M5">
        <v>24</v>
      </c>
      <c r="N5" s="2">
        <v>47520</v>
      </c>
      <c r="P5" t="s">
        <v>9</v>
      </c>
      <c r="Q5" t="str">
        <f>IFERROR(VLOOKUP(LEFT(P5, FIND("__", P5) + 1), [1]Sheet2!I$1:J$71, 2, FALSE), "구독권")</f>
        <v xml:space="preserve">기한한정일간입장권 </v>
      </c>
      <c r="R5">
        <v>15</v>
      </c>
      <c r="S5" s="4">
        <v>1650</v>
      </c>
    </row>
    <row r="6" spans="1:19" x14ac:dyDescent="0.3">
      <c r="A6" t="s">
        <v>4</v>
      </c>
      <c r="B6" t="str">
        <f>IFERROR(VLOOKUP(LEFT(A6, FIND("__", A6) + 1), [1]Sheet2!I$1:J$71, 2, FALSE), "구독권")</f>
        <v>구독권</v>
      </c>
      <c r="C6" s="2">
        <v>24</v>
      </c>
      <c r="D6" s="4">
        <v>45540</v>
      </c>
      <c r="F6" t="s">
        <v>4</v>
      </c>
      <c r="G6" t="str">
        <f>IFERROR(VLOOKUP(LEFT(F6, FIND("__", F6) + 1), [1]Sheet2!I$1:J$71, 2, FALSE), "구독권")</f>
        <v>구독권</v>
      </c>
      <c r="H6">
        <v>23</v>
      </c>
      <c r="I6" s="2">
        <v>45540</v>
      </c>
      <c r="K6" t="s">
        <v>5</v>
      </c>
      <c r="L6" t="str">
        <f>IFERROR(VLOOKUP(LEFT(K6, FIND("__", K6) + 1), [1]Sheet2!I$1:J$71, 2, FALSE), "구독권")</f>
        <v>구독권</v>
      </c>
      <c r="M6">
        <v>23</v>
      </c>
      <c r="N6" s="2">
        <v>17710</v>
      </c>
      <c r="P6" t="s">
        <v>5</v>
      </c>
      <c r="Q6" t="str">
        <f>IFERROR(VLOOKUP(LEFT(P6, FIND("__", P6) + 1), [1]Sheet2!I$1:J$71, 2, FALSE), "구독권")</f>
        <v>구독권</v>
      </c>
      <c r="R6">
        <v>12</v>
      </c>
      <c r="S6" s="4">
        <v>9240</v>
      </c>
    </row>
    <row r="7" spans="1:19" x14ac:dyDescent="0.3">
      <c r="A7" t="s">
        <v>9</v>
      </c>
      <c r="B7" t="str">
        <f>IFERROR(VLOOKUP(LEFT(A7, FIND("__", A7) + 1), [1]Sheet2!I$1:J$71, 2, FALSE), "구독권")</f>
        <v xml:space="preserve">기한한정일간입장권 </v>
      </c>
      <c r="C7" s="2">
        <v>24</v>
      </c>
      <c r="D7" s="4">
        <v>2640</v>
      </c>
      <c r="F7" t="s">
        <v>13</v>
      </c>
      <c r="G7" t="str">
        <f>IFERROR(VLOOKUP(LEFT(F7, FIND("__", F7) + 1), [1]Sheet2!I$1:J$71, 2, FALSE), "구독권")</f>
        <v>돌발고려</v>
      </c>
      <c r="H7">
        <v>18</v>
      </c>
      <c r="I7" s="2">
        <v>5940</v>
      </c>
      <c r="K7" t="s">
        <v>6</v>
      </c>
      <c r="L7" t="str">
        <f>IFERROR(VLOOKUP(LEFT(K7, FIND("__", K7) + 1), [1]Sheet2!I$1:J$71, 2, FALSE), "구독권")</f>
        <v>계정한정소환조선</v>
      </c>
      <c r="M7">
        <v>19</v>
      </c>
      <c r="N7" s="2">
        <v>2090</v>
      </c>
      <c r="P7" t="s">
        <v>30</v>
      </c>
      <c r="Q7" t="str">
        <f>IFERROR(VLOOKUP(LEFT(P7, FIND("__", P7) + 1), [1]Sheet2!I$1:J$71, 2, FALSE), "구독권")</f>
        <v>돌발무기</v>
      </c>
      <c r="R7">
        <v>11</v>
      </c>
      <c r="S7" s="4">
        <v>6050</v>
      </c>
    </row>
    <row r="8" spans="1:19" x14ac:dyDescent="0.3">
      <c r="A8" t="s">
        <v>24</v>
      </c>
      <c r="B8" t="str">
        <f>IFERROR(VLOOKUP(LEFT(A8, FIND("__", A8) + 1), [1]Sheet2!I$1:J$71, 2, FALSE), "구독권")</f>
        <v>사냥패스1</v>
      </c>
      <c r="C8" s="2">
        <v>22</v>
      </c>
      <c r="D8" s="4">
        <v>11550</v>
      </c>
      <c r="F8" t="s">
        <v>10</v>
      </c>
      <c r="G8" t="str">
        <f>IFERROR(VLOOKUP(LEFT(F8, FIND("__", F8) + 1), [1]Sheet2!I$1:J$71, 2, FALSE), "구독권")</f>
        <v>계정한정소환무기</v>
      </c>
      <c r="H8">
        <v>18</v>
      </c>
      <c r="I8" s="2">
        <v>1980</v>
      </c>
      <c r="K8" t="s">
        <v>7</v>
      </c>
      <c r="L8" t="str">
        <f>IFERROR(VLOOKUP(LEFT(K8, FIND("__", K8) + 1), [1]Sheet2!I$1:J$71, 2, FALSE), "구독권")</f>
        <v>돌발초월</v>
      </c>
      <c r="M8">
        <v>18</v>
      </c>
      <c r="N8" s="2">
        <v>5940</v>
      </c>
      <c r="P8" t="s">
        <v>15</v>
      </c>
      <c r="Q8" t="str">
        <f>IFERROR(VLOOKUP(LEFT(P8, FIND("__", P8) + 1), [1]Sheet2!I$1:J$71, 2, FALSE), "구독권")</f>
        <v>기한한정일간입장권</v>
      </c>
      <c r="R8">
        <v>11</v>
      </c>
      <c r="S8" s="4">
        <v>1210</v>
      </c>
    </row>
    <row r="9" spans="1:19" x14ac:dyDescent="0.3">
      <c r="A9" t="s">
        <v>14</v>
      </c>
      <c r="B9" t="str">
        <f>IFERROR(VLOOKUP(LEFT(A9, FIND("__", A9) + 1), [1]Sheet2!I$1:J$71, 2, FALSE), "구독권")</f>
        <v>구독권</v>
      </c>
      <c r="C9" s="2">
        <v>21</v>
      </c>
      <c r="D9" s="4">
        <v>11550</v>
      </c>
      <c r="F9" t="s">
        <v>6</v>
      </c>
      <c r="G9" t="str">
        <f>IFERROR(VLOOKUP(LEFT(F9, FIND("__", F9) + 1), [1]Sheet2!I$1:J$71, 2, FALSE), "구독권")</f>
        <v>계정한정소환조선</v>
      </c>
      <c r="H9">
        <v>17</v>
      </c>
      <c r="I9" s="2">
        <v>1870</v>
      </c>
      <c r="K9" t="s">
        <v>8</v>
      </c>
      <c r="L9" t="str">
        <f>IFERROR(VLOOKUP(LEFT(K9, FIND("__", K9) + 1), [1]Sheet2!I$1:J$71, 2, FALSE), "구독권")</f>
        <v>계정한정소환고려</v>
      </c>
      <c r="M9">
        <v>16</v>
      </c>
      <c r="N9" s="2">
        <v>1760</v>
      </c>
      <c r="P9" t="s">
        <v>11</v>
      </c>
      <c r="Q9" t="str">
        <f>IFERROR(VLOOKUP(LEFT(P9, FIND("__", P9) + 1), [1]Sheet2!I$1:J$71, 2, FALSE), "구독권")</f>
        <v>돌발무기</v>
      </c>
      <c r="R9">
        <v>10</v>
      </c>
      <c r="S9" s="4">
        <v>3300</v>
      </c>
    </row>
    <row r="10" spans="1:19" x14ac:dyDescent="0.3">
      <c r="A10" t="s">
        <v>5</v>
      </c>
      <c r="B10" t="str">
        <f>IFERROR(VLOOKUP(LEFT(A10, FIND("__", A10) + 1), [1]Sheet2!I$1:J$71, 2, FALSE), "구독권")</f>
        <v>구독권</v>
      </c>
      <c r="C10" s="2">
        <v>19</v>
      </c>
      <c r="D10" s="4">
        <v>13860</v>
      </c>
      <c r="F10" t="s">
        <v>7</v>
      </c>
      <c r="G10" t="str">
        <f>IFERROR(VLOOKUP(LEFT(F10, FIND("__", F10) + 1), [1]Sheet2!I$1:J$71, 2, FALSE), "구독권")</f>
        <v>돌발초월</v>
      </c>
      <c r="H10">
        <v>16</v>
      </c>
      <c r="I10" s="2">
        <v>5280</v>
      </c>
      <c r="K10" t="s">
        <v>9</v>
      </c>
      <c r="L10" t="str">
        <f>IFERROR(VLOOKUP(LEFT(K10, FIND("__", K10) + 1), [1]Sheet2!I$1:J$71, 2, FALSE), "구독권")</f>
        <v xml:space="preserve">기한한정일간입장권 </v>
      </c>
      <c r="M10">
        <v>14</v>
      </c>
      <c r="N10" s="2">
        <v>1540</v>
      </c>
      <c r="P10" t="s">
        <v>7</v>
      </c>
      <c r="Q10" t="str">
        <f>IFERROR(VLOOKUP(LEFT(P10, FIND("__", P10) + 1), [1]Sheet2!I$1:J$71, 2, FALSE), "구독권")</f>
        <v>돌발초월</v>
      </c>
      <c r="R10">
        <v>9</v>
      </c>
      <c r="S10" s="4">
        <v>2970</v>
      </c>
    </row>
    <row r="11" spans="1:19" x14ac:dyDescent="0.3">
      <c r="A11" t="s">
        <v>31</v>
      </c>
      <c r="B11" t="str">
        <f>IFERROR(VLOOKUP(LEFT(A11, FIND("__", A11) + 1), [1]Sheet2!I$1:J$71, 2, FALSE), "구독권")</f>
        <v>레벨패스1</v>
      </c>
      <c r="C11" s="2">
        <v>19</v>
      </c>
      <c r="D11" s="4">
        <v>9900</v>
      </c>
      <c r="F11" t="s">
        <v>15</v>
      </c>
      <c r="G11" t="str">
        <f>IFERROR(VLOOKUP(LEFT(F11, FIND("__", F11) + 1), [1]Sheet2!I$1:J$71, 2, FALSE), "구독권")</f>
        <v>기한한정일간입장권</v>
      </c>
      <c r="H11">
        <v>16</v>
      </c>
      <c r="I11" s="2">
        <v>1760</v>
      </c>
      <c r="K11" t="s">
        <v>10</v>
      </c>
      <c r="L11" t="str">
        <f>IFERROR(VLOOKUP(LEFT(K11, FIND("__", K11) + 1), [1]Sheet2!I$1:J$71, 2, FALSE), "구독권")</f>
        <v>계정한정소환무기</v>
      </c>
      <c r="M11">
        <v>13</v>
      </c>
      <c r="N11" s="2">
        <v>1430</v>
      </c>
      <c r="P11" t="s">
        <v>10</v>
      </c>
      <c r="Q11" t="str">
        <f>IFERROR(VLOOKUP(LEFT(P11, FIND("__", P11) + 1), [1]Sheet2!I$1:J$71, 2, FALSE), "구독권")</f>
        <v>계정한정소환무기</v>
      </c>
      <c r="R11">
        <v>9</v>
      </c>
      <c r="S11" s="4">
        <v>990</v>
      </c>
    </row>
    <row r="12" spans="1:19" x14ac:dyDescent="0.3">
      <c r="A12" t="s">
        <v>7</v>
      </c>
      <c r="B12" t="str">
        <f>IFERROR(VLOOKUP(LEFT(A12, FIND("__", A12) + 1), [1]Sheet2!I$1:J$71, 2, FALSE), "구독권")</f>
        <v>돌발초월</v>
      </c>
      <c r="C12" s="2">
        <v>18</v>
      </c>
      <c r="D12" s="4">
        <v>5940</v>
      </c>
      <c r="F12" t="s">
        <v>11</v>
      </c>
      <c r="G12" t="str">
        <f>IFERROR(VLOOKUP(LEFT(F12, FIND("__", F12) + 1), [1]Sheet2!I$1:J$71, 2, FALSE), "구독권")</f>
        <v>돌발무기</v>
      </c>
      <c r="H12">
        <v>15</v>
      </c>
      <c r="I12" s="2">
        <v>4950</v>
      </c>
      <c r="K12" t="s">
        <v>11</v>
      </c>
      <c r="L12" t="str">
        <f>IFERROR(VLOOKUP(LEFT(K12, FIND("__", K12) + 1), [1]Sheet2!I$1:J$71, 2, FALSE), "구독권")</f>
        <v>돌발무기</v>
      </c>
      <c r="M12">
        <v>12</v>
      </c>
      <c r="N12" s="2">
        <v>3960</v>
      </c>
      <c r="P12" t="s">
        <v>4</v>
      </c>
      <c r="Q12" t="str">
        <f>IFERROR(VLOOKUP(LEFT(P12, FIND("__", P12) + 1), [1]Sheet2!I$1:J$71, 2, FALSE), "구독권")</f>
        <v>구독권</v>
      </c>
      <c r="R12">
        <v>8</v>
      </c>
      <c r="S12" s="4">
        <v>15840</v>
      </c>
    </row>
    <row r="13" spans="1:19" x14ac:dyDescent="0.3">
      <c r="A13" t="s">
        <v>25</v>
      </c>
      <c r="B13" t="str">
        <f>IFERROR(VLOOKUP(LEFT(A13, FIND("__", A13) + 1), [1]Sheet2!I$1:J$71, 2, FALSE), "구독권")</f>
        <v>구독권</v>
      </c>
      <c r="C13" s="2">
        <v>18</v>
      </c>
      <c r="D13" s="4">
        <v>99000</v>
      </c>
      <c r="F13" t="s">
        <v>8</v>
      </c>
      <c r="G13" t="str">
        <f>IFERROR(VLOOKUP(LEFT(F13, FIND("__", F13) + 1), [1]Sheet2!I$1:J$71, 2, FALSE), "구독권")</f>
        <v>계정한정소환고려</v>
      </c>
      <c r="H13">
        <v>15</v>
      </c>
      <c r="I13" s="2">
        <v>1650</v>
      </c>
      <c r="K13" t="s">
        <v>12</v>
      </c>
      <c r="L13" t="str">
        <f>IFERROR(VLOOKUP(LEFT(K13, FIND("__", K13) + 1), [1]Sheet2!I$1:J$71, 2, FALSE), "구독권")</f>
        <v>계정한정소환갑옷</v>
      </c>
      <c r="M13">
        <v>12</v>
      </c>
      <c r="N13" s="2">
        <v>1320</v>
      </c>
      <c r="P13" t="s">
        <v>24</v>
      </c>
      <c r="Q13" t="str">
        <f>IFERROR(VLOOKUP(LEFT(P13, FIND("__", P13) + 1), [1]Sheet2!I$1:J$71, 2, FALSE), "구독권")</f>
        <v>사냥패스1</v>
      </c>
      <c r="R13">
        <v>8</v>
      </c>
      <c r="S13" s="4">
        <v>4400</v>
      </c>
    </row>
    <row r="14" spans="1:19" x14ac:dyDescent="0.3">
      <c r="A14" t="s">
        <v>11</v>
      </c>
      <c r="B14" t="str">
        <f>IFERROR(VLOOKUP(LEFT(A14, FIND("__", A14) + 1), [1]Sheet2!I$1:J$71, 2, FALSE), "구독권")</f>
        <v>돌발무기</v>
      </c>
      <c r="C14" s="2">
        <v>17</v>
      </c>
      <c r="D14" s="4">
        <v>5610</v>
      </c>
      <c r="F14" t="s">
        <v>16</v>
      </c>
      <c r="G14" t="str">
        <f>IFERROR(VLOOKUP(LEFT(F14, FIND("__", F14) + 1), [1]Sheet2!I$1:J$71, 2, FALSE), "구독권")</f>
        <v>기한한정일간가속</v>
      </c>
      <c r="H14">
        <v>15</v>
      </c>
      <c r="I14" s="2">
        <v>1650</v>
      </c>
      <c r="K14" t="s">
        <v>13</v>
      </c>
      <c r="L14" t="str">
        <f>IFERROR(VLOOKUP(LEFT(K14, FIND("__", K14) + 1), [1]Sheet2!I$1:J$71, 2, FALSE), "구독권")</f>
        <v>돌발고려</v>
      </c>
      <c r="M14">
        <v>11</v>
      </c>
      <c r="N14" s="2">
        <v>3630</v>
      </c>
      <c r="P14" t="s">
        <v>23</v>
      </c>
      <c r="Q14" t="str">
        <f>IFERROR(VLOOKUP(LEFT(P14, FIND("__", P14) + 1), [1]Sheet2!I$1:J$71, 2, FALSE), "구독권")</f>
        <v>돌발조선</v>
      </c>
      <c r="R14">
        <v>7</v>
      </c>
      <c r="S14" s="4">
        <v>2310</v>
      </c>
    </row>
    <row r="15" spans="1:19" x14ac:dyDescent="0.3">
      <c r="A15" t="s">
        <v>13</v>
      </c>
      <c r="B15" t="str">
        <f>IFERROR(VLOOKUP(LEFT(A15, FIND("__", A15) + 1), [1]Sheet2!I$1:J$71, 2, FALSE), "구독권")</f>
        <v>돌발고려</v>
      </c>
      <c r="C15" s="2">
        <v>17</v>
      </c>
      <c r="D15" s="4">
        <v>5610</v>
      </c>
      <c r="F15" t="s">
        <v>24</v>
      </c>
      <c r="G15" t="str">
        <f>IFERROR(VLOOKUP(LEFT(F15, FIND("__", F15) + 1), [1]Sheet2!I$1:J$71, 2, FALSE), "구독권")</f>
        <v>사냥패스1</v>
      </c>
      <c r="H15">
        <v>13</v>
      </c>
      <c r="I15" s="2">
        <v>7150</v>
      </c>
      <c r="K15" t="s">
        <v>14</v>
      </c>
      <c r="L15" t="str">
        <f>IFERROR(VLOOKUP(LEFT(K15, FIND("__", K15) + 1), [1]Sheet2!I$1:J$71, 2, FALSE), "구독권")</f>
        <v>구독권</v>
      </c>
      <c r="M15">
        <v>11</v>
      </c>
      <c r="N15" s="2">
        <v>6050</v>
      </c>
      <c r="P15" t="s">
        <v>13</v>
      </c>
      <c r="Q15" t="str">
        <f>IFERROR(VLOOKUP(LEFT(P15, FIND("__", P15) + 1), [1]Sheet2!I$1:J$71, 2, FALSE), "구독권")</f>
        <v>돌발고려</v>
      </c>
      <c r="R15">
        <v>7</v>
      </c>
      <c r="S15" s="4">
        <v>2310</v>
      </c>
    </row>
    <row r="16" spans="1:19" x14ac:dyDescent="0.3">
      <c r="A16" t="s">
        <v>39</v>
      </c>
      <c r="B16" t="str">
        <f>IFERROR(VLOOKUP(LEFT(A16, FIND("__", A16) + 1), [1]Sheet2!I$1:J$71, 2, FALSE), "구독권")</f>
        <v>계정한정영웅필드지원</v>
      </c>
      <c r="C16" s="2">
        <v>17</v>
      </c>
      <c r="D16" s="4">
        <v>5610</v>
      </c>
      <c r="F16" t="s">
        <v>22</v>
      </c>
      <c r="G16" t="str">
        <f>IFERROR(VLOOKUP(LEFT(F16, FIND("__", F16) + 1), [1]Sheet2!I$1:J$71, 2, FALSE), "구독권")</f>
        <v>계정한정소환가속</v>
      </c>
      <c r="H16">
        <v>13</v>
      </c>
      <c r="I16" s="2">
        <v>1430</v>
      </c>
      <c r="K16" t="s">
        <v>15</v>
      </c>
      <c r="L16" t="str">
        <f>IFERROR(VLOOKUP(LEFT(K16, FIND("__", K16) + 1), [1]Sheet2!I$1:J$71, 2, FALSE), "구독권")</f>
        <v>기한한정일간입장권</v>
      </c>
      <c r="M16">
        <v>11</v>
      </c>
      <c r="N16" s="2">
        <v>1210</v>
      </c>
      <c r="P16" t="s">
        <v>31</v>
      </c>
      <c r="Q16" t="str">
        <f>IFERROR(VLOOKUP(LEFT(P16, FIND("__", P16) + 1), [1]Sheet2!I$1:J$71, 2, FALSE), "구독권")</f>
        <v>레벨패스1</v>
      </c>
      <c r="R16">
        <v>7</v>
      </c>
      <c r="S16" s="4">
        <v>3850</v>
      </c>
    </row>
    <row r="17" spans="1:19" x14ac:dyDescent="0.3">
      <c r="A17" t="s">
        <v>10</v>
      </c>
      <c r="B17" t="str">
        <f>IFERROR(VLOOKUP(LEFT(A17, FIND("__", A17) + 1), [1]Sheet2!I$1:J$71, 2, FALSE), "구독권")</f>
        <v>계정한정소환무기</v>
      </c>
      <c r="C17" s="2">
        <v>17</v>
      </c>
      <c r="D17" s="4">
        <v>1870</v>
      </c>
      <c r="F17" t="s">
        <v>39</v>
      </c>
      <c r="G17" t="str">
        <f>IFERROR(VLOOKUP(LEFT(F17, FIND("__", F17) + 1), [1]Sheet2!I$1:J$71, 2, FALSE), "구독권")</f>
        <v>계정한정영웅필드지원</v>
      </c>
      <c r="H17">
        <v>11</v>
      </c>
      <c r="I17" s="2">
        <v>3630</v>
      </c>
      <c r="K17" t="s">
        <v>16</v>
      </c>
      <c r="L17" t="str">
        <f>IFERROR(VLOOKUP(LEFT(K17, FIND("__", K17) + 1), [1]Sheet2!I$1:J$71, 2, FALSE), "구독권")</f>
        <v>기한한정일간가속</v>
      </c>
      <c r="M17">
        <v>11</v>
      </c>
      <c r="N17" s="2">
        <v>1210</v>
      </c>
      <c r="P17" t="s">
        <v>12</v>
      </c>
      <c r="Q17" t="str">
        <f>IFERROR(VLOOKUP(LEFT(P17, FIND("__", P17) + 1), [1]Sheet2!I$1:J$71, 2, FALSE), "구독권")</f>
        <v>계정한정소환갑옷</v>
      </c>
      <c r="R17">
        <v>7</v>
      </c>
      <c r="S17" s="4">
        <v>770</v>
      </c>
    </row>
    <row r="18" spans="1:19" x14ac:dyDescent="0.3">
      <c r="A18" t="s">
        <v>26</v>
      </c>
      <c r="B18" t="str">
        <f>IFERROR(VLOOKUP(LEFT(A18, FIND("__", A18) + 1), [1]Sheet2!I$1:J$71, 2, FALSE), "구독권")</f>
        <v>구독권</v>
      </c>
      <c r="C18" s="2">
        <v>16</v>
      </c>
      <c r="D18" s="4">
        <v>52800</v>
      </c>
      <c r="F18" t="s">
        <v>12</v>
      </c>
      <c r="G18" t="str">
        <f>IFERROR(VLOOKUP(LEFT(F18, FIND("__", F18) + 1), [1]Sheet2!I$1:J$71, 2, FALSE), "구독권")</f>
        <v>계정한정소환갑옷</v>
      </c>
      <c r="H18">
        <v>11</v>
      </c>
      <c r="I18" s="2">
        <v>1210</v>
      </c>
      <c r="K18" t="s">
        <v>17</v>
      </c>
      <c r="L18" t="str">
        <f>IFERROR(VLOOKUP(LEFT(K18, FIND("__", K18) + 1), [1]Sheet2!I$1:J$71, 2, FALSE), "구독권")</f>
        <v>구독권</v>
      </c>
      <c r="M18">
        <v>10</v>
      </c>
      <c r="N18" s="2">
        <v>6600</v>
      </c>
      <c r="P18" t="s">
        <v>57</v>
      </c>
      <c r="Q18" t="str">
        <f>IFERROR(VLOOKUP(LEFT(P18, FIND("__", P18) + 1), [1]Sheet2!I$1:J$71, 2, FALSE), "구독권")</f>
        <v xml:space="preserve">기한한정일간장비 </v>
      </c>
      <c r="R18">
        <v>7</v>
      </c>
      <c r="S18" s="4">
        <v>770</v>
      </c>
    </row>
    <row r="19" spans="1:19" x14ac:dyDescent="0.3">
      <c r="A19" t="s">
        <v>12</v>
      </c>
      <c r="B19" t="str">
        <f>IFERROR(VLOOKUP(LEFT(A19, FIND("__", A19) + 1), [1]Sheet2!I$1:J$71, 2, FALSE), "구독권")</f>
        <v>계정한정소환갑옷</v>
      </c>
      <c r="C19" s="2">
        <v>16</v>
      </c>
      <c r="D19" s="4">
        <v>1760</v>
      </c>
      <c r="F19" t="s">
        <v>29</v>
      </c>
      <c r="G19" t="str">
        <f>IFERROR(VLOOKUP(LEFT(F19, FIND("__", F19) + 1), [1]Sheet2!I$1:J$71, 2, FALSE), "구독권")</f>
        <v xml:space="preserve">기한한정일간영웅 </v>
      </c>
      <c r="H19">
        <v>10</v>
      </c>
      <c r="I19" s="2">
        <v>1100</v>
      </c>
      <c r="K19" t="s">
        <v>18</v>
      </c>
      <c r="L19" t="str">
        <f>IFERROR(VLOOKUP(LEFT(K19, FIND("__", K19) + 1), [1]Sheet2!I$1:J$71, 2, FALSE), "구독권")</f>
        <v>스테이지패스1</v>
      </c>
      <c r="M19">
        <v>9</v>
      </c>
      <c r="N19" s="2">
        <v>4950</v>
      </c>
      <c r="P19" t="s">
        <v>61</v>
      </c>
      <c r="Q19" t="str">
        <f>IFERROR(VLOOKUP(LEFT(P19, FIND("__", P19) + 1), [1]Sheet2!I$1:J$71, 2, FALSE), "구독권")</f>
        <v>돌발육성</v>
      </c>
      <c r="R19">
        <v>6</v>
      </c>
      <c r="S19" s="4">
        <v>3300</v>
      </c>
    </row>
    <row r="20" spans="1:19" x14ac:dyDescent="0.3">
      <c r="A20" t="s">
        <v>18</v>
      </c>
      <c r="B20" t="str">
        <f>IFERROR(VLOOKUP(LEFT(A20, FIND("__", A20) + 1), [1]Sheet2!I$1:J$71, 2, FALSE), "구독권")</f>
        <v>스테이지패스1</v>
      </c>
      <c r="C20" s="2">
        <v>15</v>
      </c>
      <c r="D20" s="4">
        <v>7700</v>
      </c>
      <c r="F20" t="s">
        <v>30</v>
      </c>
      <c r="G20" t="str">
        <f>IFERROR(VLOOKUP(LEFT(F20, FIND("__", F20) + 1), [1]Sheet2!I$1:J$71, 2, FALSE), "구독권")</f>
        <v>돌발무기</v>
      </c>
      <c r="H20">
        <v>9</v>
      </c>
      <c r="I20" s="2">
        <v>4950</v>
      </c>
      <c r="K20" t="s">
        <v>19</v>
      </c>
      <c r="L20" t="str">
        <f>IFERROR(VLOOKUP(LEFT(K20, FIND("__", K20) + 1), [1]Sheet2!I$1:J$71, 2, FALSE), "구독권")</f>
        <v>구독권</v>
      </c>
      <c r="M20">
        <v>9</v>
      </c>
      <c r="N20" s="2">
        <v>29700</v>
      </c>
      <c r="P20" t="s">
        <v>16</v>
      </c>
      <c r="Q20" t="str">
        <f>IFERROR(VLOOKUP(LEFT(P20, FIND("__", P20) + 1), [1]Sheet2!I$1:J$71, 2, FALSE), "구독권")</f>
        <v>기한한정일간가속</v>
      </c>
      <c r="R20">
        <v>6</v>
      </c>
      <c r="S20" s="4">
        <v>660</v>
      </c>
    </row>
    <row r="21" spans="1:19" x14ac:dyDescent="0.3">
      <c r="A21" t="s">
        <v>68</v>
      </c>
      <c r="B21" t="str">
        <f>IFERROR(VLOOKUP(LEFT(A21, FIND("__", A21) + 1), [1]Sheet2!I$1:J$71, 2, FALSE), "구독권")</f>
        <v>구독권</v>
      </c>
      <c r="C21" s="2">
        <v>15</v>
      </c>
      <c r="D21" s="4">
        <v>16500</v>
      </c>
      <c r="F21" t="s">
        <v>20</v>
      </c>
      <c r="G21" t="str">
        <f>IFERROR(VLOOKUP(LEFT(F21, FIND("__", F21) + 1), [1]Sheet2!I$1:J$71, 2, FALSE), "구독권")</f>
        <v>돌발고려</v>
      </c>
      <c r="H21">
        <v>9</v>
      </c>
      <c r="I21" s="2">
        <v>4950</v>
      </c>
      <c r="K21" t="s">
        <v>20</v>
      </c>
      <c r="L21" t="str">
        <f>IFERROR(VLOOKUP(LEFT(K21, FIND("__", K21) + 1), [1]Sheet2!I$1:J$71, 2, FALSE), "구독권")</f>
        <v>돌발고려</v>
      </c>
      <c r="M21">
        <v>8</v>
      </c>
      <c r="N21" s="2">
        <v>4400</v>
      </c>
      <c r="P21" t="s">
        <v>20</v>
      </c>
      <c r="Q21" t="str">
        <f>IFERROR(VLOOKUP(LEFT(P21, FIND("__", P21) + 1), [1]Sheet2!I$1:J$71, 2, FALSE), "구독권")</f>
        <v>돌발고려</v>
      </c>
      <c r="R21">
        <v>5</v>
      </c>
      <c r="S21" s="4">
        <v>2750</v>
      </c>
    </row>
    <row r="22" spans="1:19" x14ac:dyDescent="0.3">
      <c r="A22" t="s">
        <v>37</v>
      </c>
      <c r="B22" t="str">
        <f>IFERROR(VLOOKUP(LEFT(A22, FIND("__", A22) + 1), [1]Sheet2!I$1:J$71, 2, FALSE), "구독권")</f>
        <v>육성패스1</v>
      </c>
      <c r="C22" s="2">
        <v>14</v>
      </c>
      <c r="D22" s="4">
        <v>7150</v>
      </c>
      <c r="F22" t="s">
        <v>18</v>
      </c>
      <c r="G22" t="str">
        <f>IFERROR(VLOOKUP(LEFT(F22, FIND("__", F22) + 1), [1]Sheet2!I$1:J$71, 2, FALSE), "구독권")</f>
        <v>스테이지패스1</v>
      </c>
      <c r="H22">
        <v>9</v>
      </c>
      <c r="I22" s="2">
        <v>4950</v>
      </c>
      <c r="K22" t="s">
        <v>21</v>
      </c>
      <c r="L22" t="str">
        <f>IFERROR(VLOOKUP(LEFT(K22, FIND("__", K22) + 1), [1]Sheet2!I$1:J$71, 2, FALSE), "구독권")</f>
        <v>구독권</v>
      </c>
      <c r="M22">
        <v>8</v>
      </c>
      <c r="N22" s="2">
        <v>5280</v>
      </c>
      <c r="P22" t="s">
        <v>63</v>
      </c>
      <c r="Q22" t="str">
        <f>IFERROR(VLOOKUP(LEFT(P22, FIND("__", P22) + 1), [1]Sheet2!I$1:J$71, 2, FALSE), "구독권")</f>
        <v>돌발갑옷</v>
      </c>
      <c r="R22">
        <v>5</v>
      </c>
      <c r="S22" s="4">
        <v>1650</v>
      </c>
    </row>
    <row r="23" spans="1:19" x14ac:dyDescent="0.3">
      <c r="A23" t="s">
        <v>27</v>
      </c>
      <c r="B23" t="str">
        <f>IFERROR(VLOOKUP(LEFT(A23, FIND("__", A23) + 1), [1]Sheet2!I$1:J$71, 2, FALSE), "구독권")</f>
        <v>구독권</v>
      </c>
      <c r="C23" s="2">
        <v>14</v>
      </c>
      <c r="D23" s="4">
        <v>15400</v>
      </c>
      <c r="F23" t="s">
        <v>31</v>
      </c>
      <c r="G23" t="str">
        <f>IFERROR(VLOOKUP(LEFT(F23, FIND("__", F23) + 1), [1]Sheet2!I$1:J$71, 2, FALSE), "구독권")</f>
        <v>레벨패스1</v>
      </c>
      <c r="H23">
        <v>9</v>
      </c>
      <c r="I23" s="2">
        <v>4950</v>
      </c>
      <c r="K23" t="s">
        <v>22</v>
      </c>
      <c r="L23" t="str">
        <f>IFERROR(VLOOKUP(LEFT(K23, FIND("__", K23) + 1), [1]Sheet2!I$1:J$71, 2, FALSE), "구독권")</f>
        <v>계정한정소환가속</v>
      </c>
      <c r="M23">
        <v>8</v>
      </c>
      <c r="N23">
        <v>880</v>
      </c>
      <c r="P23" t="s">
        <v>37</v>
      </c>
      <c r="Q23" t="str">
        <f>IFERROR(VLOOKUP(LEFT(P23, FIND("__", P23) + 1), [1]Sheet2!I$1:J$71, 2, FALSE), "구독권")</f>
        <v>육성패스1</v>
      </c>
      <c r="R23">
        <v>5</v>
      </c>
      <c r="S23" s="4">
        <v>2750</v>
      </c>
    </row>
    <row r="24" spans="1:19" x14ac:dyDescent="0.3">
      <c r="A24" t="s">
        <v>35</v>
      </c>
      <c r="B24" t="str">
        <f>IFERROR(VLOOKUP(LEFT(A24, FIND("__", A24) + 1), [1]Sheet2!I$1:J$71, 2, FALSE), "구독권")</f>
        <v>돌발스테이지</v>
      </c>
      <c r="C24" s="2">
        <v>13</v>
      </c>
      <c r="D24" s="4">
        <v>14300</v>
      </c>
      <c r="F24" t="s">
        <v>14</v>
      </c>
      <c r="G24" t="str">
        <f>IFERROR(VLOOKUP(LEFT(F24, FIND("__", F24) + 1), [1]Sheet2!I$1:J$71, 2, FALSE), "구독권")</f>
        <v>구독권</v>
      </c>
      <c r="H24">
        <v>9</v>
      </c>
      <c r="I24" s="2">
        <v>4950</v>
      </c>
      <c r="K24" t="s">
        <v>23</v>
      </c>
      <c r="L24" t="str">
        <f>IFERROR(VLOOKUP(LEFT(K24, FIND("__", K24) + 1), [1]Sheet2!I$1:J$71, 2, FALSE), "구독권")</f>
        <v>돌발조선</v>
      </c>
      <c r="M24">
        <v>7</v>
      </c>
      <c r="N24" s="2">
        <v>2310</v>
      </c>
      <c r="P24" t="s">
        <v>18</v>
      </c>
      <c r="Q24" t="str">
        <f>IFERROR(VLOOKUP(LEFT(P24, FIND("__", P24) + 1), [1]Sheet2!I$1:J$71, 2, FALSE), "구독권")</f>
        <v>스테이지패스1</v>
      </c>
      <c r="R24">
        <v>5</v>
      </c>
      <c r="S24" s="4">
        <v>2750</v>
      </c>
    </row>
    <row r="25" spans="1:19" x14ac:dyDescent="0.3">
      <c r="A25" t="s">
        <v>22</v>
      </c>
      <c r="B25" t="str">
        <f>IFERROR(VLOOKUP(LEFT(A25, FIND("__", A25) + 1), [1]Sheet2!I$1:J$71, 2, FALSE), "구독권")</f>
        <v>계정한정소환가속</v>
      </c>
      <c r="C25" s="2">
        <v>13</v>
      </c>
      <c r="D25" s="4">
        <v>1430</v>
      </c>
      <c r="F25" t="s">
        <v>50</v>
      </c>
      <c r="G25" t="str">
        <f>IFERROR(VLOOKUP(LEFT(F25, FIND("__", F25) + 1), [1]Sheet2!I$1:J$71, 2, FALSE), "구독권")</f>
        <v>계정한정소환조선</v>
      </c>
      <c r="H25">
        <v>9</v>
      </c>
      <c r="I25" s="2">
        <v>4950</v>
      </c>
      <c r="K25" t="s">
        <v>24</v>
      </c>
      <c r="L25" t="str">
        <f>IFERROR(VLOOKUP(LEFT(K25, FIND("__", K25) + 1), [1]Sheet2!I$1:J$71, 2, FALSE), "구독권")</f>
        <v>사냥패스1</v>
      </c>
      <c r="M25">
        <v>7</v>
      </c>
      <c r="N25" s="2">
        <v>3850</v>
      </c>
      <c r="P25" t="s">
        <v>19</v>
      </c>
      <c r="Q25" t="str">
        <f>IFERROR(VLOOKUP(LEFT(P25, FIND("__", P25) + 1), [1]Sheet2!I$1:J$71, 2, FALSE), "구독권")</f>
        <v>구독권</v>
      </c>
      <c r="R25">
        <v>5</v>
      </c>
      <c r="S25" s="4">
        <v>16500</v>
      </c>
    </row>
    <row r="26" spans="1:19" x14ac:dyDescent="0.3">
      <c r="A26" t="s">
        <v>16</v>
      </c>
      <c r="B26" t="str">
        <f>IFERROR(VLOOKUP(LEFT(A26, FIND("__", A26) + 1), [1]Sheet2!I$1:J$71, 2, FALSE), "구독권")</f>
        <v>기한한정일간가속</v>
      </c>
      <c r="C26" s="2">
        <v>13</v>
      </c>
      <c r="D26" s="4">
        <v>1430</v>
      </c>
      <c r="F26" t="s">
        <v>141</v>
      </c>
      <c r="G26" t="str">
        <f>IFERROR(VLOOKUP(LEFT(F26, FIND("__", F26) + 1), [1]Sheet2!I$1:J$71, 2, FALSE), "구독권")</f>
        <v>돌발연구</v>
      </c>
      <c r="H26">
        <v>8</v>
      </c>
      <c r="I26" s="2">
        <v>2640</v>
      </c>
      <c r="K26" t="s">
        <v>25</v>
      </c>
      <c r="L26" t="str">
        <f>IFERROR(VLOOKUP(LEFT(K26, FIND("__", K26) + 1), [1]Sheet2!I$1:J$71, 2, FALSE), "구독권")</f>
        <v>구독권</v>
      </c>
      <c r="M26">
        <v>7</v>
      </c>
      <c r="N26" s="2">
        <v>38500</v>
      </c>
      <c r="P26" t="s">
        <v>14</v>
      </c>
      <c r="Q26" t="str">
        <f>IFERROR(VLOOKUP(LEFT(P26, FIND("__", P26) + 1), [1]Sheet2!I$1:J$71, 2, FALSE), "구독권")</f>
        <v>구독권</v>
      </c>
      <c r="R26">
        <v>5</v>
      </c>
      <c r="S26" s="4">
        <v>2750</v>
      </c>
    </row>
    <row r="27" spans="1:19" x14ac:dyDescent="0.3">
      <c r="A27" t="s">
        <v>30</v>
      </c>
      <c r="B27" t="str">
        <f>IFERROR(VLOOKUP(LEFT(A27, FIND("__", A27) + 1), [1]Sheet2!I$1:J$71, 2, FALSE), "구독권")</f>
        <v>돌발무기</v>
      </c>
      <c r="C27" s="2">
        <v>12</v>
      </c>
      <c r="D27" s="4">
        <v>6600</v>
      </c>
      <c r="F27" t="s">
        <v>45</v>
      </c>
      <c r="G27" t="str">
        <f>IFERROR(VLOOKUP(LEFT(F27, FIND("__", F27) + 1), [1]Sheet2!I$1:J$71, 2, FALSE), "구독권")</f>
        <v>돌발조선</v>
      </c>
      <c r="H27">
        <v>8</v>
      </c>
      <c r="I27" s="2">
        <v>4400</v>
      </c>
      <c r="K27" t="s">
        <v>26</v>
      </c>
      <c r="L27" t="str">
        <f>IFERROR(VLOOKUP(LEFT(K27, FIND("__", K27) + 1), [1]Sheet2!I$1:J$71, 2, FALSE), "구독권")</f>
        <v>구독권</v>
      </c>
      <c r="M27">
        <v>7</v>
      </c>
      <c r="N27" s="2">
        <v>23100</v>
      </c>
      <c r="P27" t="s">
        <v>8</v>
      </c>
      <c r="Q27" t="str">
        <f>IFERROR(VLOOKUP(LEFT(P27, FIND("__", P27) + 1), [1]Sheet2!I$1:J$71, 2, FALSE), "구독권")</f>
        <v>계정한정소환고려</v>
      </c>
      <c r="R27">
        <v>5</v>
      </c>
      <c r="S27" s="4">
        <v>550</v>
      </c>
    </row>
    <row r="28" spans="1:19" x14ac:dyDescent="0.3">
      <c r="A28" t="s">
        <v>46</v>
      </c>
      <c r="B28" t="str">
        <f>IFERROR(VLOOKUP(LEFT(A28, FIND("__", A28) + 1), [1]Sheet2!I$1:J$71, 2, FALSE), "구독권")</f>
        <v>돌발초월</v>
      </c>
      <c r="C28" s="2">
        <v>11</v>
      </c>
      <c r="D28" s="4">
        <v>6050</v>
      </c>
      <c r="F28" t="s">
        <v>25</v>
      </c>
      <c r="G28" t="str">
        <f>IFERROR(VLOOKUP(LEFT(F28, FIND("__", F28) + 1), [1]Sheet2!I$1:J$71, 2, FALSE), "구독권")</f>
        <v>구독권</v>
      </c>
      <c r="H28">
        <v>8</v>
      </c>
      <c r="I28" s="2">
        <v>44000</v>
      </c>
      <c r="K28" t="s">
        <v>27</v>
      </c>
      <c r="L28" t="str">
        <f>IFERROR(VLOOKUP(LEFT(K28, FIND("__", K28) + 1), [1]Sheet2!I$1:J$71, 2, FALSE), "구독권")</f>
        <v>구독권</v>
      </c>
      <c r="M28">
        <v>7</v>
      </c>
      <c r="N28" s="2">
        <v>7700</v>
      </c>
      <c r="P28" t="s">
        <v>58</v>
      </c>
      <c r="Q28" t="str">
        <f>IFERROR(VLOOKUP(LEFT(P28, FIND("__", P28) + 1), [1]Sheet2!I$1:J$71, 2, FALSE), "구독권")</f>
        <v>돌발스테이지</v>
      </c>
      <c r="R28">
        <v>4</v>
      </c>
      <c r="S28" s="4">
        <v>4400</v>
      </c>
    </row>
    <row r="29" spans="1:19" x14ac:dyDescent="0.3">
      <c r="A29" t="s">
        <v>15</v>
      </c>
      <c r="B29" t="str">
        <f>IFERROR(VLOOKUP(LEFT(A29, FIND("__", A29) + 1), [1]Sheet2!I$1:J$71, 2, FALSE), "구독권")</f>
        <v>기한한정일간입장권</v>
      </c>
      <c r="C29" s="2">
        <v>11</v>
      </c>
      <c r="D29" s="4">
        <v>1210</v>
      </c>
      <c r="F29" t="s">
        <v>53</v>
      </c>
      <c r="G29" t="str">
        <f>IFERROR(VLOOKUP(LEFT(F29, FIND("__", F29) + 1), [1]Sheet2!I$1:J$71, 2, FALSE), "구독권")</f>
        <v>계정한정소환고려</v>
      </c>
      <c r="H29">
        <v>8</v>
      </c>
      <c r="I29" s="2">
        <v>4400</v>
      </c>
      <c r="K29" t="s">
        <v>28</v>
      </c>
      <c r="L29" t="str">
        <f>IFERROR(VLOOKUP(LEFT(K29, FIND("__", K29) + 1), [1]Sheet2!I$1:J$71, 2, FALSE), "구독권")</f>
        <v>계정한정영웅육성지원</v>
      </c>
      <c r="M29">
        <v>7</v>
      </c>
      <c r="N29" s="2">
        <v>2310</v>
      </c>
      <c r="P29" t="s">
        <v>43</v>
      </c>
      <c r="Q29" t="str">
        <f>IFERROR(VLOOKUP(LEFT(P29, FIND("__", P29) + 1), [1]Sheet2!I$1:J$71, 2, FALSE), "구독권")</f>
        <v>돌발조선</v>
      </c>
      <c r="R29">
        <v>4</v>
      </c>
      <c r="S29" s="4">
        <v>13200</v>
      </c>
    </row>
    <row r="30" spans="1:19" x14ac:dyDescent="0.3">
      <c r="A30" t="s">
        <v>138</v>
      </c>
      <c r="B30" t="str">
        <f>IFERROR(VLOOKUP(LEFT(A30, FIND("__", A30) + 1), [1]Sheet2!I$1:J$71, 2, FALSE), "구독권")</f>
        <v>돌발연구</v>
      </c>
      <c r="C30" s="2">
        <v>10</v>
      </c>
      <c r="D30" s="4">
        <v>5500</v>
      </c>
      <c r="F30" t="s">
        <v>33</v>
      </c>
      <c r="G30" t="str">
        <f>IFERROR(VLOOKUP(LEFT(F30, FIND("__", F30) + 1), [1]Sheet2!I$1:J$71, 2, FALSE), "구독권")</f>
        <v>계정한정소환무기</v>
      </c>
      <c r="H30">
        <v>8</v>
      </c>
      <c r="I30" s="2">
        <v>4400</v>
      </c>
      <c r="K30" t="s">
        <v>29</v>
      </c>
      <c r="L30" t="str">
        <f>IFERROR(VLOOKUP(LEFT(K30, FIND("__", K30) + 1), [1]Sheet2!I$1:J$71, 2, FALSE), "구독권")</f>
        <v xml:space="preserve">기한한정일간영웅 </v>
      </c>
      <c r="M30">
        <v>7</v>
      </c>
      <c r="N30">
        <v>770</v>
      </c>
      <c r="P30" t="s">
        <v>44</v>
      </c>
      <c r="Q30" t="str">
        <f>IFERROR(VLOOKUP(LEFT(P30, FIND("__", P30) + 1), [1]Sheet2!I$1:J$71, 2, FALSE), "구독권")</f>
        <v>돌발조선</v>
      </c>
      <c r="R30">
        <v>4</v>
      </c>
      <c r="S30" s="4">
        <v>4400</v>
      </c>
    </row>
    <row r="31" spans="1:19" x14ac:dyDescent="0.3">
      <c r="A31" t="s">
        <v>23</v>
      </c>
      <c r="B31" t="str">
        <f>IFERROR(VLOOKUP(LEFT(A31, FIND("__", A31) + 1), [1]Sheet2!I$1:J$71, 2, FALSE), "구독권")</f>
        <v>돌발조선</v>
      </c>
      <c r="C31" s="2">
        <v>10</v>
      </c>
      <c r="D31" s="4">
        <v>3300</v>
      </c>
      <c r="F31" t="s">
        <v>44</v>
      </c>
      <c r="G31" t="str">
        <f>IFERROR(VLOOKUP(LEFT(F31, FIND("__", F31) + 1), [1]Sheet2!I$1:J$71, 2, FALSE), "구독권")</f>
        <v>돌발조선</v>
      </c>
      <c r="H31">
        <v>7</v>
      </c>
      <c r="I31" s="2">
        <v>7700</v>
      </c>
      <c r="K31" t="s">
        <v>30</v>
      </c>
      <c r="L31" t="str">
        <f>IFERROR(VLOOKUP(LEFT(K31, FIND("__", K31) + 1), [1]Sheet2!I$1:J$71, 2, FALSE), "구독권")</f>
        <v>돌발무기</v>
      </c>
      <c r="M31">
        <v>6</v>
      </c>
      <c r="N31" s="2">
        <v>3300</v>
      </c>
      <c r="P31" t="s">
        <v>36</v>
      </c>
      <c r="Q31" t="str">
        <f>IFERROR(VLOOKUP(LEFT(P31, FIND("__", P31) + 1), [1]Sheet2!I$1:J$71, 2, FALSE), "구독권")</f>
        <v>돌발고려</v>
      </c>
      <c r="R31">
        <v>4</v>
      </c>
      <c r="S31" s="4">
        <v>4400</v>
      </c>
    </row>
    <row r="32" spans="1:19" x14ac:dyDescent="0.3">
      <c r="A32" t="s">
        <v>47</v>
      </c>
      <c r="B32" t="str">
        <f>IFERROR(VLOOKUP(LEFT(A32, FIND("__", A32) + 1), [1]Sheet2!I$1:J$71, 2, FALSE), "구독권")</f>
        <v>사냥패스1</v>
      </c>
      <c r="C32" s="2">
        <v>10</v>
      </c>
      <c r="D32" s="4">
        <v>7700</v>
      </c>
      <c r="F32" t="s">
        <v>23</v>
      </c>
      <c r="G32" t="str">
        <f>IFERROR(VLOOKUP(LEFT(F32, FIND("__", F32) + 1), [1]Sheet2!I$1:J$71, 2, FALSE), "구독권")</f>
        <v>돌발조선</v>
      </c>
      <c r="H32">
        <v>7</v>
      </c>
      <c r="I32" s="2">
        <v>2310</v>
      </c>
      <c r="K32" t="s">
        <v>31</v>
      </c>
      <c r="L32" t="str">
        <f>IFERROR(VLOOKUP(LEFT(K32, FIND("__", K32) + 1), [1]Sheet2!I$1:J$71, 2, FALSE), "구독권")</f>
        <v>레벨패스1</v>
      </c>
      <c r="M32">
        <v>6</v>
      </c>
      <c r="N32" s="2">
        <v>3300</v>
      </c>
      <c r="P32" t="s">
        <v>46</v>
      </c>
      <c r="Q32" t="str">
        <f>IFERROR(VLOOKUP(LEFT(P32, FIND("__", P32) + 1), [1]Sheet2!I$1:J$71, 2, FALSE), "구독권")</f>
        <v>돌발초월</v>
      </c>
      <c r="R32">
        <v>4</v>
      </c>
      <c r="S32" s="4">
        <v>2200</v>
      </c>
    </row>
    <row r="33" spans="1:19" x14ac:dyDescent="0.3">
      <c r="A33" t="s">
        <v>34</v>
      </c>
      <c r="B33" t="str">
        <f>IFERROR(VLOOKUP(LEFT(A33, FIND("__", A33) + 1), [1]Sheet2!I$1:J$71, 2, FALSE), "구독권")</f>
        <v xml:space="preserve">기한한정일간어빌석 </v>
      </c>
      <c r="C33">
        <v>10</v>
      </c>
      <c r="D33" s="4">
        <v>1100</v>
      </c>
      <c r="F33" t="s">
        <v>21</v>
      </c>
      <c r="G33" t="str">
        <f>IFERROR(VLOOKUP(LEFT(F33, FIND("__", F33) + 1), [1]Sheet2!I$1:J$71, 2, FALSE), "구독권")</f>
        <v>구독권</v>
      </c>
      <c r="H33">
        <v>7</v>
      </c>
      <c r="I33" s="2">
        <v>4620</v>
      </c>
      <c r="K33" t="s">
        <v>32</v>
      </c>
      <c r="L33" t="str">
        <f>IFERROR(VLOOKUP(LEFT(K33, FIND("__", K33) + 1), [1]Sheet2!I$1:J$71, 2, FALSE), "구독권")</f>
        <v>계정한정소환무기</v>
      </c>
      <c r="M33">
        <v>6</v>
      </c>
      <c r="N33" s="2">
        <v>6600</v>
      </c>
      <c r="P33" t="s">
        <v>21</v>
      </c>
      <c r="Q33" t="str">
        <f>IFERROR(VLOOKUP(LEFT(P33, FIND("__", P33) + 1), [1]Sheet2!I$1:J$71, 2, FALSE), "구독권")</f>
        <v>구독권</v>
      </c>
      <c r="R33">
        <v>4</v>
      </c>
      <c r="S33" s="4">
        <v>2640</v>
      </c>
    </row>
    <row r="34" spans="1:19" x14ac:dyDescent="0.3">
      <c r="A34" t="s">
        <v>141</v>
      </c>
      <c r="B34" t="str">
        <f>IFERROR(VLOOKUP(LEFT(A34, FIND("__", A34) + 1), [1]Sheet2!I$1:J$71, 2, FALSE), "구독권")</f>
        <v>돌발연구</v>
      </c>
      <c r="C34">
        <v>9</v>
      </c>
      <c r="D34" s="4">
        <v>2970</v>
      </c>
      <c r="F34" t="s">
        <v>37</v>
      </c>
      <c r="G34" t="str">
        <f>IFERROR(VLOOKUP(LEFT(F34, FIND("__", F34) + 1), [1]Sheet2!I$1:J$71, 2, FALSE), "구독권")</f>
        <v>육성패스1</v>
      </c>
      <c r="H34">
        <v>7</v>
      </c>
      <c r="I34" s="2">
        <v>3850</v>
      </c>
      <c r="K34" t="s">
        <v>33</v>
      </c>
      <c r="L34" t="str">
        <f>IFERROR(VLOOKUP(LEFT(K34, FIND("__", K34) + 1), [1]Sheet2!I$1:J$71, 2, FALSE), "구독권")</f>
        <v>계정한정소환무기</v>
      </c>
      <c r="M34">
        <v>6</v>
      </c>
      <c r="N34" s="2">
        <v>3300</v>
      </c>
      <c r="P34" t="s">
        <v>26</v>
      </c>
      <c r="Q34" t="str">
        <f>IFERROR(VLOOKUP(LEFT(P34, FIND("__", P34) + 1), [1]Sheet2!I$1:J$71, 2, FALSE), "구독권")</f>
        <v>구독권</v>
      </c>
      <c r="R34">
        <v>4</v>
      </c>
      <c r="S34" s="4">
        <v>13200</v>
      </c>
    </row>
    <row r="35" spans="1:19" x14ac:dyDescent="0.3">
      <c r="A35" t="s">
        <v>61</v>
      </c>
      <c r="B35" t="str">
        <f>IFERROR(VLOOKUP(LEFT(A35, FIND("__", A35) + 1), [1]Sheet2!I$1:J$71, 2, FALSE), "구독권")</f>
        <v>돌발육성</v>
      </c>
      <c r="C35">
        <v>9</v>
      </c>
      <c r="D35" s="4">
        <v>4950</v>
      </c>
      <c r="F35" t="s">
        <v>27</v>
      </c>
      <c r="G35" t="str">
        <f>IFERROR(VLOOKUP(LEFT(F35, FIND("__", F35) + 1), [1]Sheet2!I$1:J$71, 2, FALSE), "구독권")</f>
        <v>구독권</v>
      </c>
      <c r="H35">
        <v>7</v>
      </c>
      <c r="I35" s="2">
        <v>7700</v>
      </c>
      <c r="K35" t="s">
        <v>34</v>
      </c>
      <c r="L35" t="str">
        <f>IFERROR(VLOOKUP(LEFT(K35, FIND("__", K35) + 1), [1]Sheet2!I$1:J$71, 2, FALSE), "구독권")</f>
        <v xml:space="preserve">기한한정일간어빌석 </v>
      </c>
      <c r="M35">
        <v>6</v>
      </c>
      <c r="N35">
        <v>660</v>
      </c>
      <c r="P35" t="s">
        <v>22</v>
      </c>
      <c r="Q35" t="str">
        <f>IFERROR(VLOOKUP(LEFT(P35, FIND("__", P35) + 1), [1]Sheet2!I$1:J$71, 2, FALSE), "구독권")</f>
        <v>계정한정소환가속</v>
      </c>
      <c r="R35">
        <v>4</v>
      </c>
      <c r="S35" s="4">
        <v>440</v>
      </c>
    </row>
    <row r="36" spans="1:19" x14ac:dyDescent="0.3">
      <c r="A36" t="s">
        <v>17</v>
      </c>
      <c r="B36" t="str">
        <f>IFERROR(VLOOKUP(LEFT(A36, FIND("__", A36) + 1), [1]Sheet2!I$1:J$71, 2, FALSE), "구독권")</f>
        <v>구독권</v>
      </c>
      <c r="C36">
        <v>9</v>
      </c>
      <c r="D36" s="4">
        <v>5280</v>
      </c>
      <c r="F36" t="s">
        <v>82</v>
      </c>
      <c r="G36" t="str">
        <f>IFERROR(VLOOKUP(LEFT(F36, FIND("__", F36) + 1), [1]Sheet2!I$1:J$71, 2, FALSE), "구독권")</f>
        <v>돌발스테이지</v>
      </c>
      <c r="H36">
        <v>6</v>
      </c>
      <c r="I36" s="2">
        <v>3300</v>
      </c>
      <c r="K36" t="s">
        <v>35</v>
      </c>
      <c r="L36" t="str">
        <f>IFERROR(VLOOKUP(LEFT(K36, FIND("__", K36) + 1), [1]Sheet2!I$1:J$71, 2, FALSE), "구독권")</f>
        <v>돌발스테이지</v>
      </c>
      <c r="M36">
        <v>5</v>
      </c>
      <c r="N36" s="2">
        <v>5500</v>
      </c>
      <c r="P36" t="s">
        <v>6</v>
      </c>
      <c r="Q36" t="str">
        <f>IFERROR(VLOOKUP(LEFT(P36, FIND("__", P36) + 1), [1]Sheet2!I$1:J$71, 2, FALSE), "구독권")</f>
        <v>계정한정소환조선</v>
      </c>
      <c r="R36">
        <v>4</v>
      </c>
      <c r="S36" s="4">
        <v>440</v>
      </c>
    </row>
    <row r="37" spans="1:19" x14ac:dyDescent="0.3">
      <c r="A37" t="s">
        <v>49</v>
      </c>
      <c r="B37" t="str">
        <f>IFERROR(VLOOKUP(LEFT(A37, FIND("__", A37) + 1), [1]Sheet2!I$1:J$71, 2, FALSE), "구독권")</f>
        <v>계정한정소환가속</v>
      </c>
      <c r="C37">
        <v>9</v>
      </c>
      <c r="D37" s="4">
        <v>4950</v>
      </c>
      <c r="F37" t="s">
        <v>138</v>
      </c>
      <c r="G37" t="str">
        <f>IFERROR(VLOOKUP(LEFT(F37, FIND("__", F37) + 1), [1]Sheet2!I$1:J$71, 2, FALSE), "구독권")</f>
        <v>돌발연구</v>
      </c>
      <c r="H37">
        <v>6</v>
      </c>
      <c r="I37" s="2">
        <v>3300</v>
      </c>
      <c r="K37" t="s">
        <v>36</v>
      </c>
      <c r="L37" t="str">
        <f>IFERROR(VLOOKUP(LEFT(K37, FIND("__", K37) + 1), [1]Sheet2!I$1:J$71, 2, FALSE), "구독권")</f>
        <v>돌발고려</v>
      </c>
      <c r="M37">
        <v>5</v>
      </c>
      <c r="N37" s="2">
        <v>5500</v>
      </c>
      <c r="P37" t="s">
        <v>29</v>
      </c>
      <c r="Q37" t="str">
        <f>IFERROR(VLOOKUP(LEFT(P37, FIND("__", P37) + 1), [1]Sheet2!I$1:J$71, 2, FALSE), "구독권")</f>
        <v xml:space="preserve">기한한정일간영웅 </v>
      </c>
      <c r="R37">
        <v>4</v>
      </c>
      <c r="S37" s="4">
        <v>440</v>
      </c>
    </row>
    <row r="38" spans="1:19" x14ac:dyDescent="0.3">
      <c r="A38" t="s">
        <v>53</v>
      </c>
      <c r="B38" t="str">
        <f>IFERROR(VLOOKUP(LEFT(A38, FIND("__", A38) + 1), [1]Sheet2!I$1:J$71, 2, FALSE), "구독권")</f>
        <v>계정한정소환고려</v>
      </c>
      <c r="C38">
        <v>9</v>
      </c>
      <c r="D38" s="4">
        <v>4950</v>
      </c>
      <c r="F38" t="s">
        <v>36</v>
      </c>
      <c r="G38" t="str">
        <f>IFERROR(VLOOKUP(LEFT(F38, FIND("__", F38) + 1), [1]Sheet2!I$1:J$71, 2, FALSE), "구독권")</f>
        <v>돌발고려</v>
      </c>
      <c r="H38">
        <v>6</v>
      </c>
      <c r="I38" s="2">
        <v>6600</v>
      </c>
      <c r="K38" t="s">
        <v>37</v>
      </c>
      <c r="L38" t="str">
        <f>IFERROR(VLOOKUP(LEFT(K38, FIND("__", K38) + 1), [1]Sheet2!I$1:J$71, 2, FALSE), "구독권")</f>
        <v>육성패스1</v>
      </c>
      <c r="M38">
        <v>5</v>
      </c>
      <c r="N38" s="2">
        <v>2750</v>
      </c>
      <c r="P38" t="s">
        <v>82</v>
      </c>
      <c r="Q38" t="str">
        <f>IFERROR(VLOOKUP(LEFT(P38, FIND("__", P38) + 1), [1]Sheet2!I$1:J$71, 2, FALSE), "구독권")</f>
        <v>돌발스테이지</v>
      </c>
      <c r="R38">
        <v>3</v>
      </c>
      <c r="S38" s="4">
        <v>1650</v>
      </c>
    </row>
    <row r="39" spans="1:19" x14ac:dyDescent="0.3">
      <c r="A39" t="s">
        <v>44</v>
      </c>
      <c r="B39" t="str">
        <f>IFERROR(VLOOKUP(LEFT(A39, FIND("__", A39) + 1), [1]Sheet2!I$1:J$71, 2, FALSE), "구독권")</f>
        <v>돌발조선</v>
      </c>
      <c r="C39">
        <v>8</v>
      </c>
      <c r="D39" s="4">
        <v>8800</v>
      </c>
      <c r="F39" t="s">
        <v>55</v>
      </c>
      <c r="G39" t="str">
        <f>IFERROR(VLOOKUP(LEFT(F39, FIND("__", F39) + 1), [1]Sheet2!I$1:J$71, 2, FALSE), "구독권")</f>
        <v>기한한정일간가속</v>
      </c>
      <c r="H39">
        <v>6</v>
      </c>
      <c r="I39" s="2">
        <v>6600</v>
      </c>
      <c r="K39" t="s">
        <v>38</v>
      </c>
      <c r="L39" t="str">
        <f>IFERROR(VLOOKUP(LEFT(K39, FIND("__", K39) + 1), [1]Sheet2!I$1:J$71, 2, FALSE), "구독권")</f>
        <v>사냥패스1</v>
      </c>
      <c r="M39">
        <v>5</v>
      </c>
      <c r="N39" s="2">
        <v>5500</v>
      </c>
      <c r="P39" t="s">
        <v>35</v>
      </c>
      <c r="Q39" t="str">
        <f>IFERROR(VLOOKUP(LEFT(P39, FIND("__", P39) + 1), [1]Sheet2!I$1:J$71, 2, FALSE), "구독권")</f>
        <v>돌발스테이지</v>
      </c>
      <c r="R39">
        <v>3</v>
      </c>
      <c r="S39" s="4">
        <v>3300</v>
      </c>
    </row>
    <row r="40" spans="1:19" x14ac:dyDescent="0.3">
      <c r="A40" t="s">
        <v>45</v>
      </c>
      <c r="B40" t="str">
        <f>IFERROR(VLOOKUP(LEFT(A40, FIND("__", A40) + 1), [1]Sheet2!I$1:J$71, 2, FALSE), "구독권")</f>
        <v>돌발조선</v>
      </c>
      <c r="C40">
        <v>8</v>
      </c>
      <c r="D40" s="4">
        <v>4400</v>
      </c>
      <c r="F40" t="s">
        <v>56</v>
      </c>
      <c r="G40" t="str">
        <f>IFERROR(VLOOKUP(LEFT(F40, FIND("__", F40) + 1), [1]Sheet2!I$1:J$71, 2, FALSE), "구독권")</f>
        <v>기한한정일간가속</v>
      </c>
      <c r="H40">
        <v>6</v>
      </c>
      <c r="I40" s="2">
        <v>3300</v>
      </c>
      <c r="K40" t="s">
        <v>39</v>
      </c>
      <c r="L40" t="str">
        <f>IFERROR(VLOOKUP(LEFT(K40, FIND("__", K40) + 1), [1]Sheet2!I$1:J$71, 2, FALSE), "구독권")</f>
        <v>계정한정영웅필드지원</v>
      </c>
      <c r="M40">
        <v>5</v>
      </c>
      <c r="N40" s="2">
        <v>1650</v>
      </c>
      <c r="P40" t="s">
        <v>141</v>
      </c>
      <c r="Q40" t="str">
        <f>IFERROR(VLOOKUP(LEFT(P40, FIND("__", P40) + 1), [1]Sheet2!I$1:J$71, 2, FALSE), "구독권")</f>
        <v>돌발연구</v>
      </c>
      <c r="R40">
        <v>3</v>
      </c>
      <c r="S40" s="4">
        <v>990</v>
      </c>
    </row>
    <row r="41" spans="1:19" x14ac:dyDescent="0.3">
      <c r="A41" t="s">
        <v>63</v>
      </c>
      <c r="B41" t="str">
        <f>IFERROR(VLOOKUP(LEFT(A41, FIND("__", A41) + 1), [1]Sheet2!I$1:J$71, 2, FALSE), "구독권")</f>
        <v>돌발갑옷</v>
      </c>
      <c r="C41">
        <v>8</v>
      </c>
      <c r="D41" s="4">
        <v>2640</v>
      </c>
      <c r="F41" t="s">
        <v>63</v>
      </c>
      <c r="G41" t="str">
        <f>IFERROR(VLOOKUP(LEFT(F41, FIND("__", F41) + 1), [1]Sheet2!I$1:J$71, 2, FALSE), "구독권")</f>
        <v>돌발갑옷</v>
      </c>
      <c r="H41">
        <v>5</v>
      </c>
      <c r="I41" s="2">
        <v>1650</v>
      </c>
      <c r="K41" t="s">
        <v>40</v>
      </c>
      <c r="L41" t="str">
        <f>IFERROR(VLOOKUP(LEFT(K41, FIND("__", K41) + 1), [1]Sheet2!I$1:J$71, 2, FALSE), "구독권")</f>
        <v>돌발스테이지</v>
      </c>
      <c r="M41">
        <v>4</v>
      </c>
      <c r="N41" s="2">
        <v>13200</v>
      </c>
      <c r="P41" t="s">
        <v>45</v>
      </c>
      <c r="Q41" t="str">
        <f>IFERROR(VLOOKUP(LEFT(P41, FIND("__", P41) + 1), [1]Sheet2!I$1:J$71, 2, FALSE), "구독권")</f>
        <v>돌발조선</v>
      </c>
      <c r="R41">
        <v>3</v>
      </c>
      <c r="S41" s="4">
        <v>1650</v>
      </c>
    </row>
    <row r="42" spans="1:19" x14ac:dyDescent="0.3">
      <c r="A42" t="s">
        <v>142</v>
      </c>
      <c r="B42" t="str">
        <f>IFERROR(VLOOKUP(LEFT(A42, FIND("__", A42) + 1), [1]Sheet2!I$1:J$71, 2, FALSE), "구독권")</f>
        <v>구독권</v>
      </c>
      <c r="C42">
        <v>8</v>
      </c>
      <c r="D42" s="4">
        <v>44000</v>
      </c>
      <c r="F42" t="s">
        <v>17</v>
      </c>
      <c r="G42" t="str">
        <f>IFERROR(VLOOKUP(LEFT(F42, FIND("__", F42) + 1), [1]Sheet2!I$1:J$71, 2, FALSE), "구독권")</f>
        <v>구독권</v>
      </c>
      <c r="H42">
        <v>5</v>
      </c>
      <c r="I42" s="2">
        <v>3300</v>
      </c>
      <c r="K42" t="s">
        <v>41</v>
      </c>
      <c r="L42" t="str">
        <f>IFERROR(VLOOKUP(LEFT(K42, FIND("__", K42) + 1), [1]Sheet2!I$1:J$71, 2, FALSE), "구독권")</f>
        <v>돌발연구</v>
      </c>
      <c r="M42">
        <v>4</v>
      </c>
      <c r="N42" s="2">
        <v>4400</v>
      </c>
      <c r="P42" t="s">
        <v>147</v>
      </c>
      <c r="Q42" t="str">
        <f>IFERROR(VLOOKUP(LEFT(P42, FIND("__", P42) + 1), [1]Sheet2!I$1:J$71, 2, FALSE), "구독권")</f>
        <v>돌발육성</v>
      </c>
      <c r="R42">
        <v>3</v>
      </c>
      <c r="S42" s="4">
        <v>1650</v>
      </c>
    </row>
    <row r="43" spans="1:19" x14ac:dyDescent="0.3">
      <c r="A43" t="s">
        <v>19</v>
      </c>
      <c r="B43" t="str">
        <f>IFERROR(VLOOKUP(LEFT(A43, FIND("__", A43) + 1), [1]Sheet2!I$1:J$71, 2, FALSE), "구독권")</f>
        <v>구독권</v>
      </c>
      <c r="C43">
        <v>8</v>
      </c>
      <c r="D43" s="4">
        <v>26400</v>
      </c>
      <c r="F43" t="s">
        <v>49</v>
      </c>
      <c r="G43" t="str">
        <f>IFERROR(VLOOKUP(LEFT(F43, FIND("__", F43) + 1), [1]Sheet2!I$1:J$71, 2, FALSE), "구독권")</f>
        <v>계정한정소환가속</v>
      </c>
      <c r="H43">
        <v>5</v>
      </c>
      <c r="I43" s="2">
        <v>2750</v>
      </c>
      <c r="K43" t="s">
        <v>42</v>
      </c>
      <c r="L43" t="str">
        <f>IFERROR(VLOOKUP(LEFT(K43, FIND("__", K43) + 1), [1]Sheet2!I$1:J$71, 2, FALSE), "구독권")</f>
        <v>돌발연구</v>
      </c>
      <c r="M43">
        <v>4</v>
      </c>
      <c r="N43" s="2">
        <v>4400</v>
      </c>
      <c r="P43" t="s">
        <v>148</v>
      </c>
      <c r="Q43" t="str">
        <f>IFERROR(VLOOKUP(LEFT(P43, FIND("__", P43) + 1), [1]Sheet2!I$1:J$71, 2, FALSE), "구독권")</f>
        <v>돌발갑옷</v>
      </c>
      <c r="R43">
        <v>3</v>
      </c>
      <c r="S43" s="4">
        <v>1650</v>
      </c>
    </row>
    <row r="44" spans="1:19" x14ac:dyDescent="0.3">
      <c r="A44" t="s">
        <v>74</v>
      </c>
      <c r="B44" t="str">
        <f>IFERROR(VLOOKUP(LEFT(A44, FIND("__", A44) + 1), [1]Sheet2!I$1:J$71, 2, FALSE), "구독권")</f>
        <v>계정한정영웅초월지원</v>
      </c>
      <c r="C44">
        <v>8</v>
      </c>
      <c r="D44" s="4">
        <v>2640</v>
      </c>
      <c r="F44" t="s">
        <v>34</v>
      </c>
      <c r="G44" t="str">
        <f>IFERROR(VLOOKUP(LEFT(F44, FIND("__", F44) + 1), [1]Sheet2!I$1:J$71, 2, FALSE), "구독권")</f>
        <v xml:space="preserve">기한한정일간어빌석 </v>
      </c>
      <c r="H44">
        <v>5</v>
      </c>
      <c r="I44">
        <v>550</v>
      </c>
      <c r="K44" t="s">
        <v>43</v>
      </c>
      <c r="L44" t="str">
        <f>IFERROR(VLOOKUP(LEFT(K44, FIND("__", K44) + 1), [1]Sheet2!I$1:J$71, 2, FALSE), "구독권")</f>
        <v>돌발조선</v>
      </c>
      <c r="M44">
        <v>4</v>
      </c>
      <c r="N44" s="2">
        <v>13200</v>
      </c>
      <c r="P44" t="s">
        <v>17</v>
      </c>
      <c r="Q44" t="str">
        <f>IFERROR(VLOOKUP(LEFT(P44, FIND("__", P44) + 1), [1]Sheet2!I$1:J$71, 2, FALSE), "구독권")</f>
        <v>구독권</v>
      </c>
      <c r="R44">
        <v>3</v>
      </c>
      <c r="S44" s="4">
        <v>1980</v>
      </c>
    </row>
    <row r="45" spans="1:19" x14ac:dyDescent="0.3">
      <c r="A45" t="s">
        <v>28</v>
      </c>
      <c r="B45" t="str">
        <f>IFERROR(VLOOKUP(LEFT(A45, FIND("__", A45) + 1), [1]Sheet2!I$1:J$71, 2, FALSE), "구독권")</f>
        <v>계정한정영웅육성지원</v>
      </c>
      <c r="C45">
        <v>8</v>
      </c>
      <c r="D45" s="4">
        <v>2640</v>
      </c>
      <c r="F45" t="s">
        <v>57</v>
      </c>
      <c r="G45" t="str">
        <f>IFERROR(VLOOKUP(LEFT(F45, FIND("__", F45) + 1), [1]Sheet2!I$1:J$71, 2, FALSE), "구독권")</f>
        <v xml:space="preserve">기한한정일간장비 </v>
      </c>
      <c r="H45">
        <v>5</v>
      </c>
      <c r="I45">
        <v>550</v>
      </c>
      <c r="K45" t="s">
        <v>44</v>
      </c>
      <c r="L45" t="str">
        <f>IFERROR(VLOOKUP(LEFT(K45, FIND("__", K45) + 1), [1]Sheet2!I$1:J$71, 2, FALSE), "구독권")</f>
        <v>돌발조선</v>
      </c>
      <c r="M45">
        <v>4</v>
      </c>
      <c r="N45" s="2">
        <v>4400</v>
      </c>
      <c r="P45" t="s">
        <v>39</v>
      </c>
      <c r="Q45" t="str">
        <f>IFERROR(VLOOKUP(LEFT(P45, FIND("__", P45) + 1), [1]Sheet2!I$1:J$71, 2, FALSE), "구독권")</f>
        <v>계정한정영웅필드지원</v>
      </c>
      <c r="R45">
        <v>3</v>
      </c>
      <c r="S45" s="4">
        <v>990</v>
      </c>
    </row>
    <row r="46" spans="1:19" x14ac:dyDescent="0.3">
      <c r="A46" t="s">
        <v>50</v>
      </c>
      <c r="B46" t="str">
        <f>IFERROR(VLOOKUP(LEFT(A46, FIND("__", A46) + 1), [1]Sheet2!I$1:J$71, 2, FALSE), "구독권")</f>
        <v>계정한정소환조선</v>
      </c>
      <c r="C46">
        <v>8</v>
      </c>
      <c r="D46" s="4">
        <v>4400</v>
      </c>
      <c r="F46" t="s">
        <v>58</v>
      </c>
      <c r="G46" t="str">
        <f>IFERROR(VLOOKUP(LEFT(F46, FIND("__", F46) + 1), [1]Sheet2!I$1:J$71, 2, FALSE), "구독권")</f>
        <v>돌발스테이지</v>
      </c>
      <c r="H46">
        <v>4</v>
      </c>
      <c r="I46" s="2">
        <v>4400</v>
      </c>
      <c r="K46" t="s">
        <v>45</v>
      </c>
      <c r="L46" t="str">
        <f>IFERROR(VLOOKUP(LEFT(K46, FIND("__", K46) + 1), [1]Sheet2!I$1:J$71, 2, FALSE), "구독권")</f>
        <v>돌발조선</v>
      </c>
      <c r="M46">
        <v>4</v>
      </c>
      <c r="N46" s="2">
        <v>2200</v>
      </c>
      <c r="P46" t="s">
        <v>48</v>
      </c>
      <c r="Q46" t="str">
        <f>IFERROR(VLOOKUP(LEFT(P46, FIND("__", P46) + 1), [1]Sheet2!I$1:J$71, 2, FALSE), "구독권")</f>
        <v>계정한정소환가속</v>
      </c>
      <c r="R46">
        <v>3</v>
      </c>
      <c r="S46" s="4">
        <v>3300</v>
      </c>
    </row>
    <row r="47" spans="1:19" x14ac:dyDescent="0.3">
      <c r="A47" t="s">
        <v>33</v>
      </c>
      <c r="B47" t="str">
        <f>IFERROR(VLOOKUP(LEFT(A47, FIND("__", A47) + 1), [1]Sheet2!I$1:J$71, 2, FALSE), "구독권")</f>
        <v>계정한정소환무기</v>
      </c>
      <c r="C47">
        <v>8</v>
      </c>
      <c r="D47" s="4">
        <v>4400</v>
      </c>
      <c r="F47" t="s">
        <v>102</v>
      </c>
      <c r="G47" t="str">
        <f>IFERROR(VLOOKUP(LEFT(F47, FIND("__", F47) + 1), [1]Sheet2!I$1:J$71, 2, FALSE), "구독권")</f>
        <v>돌발스테이지</v>
      </c>
      <c r="H47">
        <v>4</v>
      </c>
      <c r="I47" s="2">
        <v>13200</v>
      </c>
      <c r="K47" t="s">
        <v>46</v>
      </c>
      <c r="L47" t="str">
        <f>IFERROR(VLOOKUP(LEFT(K47, FIND("__", K47) + 1), [1]Sheet2!I$1:J$71, 2, FALSE), "구독권")</f>
        <v>돌발초월</v>
      </c>
      <c r="M47">
        <v>4</v>
      </c>
      <c r="N47" s="2">
        <v>2200</v>
      </c>
      <c r="P47" t="s">
        <v>78</v>
      </c>
      <c r="Q47" t="str">
        <f>IFERROR(VLOOKUP(LEFT(P47, FIND("__", P47) + 1), [1]Sheet2!I$1:J$71, 2, FALSE), "구독권")</f>
        <v>계정한정소환조선</v>
      </c>
      <c r="R47">
        <v>3</v>
      </c>
      <c r="S47" s="4">
        <v>3300</v>
      </c>
    </row>
    <row r="48" spans="1:19" x14ac:dyDescent="0.3">
      <c r="A48" t="s">
        <v>29</v>
      </c>
      <c r="B48" t="str">
        <f>IFERROR(VLOOKUP(LEFT(A48, FIND("__", A48) + 1), [1]Sheet2!I$1:J$71, 2, FALSE), "구독권")</f>
        <v xml:space="preserve">기한한정일간영웅 </v>
      </c>
      <c r="C48">
        <v>8</v>
      </c>
      <c r="D48" s="4">
        <v>880</v>
      </c>
      <c r="F48" t="s">
        <v>35</v>
      </c>
      <c r="G48" t="str">
        <f>IFERROR(VLOOKUP(LEFT(F48, FIND("__", F48) + 1), [1]Sheet2!I$1:J$71, 2, FALSE), "구독권")</f>
        <v>돌발스테이지</v>
      </c>
      <c r="H48">
        <v>4</v>
      </c>
      <c r="I48" s="2">
        <v>4400</v>
      </c>
      <c r="K48" t="s">
        <v>47</v>
      </c>
      <c r="L48" t="str">
        <f>IFERROR(VLOOKUP(LEFT(K48, FIND("__", K48) + 1), [1]Sheet2!I$1:J$71, 2, FALSE), "구독권")</f>
        <v>사냥패스1</v>
      </c>
      <c r="M48">
        <v>4</v>
      </c>
      <c r="N48" s="2">
        <v>3080</v>
      </c>
      <c r="P48" t="s">
        <v>53</v>
      </c>
      <c r="Q48" t="str">
        <f>IFERROR(VLOOKUP(LEFT(P48, FIND("__", P48) + 1), [1]Sheet2!I$1:J$71, 2, FALSE), "구독권")</f>
        <v>계정한정소환고려</v>
      </c>
      <c r="R48">
        <v>3</v>
      </c>
      <c r="S48" s="4">
        <v>1650</v>
      </c>
    </row>
    <row r="49" spans="1:19" x14ac:dyDescent="0.3">
      <c r="A49" t="s">
        <v>42</v>
      </c>
      <c r="B49" t="str">
        <f>IFERROR(VLOOKUP(LEFT(A49, FIND("__", A49) + 1), [1]Sheet2!I$1:J$71, 2, FALSE), "구독권")</f>
        <v>돌발연구</v>
      </c>
      <c r="C49">
        <v>7</v>
      </c>
      <c r="D49" s="4">
        <v>7700</v>
      </c>
      <c r="F49" t="s">
        <v>46</v>
      </c>
      <c r="G49" t="str">
        <f>IFERROR(VLOOKUP(LEFT(F49, FIND("__", F49) + 1), [1]Sheet2!I$1:J$71, 2, FALSE), "구독권")</f>
        <v>돌발초월</v>
      </c>
      <c r="H49">
        <v>4</v>
      </c>
      <c r="I49" s="2">
        <v>2200</v>
      </c>
      <c r="K49" t="s">
        <v>48</v>
      </c>
      <c r="L49" t="str">
        <f>IFERROR(VLOOKUP(LEFT(K49, FIND("__", K49) + 1), [1]Sheet2!I$1:J$71, 2, FALSE), "구독권")</f>
        <v>계정한정소환가속</v>
      </c>
      <c r="M49">
        <v>4</v>
      </c>
      <c r="N49" s="2">
        <v>4400</v>
      </c>
      <c r="P49" t="s">
        <v>33</v>
      </c>
      <c r="Q49" t="str">
        <f>IFERROR(VLOOKUP(LEFT(P49, FIND("__", P49) + 1), [1]Sheet2!I$1:J$71, 2, FALSE), "구독권")</f>
        <v>계정한정소환무기</v>
      </c>
      <c r="R49">
        <v>3</v>
      </c>
      <c r="S49" s="4">
        <v>1650</v>
      </c>
    </row>
    <row r="50" spans="1:19" x14ac:dyDescent="0.3">
      <c r="A50" t="s">
        <v>20</v>
      </c>
      <c r="B50" t="str">
        <f>IFERROR(VLOOKUP(LEFT(A50, FIND("__", A50) + 1), [1]Sheet2!I$1:J$71, 2, FALSE), "구독권")</f>
        <v>돌발고려</v>
      </c>
      <c r="C50">
        <v>7</v>
      </c>
      <c r="D50" s="4">
        <v>3850</v>
      </c>
      <c r="F50" t="s">
        <v>147</v>
      </c>
      <c r="G50" t="str">
        <f>IFERROR(VLOOKUP(LEFT(F50, FIND("__", F50) + 1), [1]Sheet2!I$1:J$71, 2, FALSE), "구독권")</f>
        <v>돌발육성</v>
      </c>
      <c r="H50">
        <v>4</v>
      </c>
      <c r="I50" s="2">
        <v>2200</v>
      </c>
      <c r="K50" t="s">
        <v>49</v>
      </c>
      <c r="L50" t="str">
        <f>IFERROR(VLOOKUP(LEFT(K50, FIND("__", K50) + 1), [1]Sheet2!I$1:J$71, 2, FALSE), "구독권")</f>
        <v>계정한정소환가속</v>
      </c>
      <c r="M50">
        <v>4</v>
      </c>
      <c r="N50" s="2">
        <v>2200</v>
      </c>
      <c r="P50" t="s">
        <v>189</v>
      </c>
      <c r="Q50" t="str">
        <f>IFERROR(VLOOKUP(LEFT(P50, FIND("__", P50) + 1), [1]Sheet2!I$1:J$71, 2, FALSE), "구독권")</f>
        <v xml:space="preserve">기한한정일간장비 </v>
      </c>
      <c r="R50">
        <v>3</v>
      </c>
      <c r="S50" s="4">
        <v>1650</v>
      </c>
    </row>
    <row r="51" spans="1:19" x14ac:dyDescent="0.3">
      <c r="A51" t="s">
        <v>21</v>
      </c>
      <c r="B51" t="str">
        <f>IFERROR(VLOOKUP(LEFT(A51, FIND("__", A51) + 1), [1]Sheet2!I$1:J$71, 2, FALSE), "구독권")</f>
        <v>구독권</v>
      </c>
      <c r="C51">
        <v>7</v>
      </c>
      <c r="D51" s="4">
        <v>3960</v>
      </c>
      <c r="F51" t="s">
        <v>61</v>
      </c>
      <c r="G51" t="str">
        <f>IFERROR(VLOOKUP(LEFT(F51, FIND("__", F51) + 1), [1]Sheet2!I$1:J$71, 2, FALSE), "구독권")</f>
        <v>돌발육성</v>
      </c>
      <c r="H51">
        <v>4</v>
      </c>
      <c r="I51" s="2">
        <v>2200</v>
      </c>
      <c r="K51" t="s">
        <v>50</v>
      </c>
      <c r="L51" t="str">
        <f>IFERROR(VLOOKUP(LEFT(K51, FIND("__", K51) + 1), [1]Sheet2!I$1:J$71, 2, FALSE), "구독권")</f>
        <v>계정한정소환조선</v>
      </c>
      <c r="M51">
        <v>4</v>
      </c>
      <c r="N51" s="2">
        <v>2200</v>
      </c>
      <c r="P51" t="s">
        <v>163</v>
      </c>
      <c r="Q51" t="str">
        <f>IFERROR(VLOOKUP(LEFT(P51, FIND("__", P51) + 1), [1]Sheet2!I$1:J$71, 2, FALSE), "구독권")</f>
        <v>돌발스테이지</v>
      </c>
      <c r="R51">
        <v>2</v>
      </c>
      <c r="S51" s="4">
        <v>11000</v>
      </c>
    </row>
    <row r="52" spans="1:19" x14ac:dyDescent="0.3">
      <c r="A52" t="s">
        <v>143</v>
      </c>
      <c r="B52" t="str">
        <f>IFERROR(VLOOKUP(LEFT(A52, FIND("__", A52) + 1), [1]Sheet2!I$1:J$71, 2, FALSE), "구독권")</f>
        <v>계정한정영웅필드지원</v>
      </c>
      <c r="C52">
        <v>7</v>
      </c>
      <c r="D52" s="4">
        <v>3850</v>
      </c>
      <c r="F52" t="s">
        <v>62</v>
      </c>
      <c r="G52" t="str">
        <f>IFERROR(VLOOKUP(LEFT(F52, FIND("__", F52) + 1), [1]Sheet2!I$1:J$71, 2, FALSE), "구독권")</f>
        <v>돌발가속권</v>
      </c>
      <c r="H52">
        <v>4</v>
      </c>
      <c r="I52" s="2">
        <v>1320</v>
      </c>
      <c r="K52" t="s">
        <v>51</v>
      </c>
      <c r="L52" t="str">
        <f>IFERROR(VLOOKUP(LEFT(K52, FIND("__", K52) + 1), [1]Sheet2!I$1:J$71, 2, FALSE), "구독권")</f>
        <v>계정한정소환고려</v>
      </c>
      <c r="M52">
        <v>4</v>
      </c>
      <c r="N52" s="2">
        <v>13200</v>
      </c>
      <c r="P52" t="s">
        <v>102</v>
      </c>
      <c r="Q52" t="str">
        <f>IFERROR(VLOOKUP(LEFT(P52, FIND("__", P52) + 1), [1]Sheet2!I$1:J$71, 2, FALSE), "구독권")</f>
        <v>돌발스테이지</v>
      </c>
      <c r="R52">
        <v>2</v>
      </c>
      <c r="S52" s="4">
        <v>6600</v>
      </c>
    </row>
    <row r="53" spans="1:19" x14ac:dyDescent="0.3">
      <c r="A53" t="s">
        <v>76</v>
      </c>
      <c r="B53" t="str">
        <f>IFERROR(VLOOKUP(LEFT(A53, FIND("__", A53) + 1), [1]Sheet2!I$1:J$71, 2, FALSE), "구독권")</f>
        <v>계정한정소환가속</v>
      </c>
      <c r="C53">
        <v>7</v>
      </c>
      <c r="D53" s="4">
        <v>23100</v>
      </c>
      <c r="F53" t="s">
        <v>26</v>
      </c>
      <c r="G53" t="str">
        <f>IFERROR(VLOOKUP(LEFT(F53, FIND("__", F53) + 1), [1]Sheet2!I$1:J$71, 2, FALSE), "구독권")</f>
        <v>구독권</v>
      </c>
      <c r="H53">
        <v>4</v>
      </c>
      <c r="I53" s="2">
        <v>13200</v>
      </c>
      <c r="K53" t="s">
        <v>52</v>
      </c>
      <c r="L53" t="str">
        <f>IFERROR(VLOOKUP(LEFT(K53, FIND("__", K53) + 1), [1]Sheet2!I$1:J$71, 2, FALSE), "구독권")</f>
        <v>계정한정소환고려</v>
      </c>
      <c r="M53">
        <v>4</v>
      </c>
      <c r="N53" s="2">
        <v>4400</v>
      </c>
      <c r="P53" t="s">
        <v>190</v>
      </c>
      <c r="Q53" t="str">
        <f>IFERROR(VLOOKUP(LEFT(P53, FIND("__", P53) + 1), [1]Sheet2!I$1:J$71, 2, FALSE), "구독권")</f>
        <v>돌발연구</v>
      </c>
      <c r="R53">
        <v>2</v>
      </c>
      <c r="S53" s="4">
        <v>2200</v>
      </c>
    </row>
    <row r="54" spans="1:19" x14ac:dyDescent="0.3">
      <c r="A54" t="s">
        <v>48</v>
      </c>
      <c r="B54" t="str">
        <f>IFERROR(VLOOKUP(LEFT(A54, FIND("__", A54) + 1), [1]Sheet2!I$1:J$71, 2, FALSE), "구독권")</f>
        <v>계정한정소환가속</v>
      </c>
      <c r="C54">
        <v>7</v>
      </c>
      <c r="D54" s="4">
        <v>7700</v>
      </c>
      <c r="F54" t="s">
        <v>19</v>
      </c>
      <c r="G54" t="str">
        <f>IFERROR(VLOOKUP(LEFT(F54, FIND("__", F54) + 1), [1]Sheet2!I$1:J$71, 2, FALSE), "구독권")</f>
        <v>구독권</v>
      </c>
      <c r="H54">
        <v>4</v>
      </c>
      <c r="I54" s="2">
        <v>13200</v>
      </c>
      <c r="K54" t="s">
        <v>53</v>
      </c>
      <c r="L54" t="str">
        <f>IFERROR(VLOOKUP(LEFT(K54, FIND("__", K54) + 1), [1]Sheet2!I$1:J$71, 2, FALSE), "구독권")</f>
        <v>계정한정소환고려</v>
      </c>
      <c r="M54">
        <v>4</v>
      </c>
      <c r="N54" s="2">
        <v>2200</v>
      </c>
      <c r="P54" t="s">
        <v>170</v>
      </c>
      <c r="Q54" t="str">
        <f>IFERROR(VLOOKUP(LEFT(P54, FIND("__", P54) + 1), [1]Sheet2!I$1:J$71, 2, FALSE), "구독권")</f>
        <v>돌발연구</v>
      </c>
      <c r="R54">
        <v>2</v>
      </c>
      <c r="S54" s="4">
        <v>2200</v>
      </c>
    </row>
    <row r="55" spans="1:19" x14ac:dyDescent="0.3">
      <c r="A55" t="s">
        <v>78</v>
      </c>
      <c r="B55" t="str">
        <f>IFERROR(VLOOKUP(LEFT(A55, FIND("__", A55) + 1), [1]Sheet2!I$1:J$71, 2, FALSE), "구독권")</f>
        <v>계정한정소환조선</v>
      </c>
      <c r="C55">
        <v>7</v>
      </c>
      <c r="D55" s="4">
        <v>7700</v>
      </c>
      <c r="F55" t="s">
        <v>143</v>
      </c>
      <c r="G55" t="str">
        <f>IFERROR(VLOOKUP(LEFT(F55, FIND("__", F55) + 1), [1]Sheet2!I$1:J$71, 2, FALSE), "구독권")</f>
        <v>계정한정영웅필드지원</v>
      </c>
      <c r="H55">
        <v>4</v>
      </c>
      <c r="I55" s="2">
        <v>2200</v>
      </c>
      <c r="K55" t="s">
        <v>54</v>
      </c>
      <c r="L55" t="str">
        <f>IFERROR(VLOOKUP(LEFT(K55, FIND("__", K55) + 1), [1]Sheet2!I$1:J$71, 2, FALSE), "구독권")</f>
        <v>계정한정소환무기</v>
      </c>
      <c r="M55">
        <v>4</v>
      </c>
      <c r="N55" s="2">
        <v>13200</v>
      </c>
      <c r="P55" t="s">
        <v>41</v>
      </c>
      <c r="Q55" t="str">
        <f>IFERROR(VLOOKUP(LEFT(P55, FIND("__", P55) + 1), [1]Sheet2!I$1:J$71, 2, FALSE), "구독권")</f>
        <v>돌발연구</v>
      </c>
      <c r="R55">
        <v>2</v>
      </c>
      <c r="S55" s="4">
        <v>2200</v>
      </c>
    </row>
    <row r="56" spans="1:19" x14ac:dyDescent="0.3">
      <c r="A56" t="s">
        <v>52</v>
      </c>
      <c r="B56" t="str">
        <f>IFERROR(VLOOKUP(LEFT(A56, FIND("__", A56) + 1), [1]Sheet2!I$1:J$71, 2, FALSE), "구독권")</f>
        <v>계정한정소환고려</v>
      </c>
      <c r="C56">
        <v>7</v>
      </c>
      <c r="D56" s="4">
        <v>7700</v>
      </c>
      <c r="F56" t="s">
        <v>32</v>
      </c>
      <c r="G56" t="str">
        <f>IFERROR(VLOOKUP(LEFT(F56, FIND("__", F56) + 1), [1]Sheet2!I$1:J$71, 2, FALSE), "구독권")</f>
        <v>계정한정소환무기</v>
      </c>
      <c r="H56">
        <v>4</v>
      </c>
      <c r="I56" s="2">
        <v>4400</v>
      </c>
      <c r="K56" t="s">
        <v>55</v>
      </c>
      <c r="L56" t="str">
        <f>IFERROR(VLOOKUP(LEFT(K56, FIND("__", K56) + 1), [1]Sheet2!I$1:J$71, 2, FALSE), "구독권")</f>
        <v>기한한정일간가속</v>
      </c>
      <c r="M56">
        <v>4</v>
      </c>
      <c r="N56" s="2">
        <v>4400</v>
      </c>
      <c r="P56" t="s">
        <v>59</v>
      </c>
      <c r="Q56" t="str">
        <f>IFERROR(VLOOKUP(LEFT(P56, FIND("__", P56) + 1), [1]Sheet2!I$1:J$71, 2, FALSE), "구독권")</f>
        <v>돌발연구</v>
      </c>
      <c r="R56">
        <v>2</v>
      </c>
      <c r="S56" s="4">
        <v>6600</v>
      </c>
    </row>
    <row r="57" spans="1:19" x14ac:dyDescent="0.3">
      <c r="A57" t="s">
        <v>57</v>
      </c>
      <c r="B57" t="str">
        <f>IFERROR(VLOOKUP(LEFT(A57, FIND("__", A57) + 1), [1]Sheet2!I$1:J$71, 2, FALSE), "구독권")</f>
        <v xml:space="preserve">기한한정일간장비 </v>
      </c>
      <c r="C57">
        <v>7</v>
      </c>
      <c r="D57" s="4">
        <v>770</v>
      </c>
      <c r="F57" t="s">
        <v>145</v>
      </c>
      <c r="G57" t="str">
        <f>IFERROR(VLOOKUP(LEFT(F57, FIND("__", F57) + 1), [1]Sheet2!I$1:J$71, 2, FALSE), "구독권")</f>
        <v xml:space="preserve">주간가속 </v>
      </c>
      <c r="H57">
        <v>4</v>
      </c>
      <c r="I57" s="2">
        <v>4400</v>
      </c>
      <c r="K57" t="s">
        <v>56</v>
      </c>
      <c r="L57" t="str">
        <f>IFERROR(VLOOKUP(LEFT(K57, FIND("__", K57) + 1), [1]Sheet2!I$1:J$71, 2, FALSE), "구독권")</f>
        <v>기한한정일간가속</v>
      </c>
      <c r="M57">
        <v>4</v>
      </c>
      <c r="N57" s="2">
        <v>2200</v>
      </c>
      <c r="P57" t="s">
        <v>42</v>
      </c>
      <c r="Q57" t="str">
        <f>IFERROR(VLOOKUP(LEFT(P57, FIND("__", P57) + 1), [1]Sheet2!I$1:J$71, 2, FALSE), "구독권")</f>
        <v>돌발연구</v>
      </c>
      <c r="R57">
        <v>2</v>
      </c>
      <c r="S57" s="4">
        <v>2200</v>
      </c>
    </row>
    <row r="58" spans="1:19" x14ac:dyDescent="0.3">
      <c r="A58" t="s">
        <v>66</v>
      </c>
      <c r="B58" t="str">
        <f>IFERROR(VLOOKUP(LEFT(A58, FIND("__", A58) + 1), [1]Sheet2!I$1:J$71, 2, FALSE), "구독권")</f>
        <v>레벨패스1</v>
      </c>
      <c r="C58">
        <v>6</v>
      </c>
      <c r="D58" s="4">
        <v>4620</v>
      </c>
      <c r="F58" t="s">
        <v>81</v>
      </c>
      <c r="G58" t="str">
        <f>IFERROR(VLOOKUP(LEFT(F58, FIND("__", F58) + 1), [1]Sheet2!I$1:J$71, 2, FALSE), "구독권")</f>
        <v>돌발무기</v>
      </c>
      <c r="H58">
        <v>3</v>
      </c>
      <c r="I58" s="2">
        <v>3300</v>
      </c>
      <c r="K58" t="s">
        <v>57</v>
      </c>
      <c r="L58" t="str">
        <f>IFERROR(VLOOKUP(LEFT(K58, FIND("__", K58) + 1), [1]Sheet2!I$1:J$71, 2, FALSE), "구독권")</f>
        <v xml:space="preserve">기한한정일간장비 </v>
      </c>
      <c r="M58">
        <v>4</v>
      </c>
      <c r="N58">
        <v>440</v>
      </c>
      <c r="P58" t="s">
        <v>85</v>
      </c>
      <c r="Q58" t="str">
        <f>IFERROR(VLOOKUP(LEFT(P58, FIND("__", P58) + 1), [1]Sheet2!I$1:J$71, 2, FALSE), "구독권")</f>
        <v>돌발고려</v>
      </c>
      <c r="R58">
        <v>2</v>
      </c>
      <c r="S58" s="4">
        <v>6600</v>
      </c>
    </row>
    <row r="59" spans="1:19" x14ac:dyDescent="0.3">
      <c r="A59" t="s">
        <v>144</v>
      </c>
      <c r="B59" t="str">
        <f>IFERROR(VLOOKUP(LEFT(A59, FIND("__", A59) + 1), [1]Sheet2!I$1:J$71, 2, FALSE), "구독권")</f>
        <v>계정한정영웅점령전지원</v>
      </c>
      <c r="C59">
        <v>6</v>
      </c>
      <c r="D59" s="4">
        <v>1980</v>
      </c>
      <c r="F59" t="s">
        <v>59</v>
      </c>
      <c r="G59" t="str">
        <f>IFERROR(VLOOKUP(LEFT(F59, FIND("__", F59) + 1), [1]Sheet2!I$1:J$71, 2, FALSE), "구독권")</f>
        <v>돌발연구</v>
      </c>
      <c r="H59">
        <v>3</v>
      </c>
      <c r="I59" s="2">
        <v>9900</v>
      </c>
      <c r="K59" t="s">
        <v>58</v>
      </c>
      <c r="L59" t="str">
        <f>IFERROR(VLOOKUP(LEFT(K59, FIND("__", K59) + 1), [1]Sheet2!I$1:J$71, 2, FALSE), "구독권")</f>
        <v>돌발스테이지</v>
      </c>
      <c r="M59">
        <v>3</v>
      </c>
      <c r="N59" s="2">
        <v>3300</v>
      </c>
      <c r="P59" t="s">
        <v>172</v>
      </c>
      <c r="Q59" t="str">
        <f>IFERROR(VLOOKUP(LEFT(P59, FIND("__", P59) + 1), [1]Sheet2!I$1:J$71, 2, FALSE), "구독권")</f>
        <v>돌발초월</v>
      </c>
      <c r="R59">
        <v>2</v>
      </c>
      <c r="S59" s="4">
        <v>6600</v>
      </c>
    </row>
    <row r="60" spans="1:19" x14ac:dyDescent="0.3">
      <c r="A60" t="s">
        <v>71</v>
      </c>
      <c r="B60" t="str">
        <f>IFERROR(VLOOKUP(LEFT(A60, FIND("__", A60) + 1), [1]Sheet2!I$1:J$71, 2, FALSE), "구독권")</f>
        <v>계정한정영웅무기지원</v>
      </c>
      <c r="C60">
        <v>6</v>
      </c>
      <c r="D60" s="4">
        <v>1980</v>
      </c>
      <c r="F60" t="s">
        <v>139</v>
      </c>
      <c r="G60" t="str">
        <f>IFERROR(VLOOKUP(LEFT(F60, FIND("__", F60) + 1), [1]Sheet2!I$1:J$71, 2, FALSE), "구독권")</f>
        <v>돌발육성</v>
      </c>
      <c r="H60">
        <v>3</v>
      </c>
      <c r="I60" s="2">
        <v>3300</v>
      </c>
      <c r="K60" t="s">
        <v>59</v>
      </c>
      <c r="L60" t="str">
        <f>IFERROR(VLOOKUP(LEFT(K60, FIND("__", K60) + 1), [1]Sheet2!I$1:J$71, 2, FALSE), "구독권")</f>
        <v>돌발연구</v>
      </c>
      <c r="M60">
        <v>3</v>
      </c>
      <c r="N60" s="2">
        <v>9900</v>
      </c>
      <c r="P60" t="s">
        <v>87</v>
      </c>
      <c r="Q60" t="str">
        <f>IFERROR(VLOOKUP(LEFT(P60, FIND("__", P60) + 1), [1]Sheet2!I$1:J$71, 2, FALSE), "구독권")</f>
        <v>돌발초월</v>
      </c>
      <c r="R60">
        <v>2</v>
      </c>
      <c r="S60" s="4">
        <v>2200</v>
      </c>
    </row>
    <row r="61" spans="1:19" x14ac:dyDescent="0.3">
      <c r="A61" t="s">
        <v>72</v>
      </c>
      <c r="B61" t="str">
        <f>IFERROR(VLOOKUP(LEFT(A61, FIND("__", A61) + 1), [1]Sheet2!I$1:J$71, 2, FALSE), "구독권")</f>
        <v>계정한정영웅룬지원</v>
      </c>
      <c r="C61">
        <v>6</v>
      </c>
      <c r="D61" s="4">
        <v>1980</v>
      </c>
      <c r="F61" t="s">
        <v>148</v>
      </c>
      <c r="G61" t="str">
        <f>IFERROR(VLOOKUP(LEFT(F61, FIND("__", F61) + 1), [1]Sheet2!I$1:J$71, 2, FALSE), "구독권")</f>
        <v>돌발갑옷</v>
      </c>
      <c r="H61">
        <v>3</v>
      </c>
      <c r="I61" s="2">
        <v>1650</v>
      </c>
      <c r="K61" t="s">
        <v>60</v>
      </c>
      <c r="L61" t="str">
        <f>IFERROR(VLOOKUP(LEFT(K61, FIND("__", K61) + 1), [1]Sheet2!I$1:J$71, 2, FALSE), "구독권")</f>
        <v>돌발육성</v>
      </c>
      <c r="M61">
        <v>3</v>
      </c>
      <c r="N61" s="2">
        <v>3300</v>
      </c>
      <c r="P61" t="s">
        <v>92</v>
      </c>
      <c r="Q61" t="str">
        <f>IFERROR(VLOOKUP(LEFT(P61, FIND("__", P61) + 1), [1]Sheet2!I$1:J$71, 2, FALSE), "구독권")</f>
        <v>육성패스1</v>
      </c>
      <c r="R61">
        <v>2</v>
      </c>
      <c r="S61" s="4">
        <v>1540</v>
      </c>
    </row>
    <row r="62" spans="1:19" x14ac:dyDescent="0.3">
      <c r="A62" t="s">
        <v>73</v>
      </c>
      <c r="B62" t="str">
        <f>IFERROR(VLOOKUP(LEFT(A62, FIND("__", A62) + 1), [1]Sheet2!I$1:J$71, 2, FALSE), "구독권")</f>
        <v>계정한정영웅어빌지원</v>
      </c>
      <c r="C62">
        <v>6</v>
      </c>
      <c r="D62" s="4">
        <v>1980</v>
      </c>
      <c r="F62" t="s">
        <v>38</v>
      </c>
      <c r="G62" t="str">
        <f>IFERROR(VLOOKUP(LEFT(F62, FIND("__", F62) + 1), [1]Sheet2!I$1:J$71, 2, FALSE), "구독권")</f>
        <v>사냥패스1</v>
      </c>
      <c r="H62">
        <v>3</v>
      </c>
      <c r="I62" s="2">
        <v>3300</v>
      </c>
      <c r="K62" t="s">
        <v>61</v>
      </c>
      <c r="L62" t="str">
        <f>IFERROR(VLOOKUP(LEFT(K62, FIND("__", K62) + 1), [1]Sheet2!I$1:J$71, 2, FALSE), "구독권")</f>
        <v>돌발육성</v>
      </c>
      <c r="M62">
        <v>3</v>
      </c>
      <c r="N62" s="2">
        <v>1650</v>
      </c>
      <c r="P62" t="s">
        <v>47</v>
      </c>
      <c r="Q62" t="str">
        <f>IFERROR(VLOOKUP(LEFT(P62, FIND("__", P62) + 1), [1]Sheet2!I$1:J$71, 2, FALSE), "구독권")</f>
        <v>사냥패스1</v>
      </c>
      <c r="R62">
        <v>2</v>
      </c>
      <c r="S62" s="4">
        <v>1540</v>
      </c>
    </row>
    <row r="63" spans="1:19" x14ac:dyDescent="0.3">
      <c r="A63" t="s">
        <v>145</v>
      </c>
      <c r="B63" t="str">
        <f>IFERROR(VLOOKUP(LEFT(A63, FIND("__", A63) + 1), [1]Sheet2!I$1:J$71, 2, FALSE), "구독권")</f>
        <v xml:space="preserve">주간가속 </v>
      </c>
      <c r="C63">
        <v>6</v>
      </c>
      <c r="D63" s="4">
        <v>6600</v>
      </c>
      <c r="F63" t="s">
        <v>47</v>
      </c>
      <c r="G63" t="str">
        <f>IFERROR(VLOOKUP(LEFT(F63, FIND("__", F63) + 1), [1]Sheet2!I$1:J$71, 2, FALSE), "구독권")</f>
        <v>사냥패스1</v>
      </c>
      <c r="H63">
        <v>3</v>
      </c>
      <c r="I63" s="2">
        <v>2310</v>
      </c>
      <c r="K63" t="s">
        <v>62</v>
      </c>
      <c r="L63" t="str">
        <f>IFERROR(VLOOKUP(LEFT(K63, FIND("__", K63) + 1), [1]Sheet2!I$1:J$71, 2, FALSE), "구독권")</f>
        <v>돌발가속권</v>
      </c>
      <c r="M63">
        <v>3</v>
      </c>
      <c r="N63">
        <v>990</v>
      </c>
      <c r="P63" t="s">
        <v>68</v>
      </c>
      <c r="Q63" t="str">
        <f>IFERROR(VLOOKUP(LEFT(P63, FIND("__", P63) + 1), [1]Sheet2!I$1:J$71, 2, FALSE), "구독권")</f>
        <v>구독권</v>
      </c>
      <c r="R63">
        <v>2</v>
      </c>
      <c r="S63" s="4">
        <v>2200</v>
      </c>
    </row>
    <row r="64" spans="1:19" x14ac:dyDescent="0.3">
      <c r="A64" t="s">
        <v>58</v>
      </c>
      <c r="B64" t="str">
        <f>IFERROR(VLOOKUP(LEFT(A64, FIND("__", A64) + 1), [1]Sheet2!I$1:J$71, 2, FALSE), "구독권")</f>
        <v>돌발스테이지</v>
      </c>
      <c r="C64">
        <v>5</v>
      </c>
      <c r="D64" s="4">
        <v>5500</v>
      </c>
      <c r="F64" t="s">
        <v>142</v>
      </c>
      <c r="G64" t="str">
        <f>IFERROR(VLOOKUP(LEFT(F64, FIND("__", F64) + 1), [1]Sheet2!I$1:J$71, 2, FALSE), "구독권")</f>
        <v>구독권</v>
      </c>
      <c r="H64">
        <v>3</v>
      </c>
      <c r="I64" s="2">
        <v>16500</v>
      </c>
      <c r="K64" t="s">
        <v>63</v>
      </c>
      <c r="L64" t="str">
        <f>IFERROR(VLOOKUP(LEFT(K64, FIND("__", K64) + 1), [1]Sheet2!I$1:J$71, 2, FALSE), "구독권")</f>
        <v>돌발갑옷</v>
      </c>
      <c r="M64">
        <v>3</v>
      </c>
      <c r="N64">
        <v>990</v>
      </c>
      <c r="P64" t="s">
        <v>27</v>
      </c>
      <c r="Q64" t="str">
        <f>IFERROR(VLOOKUP(LEFT(P64, FIND("__", P64) + 1), [1]Sheet2!I$1:J$71, 2, FALSE), "구독권")</f>
        <v>구독권</v>
      </c>
      <c r="R64">
        <v>2</v>
      </c>
      <c r="S64" s="4">
        <v>2200</v>
      </c>
    </row>
    <row r="65" spans="1:19" x14ac:dyDescent="0.3">
      <c r="A65" t="s">
        <v>60</v>
      </c>
      <c r="B65" t="str">
        <f>IFERROR(VLOOKUP(LEFT(A65, FIND("__", A65) + 1), [1]Sheet2!I$1:J$71, 2, FALSE), "구독권")</f>
        <v>돌발육성</v>
      </c>
      <c r="C65">
        <v>5</v>
      </c>
      <c r="D65" s="4">
        <v>5500</v>
      </c>
      <c r="F65" t="s">
        <v>159</v>
      </c>
      <c r="G65" t="str">
        <f>IFERROR(VLOOKUP(LEFT(F65, FIND("__", F65) + 1), [1]Sheet2!I$1:J$71, 2, FALSE), "구독권")</f>
        <v>구독권</v>
      </c>
      <c r="H65">
        <v>3</v>
      </c>
      <c r="I65" s="2">
        <v>9900</v>
      </c>
      <c r="K65" t="s">
        <v>64</v>
      </c>
      <c r="L65" t="str">
        <f>IFERROR(VLOOKUP(LEFT(K65, FIND("__", K65) + 1), [1]Sheet2!I$1:J$71, 2, FALSE), "구독권")</f>
        <v>육성패스1</v>
      </c>
      <c r="M65">
        <v>3</v>
      </c>
      <c r="N65" s="2">
        <v>6600</v>
      </c>
      <c r="P65" t="s">
        <v>146</v>
      </c>
      <c r="Q65" t="str">
        <f>IFERROR(VLOOKUP(LEFT(P65, FIND("__", P65) + 1), [1]Sheet2!I$1:J$71, 2, FALSE), "구독권")</f>
        <v>계정한정영웅무릉전</v>
      </c>
      <c r="R65">
        <v>2</v>
      </c>
      <c r="S65" s="4">
        <v>660</v>
      </c>
    </row>
    <row r="66" spans="1:19" x14ac:dyDescent="0.3">
      <c r="A66" t="s">
        <v>92</v>
      </c>
      <c r="B66" t="str">
        <f>IFERROR(VLOOKUP(LEFT(A66, FIND("__", A66) + 1), [1]Sheet2!I$1:J$71, 2, FALSE), "구독권")</f>
        <v>육성패스1</v>
      </c>
      <c r="C66">
        <v>5</v>
      </c>
      <c r="D66" s="4">
        <v>3850</v>
      </c>
      <c r="F66" t="s">
        <v>149</v>
      </c>
      <c r="G66" t="str">
        <f>IFERROR(VLOOKUP(LEFT(F66, FIND("__", F66) + 1), [1]Sheet2!I$1:J$71, 2, FALSE), "구독권")</f>
        <v>계정한정영웅필드지원</v>
      </c>
      <c r="H66">
        <v>3</v>
      </c>
      <c r="I66" s="2">
        <v>3300</v>
      </c>
      <c r="K66" t="s">
        <v>65</v>
      </c>
      <c r="L66" t="str">
        <f>IFERROR(VLOOKUP(LEFT(K66, FIND("__", K66) + 1), [1]Sheet2!I$1:J$71, 2, FALSE), "구독권")</f>
        <v>스테이지패스1</v>
      </c>
      <c r="M66">
        <v>3</v>
      </c>
      <c r="N66" s="2">
        <v>2310</v>
      </c>
      <c r="P66" t="s">
        <v>144</v>
      </c>
      <c r="Q66" t="str">
        <f>IFERROR(VLOOKUP(LEFT(P66, FIND("__", P66) + 1), [1]Sheet2!I$1:J$71, 2, FALSE), "구독권")</f>
        <v>계정한정영웅점령전지원</v>
      </c>
      <c r="R66">
        <v>2</v>
      </c>
      <c r="S66" s="4">
        <v>660</v>
      </c>
    </row>
    <row r="67" spans="1:19" x14ac:dyDescent="0.3">
      <c r="A67" t="s">
        <v>38</v>
      </c>
      <c r="B67" t="str">
        <f>IFERROR(VLOOKUP(LEFT(A67, FIND("__", A67) + 1), [1]Sheet2!I$1:J$71, 2, FALSE), "구독권")</f>
        <v>사냥패스1</v>
      </c>
      <c r="C67">
        <v>5</v>
      </c>
      <c r="D67" s="4">
        <v>5500</v>
      </c>
      <c r="F67" t="s">
        <v>71</v>
      </c>
      <c r="G67" t="str">
        <f>IFERROR(VLOOKUP(LEFT(F67, FIND("__", F67) + 1), [1]Sheet2!I$1:J$71, 2, FALSE), "구독권")</f>
        <v>계정한정영웅무기지원</v>
      </c>
      <c r="H67">
        <v>3</v>
      </c>
      <c r="I67">
        <v>990</v>
      </c>
      <c r="K67" t="s">
        <v>66</v>
      </c>
      <c r="L67" t="str">
        <f>IFERROR(VLOOKUP(LEFT(K67, FIND("__", K67) + 1), [1]Sheet2!I$1:J$71, 2, FALSE), "구독권")</f>
        <v>레벨패스1</v>
      </c>
      <c r="M67">
        <v>3</v>
      </c>
      <c r="N67" s="2">
        <v>2310</v>
      </c>
      <c r="P67" t="s">
        <v>74</v>
      </c>
      <c r="Q67" t="str">
        <f>IFERROR(VLOOKUP(LEFT(P67, FIND("__", P67) + 1), [1]Sheet2!I$1:J$71, 2, FALSE), "구독권")</f>
        <v>계정한정영웅초월지원</v>
      </c>
      <c r="R67">
        <v>2</v>
      </c>
      <c r="S67" s="4">
        <v>660</v>
      </c>
    </row>
    <row r="68" spans="1:19" x14ac:dyDescent="0.3">
      <c r="A68" t="s">
        <v>69</v>
      </c>
      <c r="B68" t="str">
        <f>IFERROR(VLOOKUP(LEFT(A68, FIND("__", A68) + 1), [1]Sheet2!I$1:J$71, 2, FALSE), "구독권")</f>
        <v>계정한정영웅퇴마전</v>
      </c>
      <c r="C68">
        <v>5</v>
      </c>
      <c r="D68" s="4">
        <v>1650</v>
      </c>
      <c r="F68" t="s">
        <v>28</v>
      </c>
      <c r="G68" t="str">
        <f>IFERROR(VLOOKUP(LEFT(F68, FIND("__", F68) + 1), [1]Sheet2!I$1:J$71, 2, FALSE), "구독권")</f>
        <v>계정한정영웅육성지원</v>
      </c>
      <c r="H68">
        <v>3</v>
      </c>
      <c r="I68">
        <v>990</v>
      </c>
      <c r="K68" t="s">
        <v>67</v>
      </c>
      <c r="L68" t="str">
        <f>IFERROR(VLOOKUP(LEFT(K68, FIND("__", K68) + 1), [1]Sheet2!I$1:J$71, 2, FALSE), "구독권")</f>
        <v>사냥패스1</v>
      </c>
      <c r="M68">
        <v>3</v>
      </c>
      <c r="N68" s="2">
        <v>6600</v>
      </c>
      <c r="P68" t="s">
        <v>191</v>
      </c>
      <c r="Q68" t="str">
        <f>IFERROR(VLOOKUP(LEFT(P68, FIND("__", P68) + 1), [1]Sheet2!I$1:J$71, 2, FALSE), "구독권")</f>
        <v>계정한정영웅육성지원</v>
      </c>
      <c r="R68">
        <v>2</v>
      </c>
      <c r="S68" s="4">
        <v>2200</v>
      </c>
    </row>
    <row r="69" spans="1:19" x14ac:dyDescent="0.3">
      <c r="A69" t="s">
        <v>146</v>
      </c>
      <c r="B69" t="str">
        <f>IFERROR(VLOOKUP(LEFT(A69, FIND("__", A69) + 1), [1]Sheet2!I$1:J$71, 2, FALSE), "구독권")</f>
        <v>계정한정영웅무릉전</v>
      </c>
      <c r="C69">
        <v>5</v>
      </c>
      <c r="D69" s="4">
        <v>1650</v>
      </c>
      <c r="F69" t="s">
        <v>160</v>
      </c>
      <c r="G69" t="str">
        <f>IFERROR(VLOOKUP(LEFT(F69, FIND("__", F69) + 1), [1]Sheet2!I$1:J$71, 2, FALSE), "구독권")</f>
        <v>계정한정소환가속</v>
      </c>
      <c r="H69">
        <v>3</v>
      </c>
      <c r="I69" s="2">
        <v>16500</v>
      </c>
      <c r="K69" t="s">
        <v>68</v>
      </c>
      <c r="L69" t="str">
        <f>IFERROR(VLOOKUP(LEFT(K69, FIND("__", K69) + 1), [1]Sheet2!I$1:J$71, 2, FALSE), "구독권")</f>
        <v>구독권</v>
      </c>
      <c r="M69">
        <v>3</v>
      </c>
      <c r="N69" s="2">
        <v>3300</v>
      </c>
      <c r="P69" t="s">
        <v>154</v>
      </c>
      <c r="Q69" t="str">
        <f>IFERROR(VLOOKUP(LEFT(P69, FIND("__", P69) + 1), [1]Sheet2!I$1:J$71, 2, FALSE), "구독권")</f>
        <v>계정한정영웅육성지원</v>
      </c>
      <c r="R69">
        <v>2</v>
      </c>
      <c r="S69" s="4">
        <v>1100</v>
      </c>
    </row>
    <row r="70" spans="1:19" x14ac:dyDescent="0.3">
      <c r="A70" t="s">
        <v>70</v>
      </c>
      <c r="B70" t="str">
        <f>IFERROR(VLOOKUP(LEFT(A70, FIND("__", A70) + 1), [1]Sheet2!I$1:J$71, 2, FALSE), "구독권")</f>
        <v>계정한정영웅갑옷지원</v>
      </c>
      <c r="C70">
        <v>5</v>
      </c>
      <c r="D70" s="4">
        <v>1650</v>
      </c>
      <c r="F70" t="s">
        <v>76</v>
      </c>
      <c r="G70" t="str">
        <f>IFERROR(VLOOKUP(LEFT(F70, FIND("__", F70) + 1), [1]Sheet2!I$1:J$71, 2, FALSE), "구독권")</f>
        <v>계정한정소환가속</v>
      </c>
      <c r="H70">
        <v>3</v>
      </c>
      <c r="I70" s="2">
        <v>9900</v>
      </c>
      <c r="K70" t="s">
        <v>69</v>
      </c>
      <c r="L70" t="str">
        <f>IFERROR(VLOOKUP(LEFT(K70, FIND("__", K70) + 1), [1]Sheet2!I$1:J$71, 2, FALSE), "구독권")</f>
        <v>계정한정영웅퇴마전</v>
      </c>
      <c r="M70">
        <v>3</v>
      </c>
      <c r="N70">
        <v>990</v>
      </c>
      <c r="P70" t="s">
        <v>160</v>
      </c>
      <c r="Q70" t="str">
        <f>IFERROR(VLOOKUP(LEFT(P70, FIND("__", P70) + 1), [1]Sheet2!I$1:J$71, 2, FALSE), "구독권")</f>
        <v>계정한정소환가속</v>
      </c>
      <c r="R70">
        <v>2</v>
      </c>
      <c r="S70" s="4">
        <v>11000</v>
      </c>
    </row>
    <row r="71" spans="1:19" x14ac:dyDescent="0.3">
      <c r="A71" t="s">
        <v>79</v>
      </c>
      <c r="B71" t="str">
        <f>IFERROR(VLOOKUP(LEFT(A71, FIND("__", A71) + 1), [1]Sheet2!I$1:J$71, 2, FALSE), "구독권")</f>
        <v>계정한정소환갑옷</v>
      </c>
      <c r="C71">
        <v>5</v>
      </c>
      <c r="D71" s="4">
        <v>2750</v>
      </c>
      <c r="F71" t="s">
        <v>78</v>
      </c>
      <c r="G71" t="str">
        <f>IFERROR(VLOOKUP(LEFT(F71, FIND("__", F71) + 1), [1]Sheet2!I$1:J$71, 2, FALSE), "구독권")</f>
        <v>계정한정소환조선</v>
      </c>
      <c r="H71">
        <v>3</v>
      </c>
      <c r="I71" s="2">
        <v>3300</v>
      </c>
      <c r="K71" t="s">
        <v>70</v>
      </c>
      <c r="L71" t="str">
        <f>IFERROR(VLOOKUP(LEFT(K71, FIND("__", K71) + 1), [1]Sheet2!I$1:J$71, 2, FALSE), "구독권")</f>
        <v>계정한정영웅갑옷지원</v>
      </c>
      <c r="M71">
        <v>3</v>
      </c>
      <c r="N71">
        <v>990</v>
      </c>
      <c r="P71" t="s">
        <v>76</v>
      </c>
      <c r="Q71" t="str">
        <f>IFERROR(VLOOKUP(LEFT(P71, FIND("__", P71) + 1), [1]Sheet2!I$1:J$71, 2, FALSE), "구독권")</f>
        <v>계정한정소환가속</v>
      </c>
      <c r="R71">
        <v>2</v>
      </c>
      <c r="S71" s="4">
        <v>6600</v>
      </c>
    </row>
    <row r="72" spans="1:19" x14ac:dyDescent="0.3">
      <c r="A72" t="s">
        <v>32</v>
      </c>
      <c r="B72" t="str">
        <f>IFERROR(VLOOKUP(LEFT(A72, FIND("__", A72) + 1), [1]Sheet2!I$1:J$71, 2, FALSE), "구독권")</f>
        <v>계정한정소환무기</v>
      </c>
      <c r="C72">
        <v>5</v>
      </c>
      <c r="D72" s="4">
        <v>5500</v>
      </c>
      <c r="F72" t="s">
        <v>54</v>
      </c>
      <c r="G72" t="str">
        <f>IFERROR(VLOOKUP(LEFT(F72, FIND("__", F72) + 1), [1]Sheet2!I$1:J$71, 2, FALSE), "구독권")</f>
        <v>계정한정소환무기</v>
      </c>
      <c r="H72">
        <v>3</v>
      </c>
      <c r="I72" s="2">
        <v>9900</v>
      </c>
      <c r="K72" t="s">
        <v>71</v>
      </c>
      <c r="L72" t="str">
        <f>IFERROR(VLOOKUP(LEFT(K72, FIND("__", K72) + 1), [1]Sheet2!I$1:J$71, 2, FALSE), "구독권")</f>
        <v>계정한정영웅무기지원</v>
      </c>
      <c r="M72">
        <v>3</v>
      </c>
      <c r="N72">
        <v>990</v>
      </c>
      <c r="P72" t="s">
        <v>50</v>
      </c>
      <c r="Q72" t="str">
        <f>IFERROR(VLOOKUP(LEFT(P72, FIND("__", P72) + 1), [1]Sheet2!I$1:J$71, 2, FALSE), "구독권")</f>
        <v>계정한정소환조선</v>
      </c>
      <c r="R72">
        <v>2</v>
      </c>
      <c r="S72" s="4">
        <v>1100</v>
      </c>
    </row>
    <row r="73" spans="1:19" x14ac:dyDescent="0.3">
      <c r="A73" t="s">
        <v>81</v>
      </c>
      <c r="B73" t="str">
        <f>IFERROR(VLOOKUP(LEFT(A73, FIND("__", A73) + 1), [1]Sheet2!I$1:J$71, 2, FALSE), "구독권")</f>
        <v>돌발무기</v>
      </c>
      <c r="C73">
        <v>4</v>
      </c>
      <c r="D73" s="4">
        <v>4400</v>
      </c>
      <c r="F73" t="s">
        <v>161</v>
      </c>
      <c r="G73" t="str">
        <f>IFERROR(VLOOKUP(LEFT(F73, FIND("__", F73) + 1), [1]Sheet2!I$1:J$71, 2, FALSE), "구독권")</f>
        <v xml:space="preserve">주간가속 </v>
      </c>
      <c r="H73">
        <v>3</v>
      </c>
      <c r="I73" s="2">
        <v>16500</v>
      </c>
      <c r="K73" t="s">
        <v>72</v>
      </c>
      <c r="L73" t="str">
        <f>IFERROR(VLOOKUP(LEFT(K73, FIND("__", K73) + 1), [1]Sheet2!I$1:J$71, 2, FALSE), "구독권")</f>
        <v>계정한정영웅룬지원</v>
      </c>
      <c r="M73">
        <v>3</v>
      </c>
      <c r="N73">
        <v>990</v>
      </c>
      <c r="P73" t="s">
        <v>192</v>
      </c>
      <c r="Q73" t="str">
        <f>IFERROR(VLOOKUP(LEFT(P73, FIND("__", P73) + 1), [1]Sheet2!I$1:J$71, 2, FALSE), "구독권")</f>
        <v>계정한정소환고려</v>
      </c>
      <c r="R73">
        <v>2</v>
      </c>
      <c r="S73" s="4">
        <v>11000</v>
      </c>
    </row>
    <row r="74" spans="1:19" x14ac:dyDescent="0.3">
      <c r="A74" t="s">
        <v>103</v>
      </c>
      <c r="B74" t="str">
        <f>IFERROR(VLOOKUP(LEFT(A74, FIND("__", A74) + 1), [1]Sheet2!I$1:J$71, 2, FALSE), "구독권")</f>
        <v>돌발연구</v>
      </c>
      <c r="C74">
        <v>4</v>
      </c>
      <c r="D74" s="4">
        <v>22000</v>
      </c>
      <c r="F74" t="s">
        <v>162</v>
      </c>
      <c r="G74" t="str">
        <f>IFERROR(VLOOKUP(LEFT(F74, FIND("__", F74) + 1), [1]Sheet2!I$1:J$71, 2, FALSE), "구독권")</f>
        <v xml:space="preserve">주간가속 </v>
      </c>
      <c r="H74">
        <v>3</v>
      </c>
      <c r="I74" s="2">
        <v>9900</v>
      </c>
      <c r="K74" t="s">
        <v>73</v>
      </c>
      <c r="L74" t="str">
        <f>IFERROR(VLOOKUP(LEFT(K74, FIND("__", K74) + 1), [1]Sheet2!I$1:J$71, 2, FALSE), "구독권")</f>
        <v>계정한정영웅어빌지원</v>
      </c>
      <c r="M74">
        <v>3</v>
      </c>
      <c r="N74">
        <v>990</v>
      </c>
      <c r="P74" t="s">
        <v>52</v>
      </c>
      <c r="Q74" t="str">
        <f>IFERROR(VLOOKUP(LEFT(P74, FIND("__", P74) + 1), [1]Sheet2!I$1:J$71, 2, FALSE), "구독권")</f>
        <v>계정한정소환고려</v>
      </c>
      <c r="R74">
        <v>2</v>
      </c>
      <c r="S74" s="4">
        <v>2200</v>
      </c>
    </row>
    <row r="75" spans="1:19" x14ac:dyDescent="0.3">
      <c r="A75" t="s">
        <v>43</v>
      </c>
      <c r="B75" t="str">
        <f>IFERROR(VLOOKUP(LEFT(A75, FIND("__", A75) + 1), [1]Sheet2!I$1:J$71, 2, FALSE), "구독권")</f>
        <v>돌발조선</v>
      </c>
      <c r="C75">
        <v>4</v>
      </c>
      <c r="D75" s="4">
        <v>13200</v>
      </c>
      <c r="F75" t="s">
        <v>101</v>
      </c>
      <c r="G75" t="str">
        <f>IFERROR(VLOOKUP(LEFT(F75, FIND("__", F75) + 1), [1]Sheet2!I$1:J$71, 2, FALSE), "구독권")</f>
        <v>돌발스테이지</v>
      </c>
      <c r="H75">
        <v>2</v>
      </c>
      <c r="I75" s="2">
        <v>11000</v>
      </c>
      <c r="K75" t="s">
        <v>74</v>
      </c>
      <c r="L75" t="str">
        <f>IFERROR(VLOOKUP(LEFT(K75, FIND("__", K75) + 1), [1]Sheet2!I$1:J$71, 2, FALSE), "구독권")</f>
        <v>계정한정영웅초월지원</v>
      </c>
      <c r="M75">
        <v>3</v>
      </c>
      <c r="N75">
        <v>990</v>
      </c>
      <c r="P75" t="s">
        <v>79</v>
      </c>
      <c r="Q75" t="str">
        <f>IFERROR(VLOOKUP(LEFT(P75, FIND("__", P75) + 1), [1]Sheet2!I$1:J$71, 2, FALSE), "구독권")</f>
        <v>계정한정소환갑옷</v>
      </c>
      <c r="R75">
        <v>2</v>
      </c>
      <c r="S75" s="4">
        <v>1100</v>
      </c>
    </row>
    <row r="76" spans="1:19" x14ac:dyDescent="0.3">
      <c r="A76" t="s">
        <v>36</v>
      </c>
      <c r="B76" t="str">
        <f>IFERROR(VLOOKUP(LEFT(A76, FIND("__", A76) + 1), [1]Sheet2!I$1:J$71, 2, FALSE), "구독권")</f>
        <v>돌발고려</v>
      </c>
      <c r="C76">
        <v>4</v>
      </c>
      <c r="D76" s="4">
        <v>4400</v>
      </c>
      <c r="F76" t="s">
        <v>40</v>
      </c>
      <c r="G76" t="str">
        <f>IFERROR(VLOOKUP(LEFT(F76, FIND("__", F76) + 1), [1]Sheet2!I$1:J$71, 2, FALSE), "구독권")</f>
        <v>돌발스테이지</v>
      </c>
      <c r="H76">
        <v>2</v>
      </c>
      <c r="I76" s="2">
        <v>6600</v>
      </c>
      <c r="K76" t="s">
        <v>75</v>
      </c>
      <c r="L76" t="str">
        <f>IFERROR(VLOOKUP(LEFT(K76, FIND("__", K76) + 1), [1]Sheet2!I$1:J$71, 2, FALSE), "구독권")</f>
        <v>계정한정영웅연구지원</v>
      </c>
      <c r="M76">
        <v>3</v>
      </c>
      <c r="N76">
        <v>990</v>
      </c>
      <c r="P76" t="s">
        <v>32</v>
      </c>
      <c r="Q76" t="str">
        <f>IFERROR(VLOOKUP(LEFT(P76, FIND("__", P76) + 1), [1]Sheet2!I$1:J$71, 2, FALSE), "구독권")</f>
        <v>계정한정소환무기</v>
      </c>
      <c r="R76">
        <v>2</v>
      </c>
      <c r="S76" s="4">
        <v>2200</v>
      </c>
    </row>
    <row r="77" spans="1:19" x14ac:dyDescent="0.3">
      <c r="A77" t="s">
        <v>89</v>
      </c>
      <c r="B77" t="str">
        <f>IFERROR(VLOOKUP(LEFT(A77, FIND("__", A77) + 1), [1]Sheet2!I$1:J$71, 2, FALSE), "구독권")</f>
        <v>돌발육성</v>
      </c>
      <c r="C77">
        <v>4</v>
      </c>
      <c r="D77" s="4">
        <v>4400</v>
      </c>
      <c r="F77" t="s">
        <v>163</v>
      </c>
      <c r="G77" t="str">
        <f>IFERROR(VLOOKUP(LEFT(F77, FIND("__", F77) + 1), [1]Sheet2!I$1:J$71, 2, FALSE), "구독권")</f>
        <v>돌발스테이지</v>
      </c>
      <c r="H77">
        <v>2</v>
      </c>
      <c r="I77" s="2">
        <v>11000</v>
      </c>
      <c r="K77" t="s">
        <v>76</v>
      </c>
      <c r="L77" t="str">
        <f>IFERROR(VLOOKUP(LEFT(K77, FIND("__", K77) + 1), [1]Sheet2!I$1:J$71, 2, FALSE), "구독권")</f>
        <v>계정한정소환가속</v>
      </c>
      <c r="M77">
        <v>3</v>
      </c>
      <c r="N77" s="2">
        <v>9900</v>
      </c>
      <c r="P77" t="s">
        <v>56</v>
      </c>
      <c r="Q77" t="str">
        <f>IFERROR(VLOOKUP(LEFT(P77, FIND("__", P77) + 1), [1]Sheet2!I$1:J$71, 2, FALSE), "구독권")</f>
        <v>기한한정일간가속</v>
      </c>
      <c r="R77">
        <v>2</v>
      </c>
      <c r="S77" s="4">
        <v>1100</v>
      </c>
    </row>
    <row r="78" spans="1:19" x14ac:dyDescent="0.3">
      <c r="A78" t="s">
        <v>147</v>
      </c>
      <c r="B78" t="str">
        <f>IFERROR(VLOOKUP(LEFT(A78, FIND("__", A78) + 1), [1]Sheet2!I$1:J$71, 2, FALSE), "구독권")</f>
        <v>돌발육성</v>
      </c>
      <c r="C78">
        <v>4</v>
      </c>
      <c r="D78" s="4">
        <v>2200</v>
      </c>
      <c r="F78" t="s">
        <v>41</v>
      </c>
      <c r="G78" t="str">
        <f>IFERROR(VLOOKUP(LEFT(F78, FIND("__", F78) + 1), [1]Sheet2!I$1:J$71, 2, FALSE), "구독권")</f>
        <v>돌발연구</v>
      </c>
      <c r="H78">
        <v>2</v>
      </c>
      <c r="I78" s="2">
        <v>2200</v>
      </c>
      <c r="K78" t="s">
        <v>77</v>
      </c>
      <c r="L78" t="str">
        <f>IFERROR(VLOOKUP(LEFT(K78, FIND("__", K78) + 1), [1]Sheet2!I$1:J$71, 2, FALSE), "구독권")</f>
        <v>계정한정소환조선</v>
      </c>
      <c r="M78">
        <v>3</v>
      </c>
      <c r="N78" s="2">
        <v>9900</v>
      </c>
      <c r="P78" t="s">
        <v>193</v>
      </c>
      <c r="Q78" t="str">
        <f>IFERROR(VLOOKUP(LEFT(P78, FIND("__", P78) + 1), [1]Sheet2!I$1:J$71, 2, FALSE), "구독권")</f>
        <v xml:space="preserve">기한한정일간영웅 </v>
      </c>
      <c r="R78">
        <v>2</v>
      </c>
      <c r="S78" s="4">
        <v>1100</v>
      </c>
    </row>
    <row r="79" spans="1:19" x14ac:dyDescent="0.3">
      <c r="A79" t="s">
        <v>148</v>
      </c>
      <c r="B79" t="str">
        <f>IFERROR(VLOOKUP(LEFT(A79, FIND("__", A79) + 1), [1]Sheet2!I$1:J$71, 2, FALSE), "구독권")</f>
        <v>돌발갑옷</v>
      </c>
      <c r="C79">
        <v>4</v>
      </c>
      <c r="D79" s="4">
        <v>2200</v>
      </c>
      <c r="F79" t="s">
        <v>42</v>
      </c>
      <c r="G79" t="str">
        <f>IFERROR(VLOOKUP(LEFT(F79, FIND("__", F79) + 1), [1]Sheet2!I$1:J$71, 2, FALSE), "구독권")</f>
        <v>돌발연구</v>
      </c>
      <c r="H79">
        <v>2</v>
      </c>
      <c r="I79" s="2">
        <v>2200</v>
      </c>
      <c r="K79" t="s">
        <v>78</v>
      </c>
      <c r="L79" t="str">
        <f>IFERROR(VLOOKUP(LEFT(K79, FIND("__", K79) + 1), [1]Sheet2!I$1:J$71, 2, FALSE), "구독권")</f>
        <v>계정한정소환조선</v>
      </c>
      <c r="M79">
        <v>3</v>
      </c>
      <c r="N79" s="2">
        <v>3300</v>
      </c>
      <c r="P79" t="s">
        <v>194</v>
      </c>
      <c r="Q79" t="str">
        <f>IFERROR(VLOOKUP(LEFT(P79, FIND("__", P79) + 1), [1]Sheet2!I$1:J$71, 2, FALSE), "구독권")</f>
        <v xml:space="preserve">기한한정일간장비 </v>
      </c>
      <c r="R79">
        <v>2</v>
      </c>
      <c r="S79" s="4">
        <v>2200</v>
      </c>
    </row>
    <row r="80" spans="1:19" x14ac:dyDescent="0.3">
      <c r="A80" t="s">
        <v>65</v>
      </c>
      <c r="B80" t="str">
        <f>IFERROR(VLOOKUP(LEFT(A80, FIND("__", A80) + 1), [1]Sheet2!I$1:J$71, 2, FALSE), "구독권")</f>
        <v>스테이지패스1</v>
      </c>
      <c r="C80">
        <v>4</v>
      </c>
      <c r="D80" s="4">
        <v>3080</v>
      </c>
      <c r="F80" t="s">
        <v>85</v>
      </c>
      <c r="G80" t="str">
        <f>IFERROR(VLOOKUP(LEFT(F80, FIND("__", F80) + 1), [1]Sheet2!I$1:J$71, 2, FALSE), "구독권")</f>
        <v>돌발고려</v>
      </c>
      <c r="H80">
        <v>2</v>
      </c>
      <c r="I80" s="2">
        <v>6600</v>
      </c>
      <c r="K80" t="s">
        <v>79</v>
      </c>
      <c r="L80" t="str">
        <f>IFERROR(VLOOKUP(LEFT(K80, FIND("__", K80) + 1), [1]Sheet2!I$1:J$71, 2, FALSE), "구독권")</f>
        <v>계정한정소환갑옷</v>
      </c>
      <c r="M80">
        <v>3</v>
      </c>
      <c r="N80" s="2">
        <v>1650</v>
      </c>
      <c r="P80" t="s">
        <v>195</v>
      </c>
      <c r="Q80" t="str">
        <f>IFERROR(VLOOKUP(LEFT(P80, FIND("__", P80) + 1), [1]Sheet2!I$1:J$71, 2, FALSE), "구독권")</f>
        <v>돌발연구</v>
      </c>
      <c r="R80">
        <v>1</v>
      </c>
      <c r="S80" s="4">
        <v>5500</v>
      </c>
    </row>
    <row r="81" spans="1:19" x14ac:dyDescent="0.3">
      <c r="A81" t="s">
        <v>149</v>
      </c>
      <c r="B81" t="str">
        <f>IFERROR(VLOOKUP(LEFT(A81, FIND("__", A81) + 1), [1]Sheet2!I$1:J$71, 2, FALSE), "구독권")</f>
        <v>계정한정영웅필드지원</v>
      </c>
      <c r="C81">
        <v>4</v>
      </c>
      <c r="D81" s="4">
        <v>4400</v>
      </c>
      <c r="F81" t="s">
        <v>164</v>
      </c>
      <c r="G81" t="str">
        <f>IFERROR(VLOOKUP(LEFT(F81, FIND("__", F81) + 1), [1]Sheet2!I$1:J$71, 2, FALSE), "구독권")</f>
        <v>돌발초월</v>
      </c>
      <c r="H81">
        <v>2</v>
      </c>
      <c r="I81" s="2">
        <v>11000</v>
      </c>
      <c r="K81" t="s">
        <v>80</v>
      </c>
      <c r="L81" t="str">
        <f>IFERROR(VLOOKUP(LEFT(K81, FIND("__", K81) + 1), [1]Sheet2!I$1:J$71, 2, FALSE), "구독권")</f>
        <v xml:space="preserve">기한한정일간연구석 </v>
      </c>
      <c r="M81">
        <v>3</v>
      </c>
      <c r="N81">
        <v>330</v>
      </c>
      <c r="P81" t="s">
        <v>103</v>
      </c>
      <c r="Q81" t="str">
        <f>IFERROR(VLOOKUP(LEFT(P81, FIND("__", P81) + 1), [1]Sheet2!I$1:J$71, 2, FALSE), "구독권")</f>
        <v>돌발연구</v>
      </c>
      <c r="R81">
        <v>1</v>
      </c>
      <c r="S81" s="4">
        <v>5500</v>
      </c>
    </row>
    <row r="82" spans="1:19" x14ac:dyDescent="0.3">
      <c r="A82" t="s">
        <v>75</v>
      </c>
      <c r="B82" t="str">
        <f>IFERROR(VLOOKUP(LEFT(A82, FIND("__", A82) + 1), [1]Sheet2!I$1:J$71, 2, FALSE), "구독권")</f>
        <v>계정한정영웅연구지원</v>
      </c>
      <c r="C82">
        <v>4</v>
      </c>
      <c r="D82" s="4">
        <v>1320</v>
      </c>
      <c r="F82" t="s">
        <v>88</v>
      </c>
      <c r="G82" t="str">
        <f>IFERROR(VLOOKUP(LEFT(F82, FIND("__", F82) + 1), [1]Sheet2!I$1:J$71, 2, FALSE), "구독권")</f>
        <v>돌발육성</v>
      </c>
      <c r="H82">
        <v>2</v>
      </c>
      <c r="I82" s="2">
        <v>2200</v>
      </c>
      <c r="K82" t="s">
        <v>81</v>
      </c>
      <c r="L82" t="str">
        <f>IFERROR(VLOOKUP(LEFT(K82, FIND("__", K82) + 1), [1]Sheet2!I$1:J$71, 2, FALSE), "구독권")</f>
        <v>돌발무기</v>
      </c>
      <c r="M82">
        <v>2</v>
      </c>
      <c r="N82" s="2">
        <v>2200</v>
      </c>
      <c r="P82" t="s">
        <v>138</v>
      </c>
      <c r="Q82" t="str">
        <f>IFERROR(VLOOKUP(LEFT(P82, FIND("__", P82) + 1), [1]Sheet2!I$1:J$71, 2, FALSE), "구독권")</f>
        <v>돌발연구</v>
      </c>
      <c r="R82">
        <v>1</v>
      </c>
      <c r="S82" s="4">
        <v>550</v>
      </c>
    </row>
    <row r="83" spans="1:19" x14ac:dyDescent="0.3">
      <c r="A83" t="s">
        <v>51</v>
      </c>
      <c r="B83" t="str">
        <f>IFERROR(VLOOKUP(LEFT(A83, FIND("__", A83) + 1), [1]Sheet2!I$1:J$71, 2, FALSE), "구독권")</f>
        <v>계정한정소환고려</v>
      </c>
      <c r="C83">
        <v>4</v>
      </c>
      <c r="D83" s="4">
        <v>13200</v>
      </c>
      <c r="F83" t="s">
        <v>165</v>
      </c>
      <c r="G83" t="str">
        <f>IFERROR(VLOOKUP(LEFT(F83, FIND("__", F83) + 1), [1]Sheet2!I$1:J$71, 2, FALSE), "구독권")</f>
        <v>돌발가속권</v>
      </c>
      <c r="H83">
        <v>2</v>
      </c>
      <c r="I83" s="2">
        <v>1100</v>
      </c>
      <c r="K83" t="s">
        <v>82</v>
      </c>
      <c r="L83" t="str">
        <f>IFERROR(VLOOKUP(LEFT(K83, FIND("__", K83) + 1), [1]Sheet2!I$1:J$71, 2, FALSE), "구독권")</f>
        <v>돌발스테이지</v>
      </c>
      <c r="M83">
        <v>2</v>
      </c>
      <c r="N83" s="2">
        <v>1100</v>
      </c>
      <c r="P83" t="s">
        <v>164</v>
      </c>
      <c r="Q83" t="str">
        <f>IFERROR(VLOOKUP(LEFT(P83, FIND("__", P83) + 1), [1]Sheet2!I$1:J$71, 2, FALSE), "구독권")</f>
        <v>돌발초월</v>
      </c>
      <c r="R83">
        <v>1</v>
      </c>
      <c r="S83" s="4">
        <v>5500</v>
      </c>
    </row>
    <row r="84" spans="1:19" x14ac:dyDescent="0.3">
      <c r="A84" t="s">
        <v>95</v>
      </c>
      <c r="B84" t="str">
        <f>IFERROR(VLOOKUP(LEFT(A84, FIND("__", A84) + 1), [1]Sheet2!I$1:J$71, 2, FALSE), "구독권")</f>
        <v>계정한정소환갑옷</v>
      </c>
      <c r="C84">
        <v>4</v>
      </c>
      <c r="D84" s="4">
        <v>4400</v>
      </c>
      <c r="F84" t="s">
        <v>140</v>
      </c>
      <c r="G84" t="str">
        <f>IFERROR(VLOOKUP(LEFT(F84, FIND("__", F84) + 1), [1]Sheet2!I$1:J$71, 2, FALSE), "구독권")</f>
        <v>육성패스1</v>
      </c>
      <c r="H84">
        <v>2</v>
      </c>
      <c r="I84" s="2">
        <v>2200</v>
      </c>
      <c r="K84" t="s">
        <v>83</v>
      </c>
      <c r="L84" t="str">
        <f>IFERROR(VLOOKUP(LEFT(K84, FIND("__", K84) + 1), [1]Sheet2!I$1:J$71, 2, FALSE), "구독권")</f>
        <v>돌발스테이지</v>
      </c>
      <c r="M84">
        <v>2</v>
      </c>
      <c r="N84" s="2">
        <v>11000</v>
      </c>
      <c r="P84" t="s">
        <v>196</v>
      </c>
      <c r="Q84" t="str">
        <f>IFERROR(VLOOKUP(LEFT(P84, FIND("__", P84) + 1), [1]Sheet2!I$1:J$71, 2, FALSE), "구독권")</f>
        <v>돌발육성</v>
      </c>
      <c r="R84">
        <v>1</v>
      </c>
      <c r="S84" s="4">
        <v>2200</v>
      </c>
    </row>
    <row r="85" spans="1:19" x14ac:dyDescent="0.3">
      <c r="A85" t="s">
        <v>150</v>
      </c>
      <c r="B85" t="str">
        <f>IFERROR(VLOOKUP(LEFT(A85, FIND("__", A85) + 1), [1]Sheet2!I$1:J$71, 2, FALSE), "구독권")</f>
        <v xml:space="preserve">주간영웅 </v>
      </c>
      <c r="C85">
        <v>4</v>
      </c>
      <c r="D85" s="4">
        <v>4400</v>
      </c>
      <c r="F85" t="s">
        <v>65</v>
      </c>
      <c r="G85" t="str">
        <f>IFERROR(VLOOKUP(LEFT(F85, FIND("__", F85) + 1), [1]Sheet2!I$1:J$71, 2, FALSE), "구독권")</f>
        <v>스테이지패스1</v>
      </c>
      <c r="H85">
        <v>2</v>
      </c>
      <c r="I85" s="2">
        <v>1540</v>
      </c>
      <c r="K85" t="s">
        <v>84</v>
      </c>
      <c r="L85" t="str">
        <f>IFERROR(VLOOKUP(LEFT(K85, FIND("__", K85) + 1), [1]Sheet2!I$1:J$71, 2, FALSE), "구독권")</f>
        <v>돌발연구</v>
      </c>
      <c r="M85">
        <v>2</v>
      </c>
      <c r="N85" s="2">
        <v>6600</v>
      </c>
      <c r="P85" t="s">
        <v>88</v>
      </c>
      <c r="Q85" t="str">
        <f>IFERROR(VLOOKUP(LEFT(P85, FIND("__", P85) + 1), [1]Sheet2!I$1:J$71, 2, FALSE), "구독권")</f>
        <v>돌발육성</v>
      </c>
      <c r="R85">
        <v>1</v>
      </c>
      <c r="S85" s="4">
        <v>1100</v>
      </c>
    </row>
    <row r="86" spans="1:19" x14ac:dyDescent="0.3">
      <c r="A86" t="s">
        <v>151</v>
      </c>
      <c r="B86" t="str">
        <f>IFERROR(VLOOKUP(LEFT(A86, FIND("__", A86) + 1), [1]Sheet2!I$1:J$71, 2, FALSE), "구독권")</f>
        <v xml:space="preserve">주간장비 </v>
      </c>
      <c r="C86">
        <v>4</v>
      </c>
      <c r="D86" s="4">
        <v>4400</v>
      </c>
      <c r="F86" t="s">
        <v>68</v>
      </c>
      <c r="G86" t="str">
        <f>IFERROR(VLOOKUP(LEFT(F86, FIND("__", F86) + 1), [1]Sheet2!I$1:J$71, 2, FALSE), "구독권")</f>
        <v>구독권</v>
      </c>
      <c r="H86">
        <v>2</v>
      </c>
      <c r="I86" s="2">
        <v>2200</v>
      </c>
      <c r="K86" t="s">
        <v>85</v>
      </c>
      <c r="L86" t="str">
        <f>IFERROR(VLOOKUP(LEFT(K86, FIND("__", K86) + 1), [1]Sheet2!I$1:J$71, 2, FALSE), "구독권")</f>
        <v>돌발고려</v>
      </c>
      <c r="M86">
        <v>2</v>
      </c>
      <c r="N86" s="2">
        <v>6600</v>
      </c>
      <c r="P86" t="s">
        <v>139</v>
      </c>
      <c r="Q86" t="str">
        <f>IFERROR(VLOOKUP(LEFT(P86, FIND("__", P86) + 1), [1]Sheet2!I$1:J$71, 2, FALSE), "구독권")</f>
        <v>돌발육성</v>
      </c>
      <c r="R86">
        <v>1</v>
      </c>
      <c r="S86" s="4">
        <v>1100</v>
      </c>
    </row>
    <row r="87" spans="1:19" x14ac:dyDescent="0.3">
      <c r="A87" t="s">
        <v>80</v>
      </c>
      <c r="B87" t="str">
        <f>IFERROR(VLOOKUP(LEFT(A87, FIND("__", A87) + 1), [1]Sheet2!I$1:J$71, 2, FALSE), "구독권")</f>
        <v xml:space="preserve">기한한정일간연구석 </v>
      </c>
      <c r="C87">
        <v>4</v>
      </c>
      <c r="D87" s="4">
        <v>440</v>
      </c>
      <c r="F87" t="s">
        <v>74</v>
      </c>
      <c r="G87" t="str">
        <f>IFERROR(VLOOKUP(LEFT(F87, FIND("__", F87) + 1), [1]Sheet2!I$1:J$71, 2, FALSE), "구독권")</f>
        <v>계정한정영웅초월지원</v>
      </c>
      <c r="H87">
        <v>2</v>
      </c>
      <c r="I87">
        <v>660</v>
      </c>
      <c r="K87" t="s">
        <v>86</v>
      </c>
      <c r="L87" t="str">
        <f>IFERROR(VLOOKUP(LEFT(K87, FIND("__", K87) + 1), [1]Sheet2!I$1:J$71, 2, FALSE), "구독권")</f>
        <v>돌발초월</v>
      </c>
      <c r="M87">
        <v>2</v>
      </c>
      <c r="N87" s="2">
        <v>11000</v>
      </c>
      <c r="P87" t="s">
        <v>197</v>
      </c>
      <c r="Q87" t="str">
        <f>IFERROR(VLOOKUP(LEFT(P87, FIND("__", P87) + 1), [1]Sheet2!I$1:J$71, 2, FALSE), "구독권")</f>
        <v>돌발가속권</v>
      </c>
      <c r="R87">
        <v>1</v>
      </c>
      <c r="S87" s="4">
        <v>1100</v>
      </c>
    </row>
    <row r="88" spans="1:19" x14ac:dyDescent="0.3">
      <c r="A88" t="s">
        <v>55</v>
      </c>
      <c r="B88" t="str">
        <f>IFERROR(VLOOKUP(LEFT(A88, FIND("__", A88) + 1), [1]Sheet2!I$1:J$71, 2, FALSE), "구독권")</f>
        <v>기한한정일간가속</v>
      </c>
      <c r="C88">
        <v>4</v>
      </c>
      <c r="D88" s="4">
        <v>4400</v>
      </c>
      <c r="F88" t="s">
        <v>154</v>
      </c>
      <c r="G88" t="str">
        <f>IFERROR(VLOOKUP(LEFT(F88, FIND("__", F88) + 1), [1]Sheet2!I$1:J$71, 2, FALSE), "구독권")</f>
        <v>계정한정영웅육성지원</v>
      </c>
      <c r="H88">
        <v>2</v>
      </c>
      <c r="I88" s="2">
        <v>1100</v>
      </c>
      <c r="K88" t="s">
        <v>87</v>
      </c>
      <c r="L88" t="str">
        <f>IFERROR(VLOOKUP(LEFT(K88, FIND("__", K88) + 1), [1]Sheet2!I$1:J$71, 2, FALSE), "구독권")</f>
        <v>돌발초월</v>
      </c>
      <c r="M88">
        <v>2</v>
      </c>
      <c r="N88" s="2">
        <v>2200</v>
      </c>
      <c r="P88" t="s">
        <v>62</v>
      </c>
      <c r="Q88" t="str">
        <f>IFERROR(VLOOKUP(LEFT(P88, FIND("__", P88) + 1), [1]Sheet2!I$1:J$71, 2, FALSE), "구독권")</f>
        <v>돌발가속권</v>
      </c>
      <c r="R88">
        <v>1</v>
      </c>
      <c r="S88" s="4">
        <v>330</v>
      </c>
    </row>
    <row r="89" spans="1:19" x14ac:dyDescent="0.3">
      <c r="A89" t="s">
        <v>56</v>
      </c>
      <c r="B89" t="str">
        <f>IFERROR(VLOOKUP(LEFT(A89, FIND("__", A89) + 1), [1]Sheet2!I$1:J$71, 2, FALSE), "구독권")</f>
        <v>기한한정일간가속</v>
      </c>
      <c r="C89">
        <v>4</v>
      </c>
      <c r="D89" s="4">
        <v>2200</v>
      </c>
      <c r="F89" t="s">
        <v>48</v>
      </c>
      <c r="G89" t="str">
        <f>IFERROR(VLOOKUP(LEFT(F89, FIND("__", F89) + 1), [1]Sheet2!I$1:J$71, 2, FALSE), "구독권")</f>
        <v>계정한정소환가속</v>
      </c>
      <c r="H89">
        <v>2</v>
      </c>
      <c r="I89" s="2">
        <v>2200</v>
      </c>
      <c r="K89" t="s">
        <v>88</v>
      </c>
      <c r="L89" t="str">
        <f>IFERROR(VLOOKUP(LEFT(K89, FIND("__", K89) + 1), [1]Sheet2!I$1:J$71, 2, FALSE), "구독권")</f>
        <v>돌발육성</v>
      </c>
      <c r="M89">
        <v>2</v>
      </c>
      <c r="N89" s="2">
        <v>2200</v>
      </c>
      <c r="P89" t="s">
        <v>198</v>
      </c>
      <c r="Q89" t="str">
        <f>IFERROR(VLOOKUP(LEFT(P89, FIND("__", P89) + 1), [1]Sheet2!I$1:J$71, 2, FALSE), "구독권")</f>
        <v>구독권</v>
      </c>
      <c r="R89">
        <v>1</v>
      </c>
      <c r="S89" s="4">
        <v>660</v>
      </c>
    </row>
    <row r="90" spans="1:19" x14ac:dyDescent="0.3">
      <c r="A90" t="s">
        <v>82</v>
      </c>
      <c r="B90" t="str">
        <f>IFERROR(VLOOKUP(LEFT(A90, FIND("__", A90) + 1), [1]Sheet2!I$1:J$71, 2, FALSE), "구독권")</f>
        <v>돌발스테이지</v>
      </c>
      <c r="C90">
        <v>3</v>
      </c>
      <c r="D90" s="4">
        <v>1650</v>
      </c>
      <c r="F90" t="s">
        <v>77</v>
      </c>
      <c r="G90" t="str">
        <f>IFERROR(VLOOKUP(LEFT(F90, FIND("__", F90) + 1), [1]Sheet2!I$1:J$71, 2, FALSE), "구독권")</f>
        <v>계정한정소환조선</v>
      </c>
      <c r="H90">
        <v>2</v>
      </c>
      <c r="I90" s="2">
        <v>6600</v>
      </c>
      <c r="K90" t="s">
        <v>89</v>
      </c>
      <c r="L90" t="str">
        <f>IFERROR(VLOOKUP(LEFT(K90, FIND("__", K90) + 1), [1]Sheet2!I$1:J$71, 2, FALSE), "구독권")</f>
        <v>돌발육성</v>
      </c>
      <c r="M90">
        <v>2</v>
      </c>
      <c r="N90" s="2">
        <v>2200</v>
      </c>
      <c r="P90" t="s">
        <v>199</v>
      </c>
      <c r="Q90" t="str">
        <f>IFERROR(VLOOKUP(LEFT(P90, FIND("__", P90) + 1), [1]Sheet2!I$1:J$71, 2, FALSE), "구독권")</f>
        <v>구독권</v>
      </c>
      <c r="R90">
        <v>1</v>
      </c>
      <c r="S90" s="4">
        <v>660</v>
      </c>
    </row>
    <row r="91" spans="1:19" x14ac:dyDescent="0.3">
      <c r="A91" t="s">
        <v>59</v>
      </c>
      <c r="B91" t="str">
        <f>IFERROR(VLOOKUP(LEFT(A91, FIND("__", A91) + 1), [1]Sheet2!I$1:J$71, 2, FALSE), "구독권")</f>
        <v>돌발연구</v>
      </c>
      <c r="C91">
        <v>3</v>
      </c>
      <c r="D91" s="4">
        <v>9900</v>
      </c>
      <c r="F91" t="s">
        <v>51</v>
      </c>
      <c r="G91" t="str">
        <f>IFERROR(VLOOKUP(LEFT(F91, FIND("__", F91) + 1), [1]Sheet2!I$1:J$71, 2, FALSE), "구독권")</f>
        <v>계정한정소환고려</v>
      </c>
      <c r="H91">
        <v>2</v>
      </c>
      <c r="I91" s="2">
        <v>6600</v>
      </c>
      <c r="K91" t="s">
        <v>90</v>
      </c>
      <c r="L91" t="str">
        <f>IFERROR(VLOOKUP(LEFT(K91, FIND("__", K91) + 1), [1]Sheet2!I$1:J$71, 2, FALSE), "구독권")</f>
        <v>육성패스1</v>
      </c>
      <c r="M91">
        <v>2</v>
      </c>
      <c r="N91" s="2">
        <v>6600</v>
      </c>
      <c r="P91" t="s">
        <v>200</v>
      </c>
      <c r="Q91" t="str">
        <f>IFERROR(VLOOKUP(LEFT(P91, FIND("__", P91) + 1), [1]Sheet2!I$1:J$71, 2, FALSE), "구독권")</f>
        <v>구독권</v>
      </c>
      <c r="R91">
        <v>1</v>
      </c>
      <c r="S91" s="4">
        <v>1980</v>
      </c>
    </row>
    <row r="92" spans="1:19" x14ac:dyDescent="0.3">
      <c r="A92" t="s">
        <v>62</v>
      </c>
      <c r="B92" t="str">
        <f>IFERROR(VLOOKUP(LEFT(A92, FIND("__", A92) + 1), [1]Sheet2!I$1:J$71, 2, FALSE), "구독권")</f>
        <v>돌발가속권</v>
      </c>
      <c r="C92">
        <v>3</v>
      </c>
      <c r="D92" s="4">
        <v>990</v>
      </c>
      <c r="F92" t="s">
        <v>52</v>
      </c>
      <c r="G92" t="str">
        <f>IFERROR(VLOOKUP(LEFT(F92, FIND("__", F92) + 1), [1]Sheet2!I$1:J$71, 2, FALSE), "구독권")</f>
        <v>계정한정소환고려</v>
      </c>
      <c r="H92">
        <v>2</v>
      </c>
      <c r="I92" s="2">
        <v>2200</v>
      </c>
      <c r="K92" t="s">
        <v>91</v>
      </c>
      <c r="L92" t="str">
        <f>IFERROR(VLOOKUP(LEFT(K92, FIND("__", K92) + 1), [1]Sheet2!I$1:J$71, 2, FALSE), "구독권")</f>
        <v>육성패스1</v>
      </c>
      <c r="M92">
        <v>2</v>
      </c>
      <c r="N92" s="2">
        <v>6600</v>
      </c>
      <c r="P92" t="s">
        <v>65</v>
      </c>
      <c r="Q92" t="str">
        <f>IFERROR(VLOOKUP(LEFT(P92, FIND("__", P92) + 1), [1]Sheet2!I$1:J$71, 2, FALSE), "구독권")</f>
        <v>스테이지패스1</v>
      </c>
      <c r="R92">
        <v>1</v>
      </c>
      <c r="S92" s="4">
        <v>770</v>
      </c>
    </row>
    <row r="93" spans="1:19" x14ac:dyDescent="0.3">
      <c r="A93" t="s">
        <v>93</v>
      </c>
      <c r="B93" t="str">
        <f>IFERROR(VLOOKUP(LEFT(A93, FIND("__", A93) + 1), [1]Sheet2!I$1:J$71, 2, FALSE), "구독권")</f>
        <v>레벨패스1</v>
      </c>
      <c r="C93">
        <v>3</v>
      </c>
      <c r="D93" s="4">
        <v>3300</v>
      </c>
      <c r="F93" t="s">
        <v>79</v>
      </c>
      <c r="G93" t="str">
        <f>IFERROR(VLOOKUP(LEFT(F93, FIND("__", F93) + 1), [1]Sheet2!I$1:J$71, 2, FALSE), "구독권")</f>
        <v>계정한정소환갑옷</v>
      </c>
      <c r="H93">
        <v>2</v>
      </c>
      <c r="I93" s="2">
        <v>1100</v>
      </c>
      <c r="K93" t="s">
        <v>92</v>
      </c>
      <c r="L93" t="str">
        <f>IFERROR(VLOOKUP(LEFT(K93, FIND("__", K93) + 1), [1]Sheet2!I$1:J$71, 2, FALSE), "구독권")</f>
        <v>육성패스1</v>
      </c>
      <c r="M93">
        <v>2</v>
      </c>
      <c r="N93" s="2">
        <v>1540</v>
      </c>
      <c r="P93" t="s">
        <v>93</v>
      </c>
      <c r="Q93" t="str">
        <f>IFERROR(VLOOKUP(LEFT(P93, FIND("__", P93) + 1), [1]Sheet2!I$1:J$71, 2, FALSE), "구독권")</f>
        <v>레벨패스1</v>
      </c>
      <c r="R93">
        <v>1</v>
      </c>
      <c r="S93" s="4">
        <v>1100</v>
      </c>
    </row>
    <row r="94" spans="1:19" x14ac:dyDescent="0.3">
      <c r="A94" t="s">
        <v>152</v>
      </c>
      <c r="B94" t="str">
        <f>IFERROR(VLOOKUP(LEFT(A94, FIND("__", A94) + 1), [1]Sheet2!I$1:J$71, 2, FALSE), "구독권")</f>
        <v>계정한정영웅무기지원</v>
      </c>
      <c r="C94">
        <v>3</v>
      </c>
      <c r="D94" s="4">
        <v>1650</v>
      </c>
      <c r="F94" t="s">
        <v>166</v>
      </c>
      <c r="G94" t="str">
        <f>IFERROR(VLOOKUP(LEFT(F94, FIND("__", F94) + 1), [1]Sheet2!I$1:J$71, 2, FALSE), "구독권")</f>
        <v>계정한정소환무기</v>
      </c>
      <c r="H94">
        <v>2</v>
      </c>
      <c r="I94" s="2">
        <v>11000</v>
      </c>
      <c r="K94" t="s">
        <v>93</v>
      </c>
      <c r="L94" t="str">
        <f>IFERROR(VLOOKUP(LEFT(K94, FIND("__", K94) + 1), [1]Sheet2!I$1:J$71, 2, FALSE), "구독권")</f>
        <v>레벨패스1</v>
      </c>
      <c r="M94">
        <v>2</v>
      </c>
      <c r="N94" s="2">
        <v>2200</v>
      </c>
      <c r="P94" t="s">
        <v>201</v>
      </c>
      <c r="Q94" t="str">
        <f>IFERROR(VLOOKUP(LEFT(P94, FIND("__", P94) + 1), [1]Sheet2!I$1:J$71, 2, FALSE), "구독권")</f>
        <v>사냥패스1</v>
      </c>
      <c r="R94">
        <v>1</v>
      </c>
      <c r="S94" s="4">
        <v>3300</v>
      </c>
    </row>
    <row r="95" spans="1:19" x14ac:dyDescent="0.3">
      <c r="A95" t="s">
        <v>153</v>
      </c>
      <c r="B95" t="str">
        <f>IFERROR(VLOOKUP(LEFT(A95, FIND("__", A95) + 1), [1]Sheet2!I$1:J$71, 2, FALSE), "구독권")</f>
        <v>계정한정영웅연구지원</v>
      </c>
      <c r="C95">
        <v>3</v>
      </c>
      <c r="D95" s="4">
        <v>1650</v>
      </c>
      <c r="F95" t="s">
        <v>167</v>
      </c>
      <c r="G95" t="str">
        <f>IFERROR(VLOOKUP(LEFT(F95, FIND("__", F95) + 1), [1]Sheet2!I$1:J$71, 2, FALSE), "구독권")</f>
        <v xml:space="preserve">주간입장권 </v>
      </c>
      <c r="H95">
        <v>2</v>
      </c>
      <c r="I95" s="2">
        <v>1100</v>
      </c>
      <c r="K95" t="s">
        <v>94</v>
      </c>
      <c r="L95" t="str">
        <f>IFERROR(VLOOKUP(LEFT(K95, FIND("__", K95) + 1), [1]Sheet2!I$1:J$71, 2, FALSE), "구독권")</f>
        <v>사냥패스1</v>
      </c>
      <c r="M95">
        <v>2</v>
      </c>
      <c r="N95" s="2">
        <v>6600</v>
      </c>
      <c r="P95" t="s">
        <v>202</v>
      </c>
      <c r="Q95" t="str">
        <f>IFERROR(VLOOKUP(LEFT(P95, FIND("__", P95) + 1), [1]Sheet2!I$1:J$71, 2, FALSE), "구독권")</f>
        <v>사냥패스1</v>
      </c>
      <c r="R95">
        <v>1</v>
      </c>
      <c r="S95" s="4">
        <v>3300</v>
      </c>
    </row>
    <row r="96" spans="1:19" x14ac:dyDescent="0.3">
      <c r="A96" t="s">
        <v>154</v>
      </c>
      <c r="B96" t="str">
        <f>IFERROR(VLOOKUP(LEFT(A96, FIND("__", A96) + 1), [1]Sheet2!I$1:J$71, 2, FALSE), "구독권")</f>
        <v>계정한정영웅육성지원</v>
      </c>
      <c r="C96">
        <v>3</v>
      </c>
      <c r="D96" s="4">
        <v>1650</v>
      </c>
      <c r="F96" t="s">
        <v>168</v>
      </c>
      <c r="G96" t="str">
        <f>IFERROR(VLOOKUP(LEFT(F96, FIND("__", F96) + 1), [1]Sheet2!I$1:J$71, 2, FALSE), "구독권")</f>
        <v>돌발무기</v>
      </c>
      <c r="H96">
        <v>1</v>
      </c>
      <c r="I96" s="2">
        <v>5500</v>
      </c>
      <c r="K96" t="s">
        <v>95</v>
      </c>
      <c r="L96" t="str">
        <f>IFERROR(VLOOKUP(LEFT(K96, FIND("__", K96) + 1), [1]Sheet2!I$1:J$71, 2, FALSE), "구독권")</f>
        <v>계정한정소환갑옷</v>
      </c>
      <c r="M96">
        <v>2</v>
      </c>
      <c r="N96" s="2">
        <v>2200</v>
      </c>
      <c r="P96" t="s">
        <v>38</v>
      </c>
      <c r="Q96" t="str">
        <f>IFERROR(VLOOKUP(LEFT(P96, FIND("__", P96) + 1), [1]Sheet2!I$1:J$71, 2, FALSE), "구독권")</f>
        <v>사냥패스1</v>
      </c>
      <c r="R96">
        <v>1</v>
      </c>
      <c r="S96" s="4">
        <v>1100</v>
      </c>
    </row>
    <row r="97" spans="1:19" x14ac:dyDescent="0.3">
      <c r="A97" t="s">
        <v>77</v>
      </c>
      <c r="B97" t="str">
        <f>IFERROR(VLOOKUP(LEFT(A97, FIND("__", A97) + 1), [1]Sheet2!I$1:J$71, 2, FALSE), "구독권")</f>
        <v>계정한정소환조선</v>
      </c>
      <c r="C97">
        <v>3</v>
      </c>
      <c r="D97" s="4">
        <v>9900</v>
      </c>
      <c r="F97" t="s">
        <v>169</v>
      </c>
      <c r="G97" t="str">
        <f>IFERROR(VLOOKUP(LEFT(F97, FIND("__", F97) + 1), [1]Sheet2!I$1:J$71, 2, FALSE), "구독권")</f>
        <v>돌발연구</v>
      </c>
      <c r="H97">
        <v>1</v>
      </c>
      <c r="I97" s="2">
        <v>3300</v>
      </c>
      <c r="K97" t="s">
        <v>96</v>
      </c>
      <c r="L97" t="str">
        <f>IFERROR(VLOOKUP(LEFT(K97, FIND("__", K97) + 1), [1]Sheet2!I$1:J$71, 2, FALSE), "구독권")</f>
        <v xml:space="preserve">주간고려 지원 </v>
      </c>
      <c r="M97">
        <v>2</v>
      </c>
      <c r="N97" s="2">
        <v>2200</v>
      </c>
      <c r="P97" t="s">
        <v>69</v>
      </c>
      <c r="Q97" t="str">
        <f>IFERROR(VLOOKUP(LEFT(P97, FIND("__", P97) + 1), [1]Sheet2!I$1:J$71, 2, FALSE), "구독권")</f>
        <v>계정한정영웅퇴마전</v>
      </c>
      <c r="R97">
        <v>1</v>
      </c>
      <c r="S97" s="4">
        <v>330</v>
      </c>
    </row>
    <row r="98" spans="1:19" x14ac:dyDescent="0.3">
      <c r="A98" t="s">
        <v>155</v>
      </c>
      <c r="B98" t="str">
        <f>IFERROR(VLOOKUP(LEFT(A98, FIND("__", A98) + 1), [1]Sheet2!I$1:J$71, 2, FALSE), "구독권")</f>
        <v>계정한정소환갑옷</v>
      </c>
      <c r="C98">
        <v>3</v>
      </c>
      <c r="D98" s="4">
        <v>9900</v>
      </c>
      <c r="F98" t="s">
        <v>170</v>
      </c>
      <c r="G98" t="str">
        <f>IFERROR(VLOOKUP(LEFT(F98, FIND("__", F98) + 1), [1]Sheet2!I$1:J$71, 2, FALSE), "구독권")</f>
        <v>돌발연구</v>
      </c>
      <c r="H98">
        <v>1</v>
      </c>
      <c r="I98" s="2">
        <v>1100</v>
      </c>
      <c r="K98" t="s">
        <v>97</v>
      </c>
      <c r="L98" t="str">
        <f>IFERROR(VLOOKUP(LEFT(K98, FIND("__", K98) + 1), [1]Sheet2!I$1:J$71, 2, FALSE), "구독권")</f>
        <v xml:space="preserve">주간어빌석 </v>
      </c>
      <c r="M98">
        <v>2</v>
      </c>
      <c r="N98" s="2">
        <v>2200</v>
      </c>
      <c r="P98" t="s">
        <v>71</v>
      </c>
      <c r="Q98" t="str">
        <f>IFERROR(VLOOKUP(LEFT(P98, FIND("__", P98) + 1), [1]Sheet2!I$1:J$71, 2, FALSE), "구독권")</f>
        <v>계정한정영웅무기지원</v>
      </c>
      <c r="R98">
        <v>1</v>
      </c>
      <c r="S98" s="4">
        <v>330</v>
      </c>
    </row>
    <row r="99" spans="1:19" x14ac:dyDescent="0.3">
      <c r="A99" t="s">
        <v>54</v>
      </c>
      <c r="B99" t="str">
        <f>IFERROR(VLOOKUP(LEFT(A99, FIND("__", A99) + 1), [1]Sheet2!I$1:J$71, 2, FALSE), "구독권")</f>
        <v>계정한정소환무기</v>
      </c>
      <c r="C99">
        <v>3</v>
      </c>
      <c r="D99" s="4">
        <v>9900</v>
      </c>
      <c r="F99" t="s">
        <v>84</v>
      </c>
      <c r="G99" t="str">
        <f>IFERROR(VLOOKUP(LEFT(F99, FIND("__", F99) + 1), [1]Sheet2!I$1:J$71, 2, FALSE), "구독권")</f>
        <v>돌발연구</v>
      </c>
      <c r="H99">
        <v>1</v>
      </c>
      <c r="I99" s="2">
        <v>3300</v>
      </c>
      <c r="K99" t="s">
        <v>98</v>
      </c>
      <c r="L99" t="str">
        <f>IFERROR(VLOOKUP(LEFT(K99, FIND("__", K99) + 1), [1]Sheet2!I$1:J$71, 2, FALSE), "구독권")</f>
        <v>돌발무기</v>
      </c>
      <c r="M99">
        <v>1</v>
      </c>
      <c r="N99" s="2">
        <v>3300</v>
      </c>
      <c r="P99" t="s">
        <v>72</v>
      </c>
      <c r="Q99" t="str">
        <f>IFERROR(VLOOKUP(LEFT(P99, FIND("__", P99) + 1), [1]Sheet2!I$1:J$71, 2, FALSE), "구독권")</f>
        <v>계정한정영웅룬지원</v>
      </c>
      <c r="R99">
        <v>1</v>
      </c>
      <c r="S99" s="4">
        <v>330</v>
      </c>
    </row>
    <row r="100" spans="1:19" x14ac:dyDescent="0.3">
      <c r="A100" t="s">
        <v>97</v>
      </c>
      <c r="B100" t="str">
        <f>IFERROR(VLOOKUP(LEFT(A100, FIND("__", A100) + 1), [1]Sheet2!I$1:J$71, 2, FALSE), "구독권")</f>
        <v xml:space="preserve">주간어빌석 </v>
      </c>
      <c r="C100">
        <v>3</v>
      </c>
      <c r="D100" s="4">
        <v>3300</v>
      </c>
      <c r="F100" t="s">
        <v>43</v>
      </c>
      <c r="G100" t="str">
        <f>IFERROR(VLOOKUP(LEFT(F100, FIND("__", F100) + 1), [1]Sheet2!I$1:J$71, 2, FALSE), "구독권")</f>
        <v>돌발조선</v>
      </c>
      <c r="H100">
        <v>1</v>
      </c>
      <c r="I100" s="2">
        <v>3300</v>
      </c>
      <c r="K100" t="s">
        <v>99</v>
      </c>
      <c r="L100" t="str">
        <f>IFERROR(VLOOKUP(LEFT(K100, FIND("__", K100) + 1), [1]Sheet2!I$1:J$71, 2, FALSE), "구독권")</f>
        <v>돌발스테이지</v>
      </c>
      <c r="M100">
        <v>1</v>
      </c>
      <c r="N100" s="2">
        <v>3300</v>
      </c>
      <c r="P100" t="s">
        <v>73</v>
      </c>
      <c r="Q100" t="str">
        <f>IFERROR(VLOOKUP(LEFT(P100, FIND("__", P100) + 1), [1]Sheet2!I$1:J$71, 2, FALSE), "구독권")</f>
        <v>계정한정영웅어빌지원</v>
      </c>
      <c r="R100">
        <v>1</v>
      </c>
      <c r="S100" s="4">
        <v>330</v>
      </c>
    </row>
    <row r="101" spans="1:19" x14ac:dyDescent="0.3">
      <c r="A101" t="s">
        <v>156</v>
      </c>
      <c r="B101" t="str">
        <f>IFERROR(VLOOKUP(LEFT(A101, FIND("__", A101) + 1), [1]Sheet2!I$1:J$71, 2, FALSE), "구독권")</f>
        <v xml:space="preserve">주간영웅 </v>
      </c>
      <c r="C101">
        <v>3</v>
      </c>
      <c r="D101" s="4">
        <v>9900</v>
      </c>
      <c r="F101" t="s">
        <v>171</v>
      </c>
      <c r="G101" t="str">
        <f>IFERROR(VLOOKUP(LEFT(F101, FIND("__", F101) + 1), [1]Sheet2!I$1:J$71, 2, FALSE), "구독권")</f>
        <v>돌발초월</v>
      </c>
      <c r="H101">
        <v>1</v>
      </c>
      <c r="I101" s="2">
        <v>5500</v>
      </c>
      <c r="K101" t="s">
        <v>100</v>
      </c>
      <c r="L101" t="str">
        <f>IFERROR(VLOOKUP(LEFT(K101, FIND("__", K101) + 1), [1]Sheet2!I$1:J$71, 2, FALSE), "구독권")</f>
        <v>돌발스테이지</v>
      </c>
      <c r="M101">
        <v>1</v>
      </c>
      <c r="N101" s="2">
        <v>1100</v>
      </c>
      <c r="P101" t="s">
        <v>203</v>
      </c>
      <c r="Q101" t="str">
        <f>IFERROR(VLOOKUP(LEFT(P101, FIND("__", P101) + 1), [1]Sheet2!I$1:J$71, 2, FALSE), "구독권")</f>
        <v>계정한정영웅초월지원</v>
      </c>
      <c r="R101">
        <v>1</v>
      </c>
      <c r="S101" s="4">
        <v>550</v>
      </c>
    </row>
    <row r="102" spans="1:19" x14ac:dyDescent="0.3">
      <c r="A102" t="s">
        <v>101</v>
      </c>
      <c r="B102" t="str">
        <f>IFERROR(VLOOKUP(LEFT(A102, FIND("__", A102) + 1), [1]Sheet2!I$1:J$71, 2, FALSE), "구독권")</f>
        <v>돌발스테이지</v>
      </c>
      <c r="C102">
        <v>2</v>
      </c>
      <c r="D102" s="4">
        <v>11000</v>
      </c>
      <c r="F102" t="s">
        <v>172</v>
      </c>
      <c r="G102" t="str">
        <f>IFERROR(VLOOKUP(LEFT(F102, FIND("__", F102) + 1), [1]Sheet2!I$1:J$71, 2, FALSE), "구독권")</f>
        <v>돌발초월</v>
      </c>
      <c r="H102">
        <v>1</v>
      </c>
      <c r="I102" s="2">
        <v>3300</v>
      </c>
      <c r="K102" t="s">
        <v>101</v>
      </c>
      <c r="L102" t="str">
        <f>IFERROR(VLOOKUP(LEFT(K102, FIND("__", K102) + 1), [1]Sheet2!I$1:J$71, 2, FALSE), "구독권")</f>
        <v>돌발스테이지</v>
      </c>
      <c r="M102">
        <v>1</v>
      </c>
      <c r="N102" s="2">
        <v>5500</v>
      </c>
      <c r="P102" t="s">
        <v>28</v>
      </c>
      <c r="Q102" t="str">
        <f>IFERROR(VLOOKUP(LEFT(P102, FIND("__", P102) + 1), [1]Sheet2!I$1:J$71, 2, FALSE), "구독권")</f>
        <v>계정한정영웅육성지원</v>
      </c>
      <c r="R102">
        <v>1</v>
      </c>
      <c r="S102" s="4">
        <v>330</v>
      </c>
    </row>
    <row r="103" spans="1:19" x14ac:dyDescent="0.3">
      <c r="A103" t="s">
        <v>40</v>
      </c>
      <c r="B103" t="str">
        <f>IFERROR(VLOOKUP(LEFT(A103, FIND("__", A103) + 1), [1]Sheet2!I$1:J$71, 2, FALSE), "구독권")</f>
        <v>돌발스테이지</v>
      </c>
      <c r="C103">
        <v>2</v>
      </c>
      <c r="D103" s="4">
        <v>6600</v>
      </c>
      <c r="F103" t="s">
        <v>87</v>
      </c>
      <c r="G103" t="str">
        <f>IFERROR(VLOOKUP(LEFT(F103, FIND("__", F103) + 1), [1]Sheet2!I$1:J$71, 2, FALSE), "구독권")</f>
        <v>돌발초월</v>
      </c>
      <c r="H103">
        <v>1</v>
      </c>
      <c r="I103" s="2">
        <v>1100</v>
      </c>
      <c r="K103" t="s">
        <v>102</v>
      </c>
      <c r="L103" t="str">
        <f>IFERROR(VLOOKUP(LEFT(K103, FIND("__", K103) + 1), [1]Sheet2!I$1:J$71, 2, FALSE), "구독권")</f>
        <v>돌발스테이지</v>
      </c>
      <c r="M103">
        <v>1</v>
      </c>
      <c r="N103" s="2">
        <v>3300</v>
      </c>
      <c r="P103" t="s">
        <v>49</v>
      </c>
      <c r="Q103" t="str">
        <f>IFERROR(VLOOKUP(LEFT(P103, FIND("__", P103) + 1), [1]Sheet2!I$1:J$71, 2, FALSE), "구독권")</f>
        <v>계정한정소환가속</v>
      </c>
      <c r="R103">
        <v>1</v>
      </c>
      <c r="S103" s="4">
        <v>550</v>
      </c>
    </row>
    <row r="104" spans="1:19" x14ac:dyDescent="0.3">
      <c r="K104" t="s">
        <v>103</v>
      </c>
      <c r="L104" t="str">
        <f>IFERROR(VLOOKUP(LEFT(K104, FIND("__", K104) + 1), [1]Sheet2!I$1:J$71, 2, FALSE), "구독권")</f>
        <v>돌발연구</v>
      </c>
      <c r="M104">
        <v>1</v>
      </c>
      <c r="N104" s="2">
        <v>5500</v>
      </c>
      <c r="P104" t="s">
        <v>204</v>
      </c>
      <c r="Q104" t="str">
        <f>IFERROR(VLOOKUP(LEFT(P104, FIND("__", P104) + 1), [1]Sheet2!I$1:J$71, 2, FALSE), "구독권")</f>
        <v>계정한정소환조선</v>
      </c>
      <c r="R104">
        <v>1</v>
      </c>
      <c r="S104" s="4">
        <v>5500</v>
      </c>
    </row>
  </sheetData>
  <sortState xmlns:xlrd2="http://schemas.microsoft.com/office/spreadsheetml/2017/richdata2" ref="A4:E32">
    <sortCondition ref="E4:E3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총매출</vt:lpstr>
      <vt:lpstr>스테이지별 매출</vt:lpstr>
      <vt:lpstr>Sheet2</vt:lpstr>
      <vt:lpstr>Sheet1</vt:lpstr>
      <vt:lpstr>8월1일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2025-08-04T01:04:55Z</dcterms:created>
  <dcterms:modified xsi:type="dcterms:W3CDTF">2025-08-05T01:26:53Z</dcterms:modified>
</cp:coreProperties>
</file>