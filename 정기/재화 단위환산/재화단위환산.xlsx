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JJG\엑셀\정기\재화 단위환산\"/>
    </mc:Choice>
  </mc:AlternateContent>
  <xr:revisionPtr revIDLastSave="0" documentId="13_ncr:1_{2248460E-3D07-4266-9095-F7A80609BEB8}" xr6:coauthVersionLast="47" xr6:coauthVersionMax="47" xr10:uidLastSave="{00000000-0000-0000-0000-000000000000}"/>
  <bookViews>
    <workbookView xWindow="1170" yWindow="720" windowWidth="22830" windowHeight="15480" activeTab="2" xr2:uid="{D5257295-4E87-4413-99C6-2C3BD5B1EB19}"/>
  </bookViews>
  <sheets>
    <sheet name="Sheet1" sheetId="1" r:id="rId1"/>
    <sheet name="무기확율" sheetId="2" r:id="rId2"/>
    <sheet name="Sheet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7" i="2" l="1"/>
  <c r="L17" i="2"/>
  <c r="K17" i="2"/>
  <c r="J17" i="2"/>
  <c r="I17" i="2"/>
  <c r="H17" i="2"/>
  <c r="G17" i="2"/>
  <c r="F17" i="2"/>
  <c r="E17" i="2"/>
  <c r="D17" i="2"/>
  <c r="M9" i="2"/>
  <c r="L9" i="2"/>
  <c r="K9" i="2"/>
  <c r="J9" i="2"/>
  <c r="I9" i="2"/>
  <c r="H9" i="2"/>
  <c r="G9" i="2"/>
  <c r="F9" i="2"/>
  <c r="E9" i="2"/>
  <c r="D9" i="2"/>
  <c r="E13" i="1"/>
  <c r="E14" i="1"/>
  <c r="E12" i="1"/>
  <c r="E6" i="1"/>
  <c r="E7" i="1"/>
  <c r="E8" i="1"/>
  <c r="E5" i="1"/>
  <c r="G3" i="1"/>
</calcChain>
</file>

<file path=xl/sharedStrings.xml><?xml version="1.0" encoding="utf-8"?>
<sst xmlns="http://schemas.openxmlformats.org/spreadsheetml/2006/main" count="31" uniqueCount="28">
  <si>
    <t>다이아</t>
    <phoneticPr fontId="2" type="noConversion"/>
  </si>
  <si>
    <t>억</t>
    <phoneticPr fontId="2" type="noConversion"/>
  </si>
  <si>
    <t>천만</t>
    <phoneticPr fontId="2" type="noConversion"/>
  </si>
  <si>
    <t>백만</t>
    <phoneticPr fontId="2" type="noConversion"/>
  </si>
  <si>
    <t>십만</t>
    <phoneticPr fontId="2" type="noConversion"/>
  </si>
  <si>
    <t>1원당 다이아</t>
    <phoneticPr fontId="2" type="noConversion"/>
  </si>
  <si>
    <t>1다이아당 원</t>
    <phoneticPr fontId="2" type="noConversion"/>
  </si>
  <si>
    <t>원</t>
    <phoneticPr fontId="2" type="noConversion"/>
  </si>
  <si>
    <t>천만원</t>
    <phoneticPr fontId="2" type="noConversion"/>
  </si>
  <si>
    <t>백만원</t>
    <phoneticPr fontId="2" type="noConversion"/>
  </si>
  <si>
    <t>십만원</t>
    <phoneticPr fontId="2" type="noConversion"/>
  </si>
  <si>
    <t>Id(40/30/20/10)</t>
  </si>
  <si>
    <t>노말</t>
  </si>
  <si>
    <t>고급</t>
  </si>
  <si>
    <t>희귀</t>
  </si>
  <si>
    <t>영웅</t>
  </si>
  <si>
    <t>전설</t>
  </si>
  <si>
    <t>신화</t>
  </si>
  <si>
    <t>일반</t>
    <phoneticPr fontId="2" type="noConversion"/>
  </si>
  <si>
    <t>고급</t>
    <phoneticPr fontId="2" type="noConversion"/>
  </si>
  <si>
    <t>레어</t>
    <phoneticPr fontId="2" type="noConversion"/>
  </si>
  <si>
    <t>영웅</t>
    <phoneticPr fontId="2" type="noConversion"/>
  </si>
  <si>
    <t>전설</t>
    <phoneticPr fontId="2" type="noConversion"/>
  </si>
  <si>
    <t>신화</t>
    <phoneticPr fontId="2" type="noConversion"/>
  </si>
  <si>
    <t>4등급 40% 3둥급 30% 2둥급 20% 1등급 10 %</t>
    <phoneticPr fontId="2" type="noConversion"/>
  </si>
  <si>
    <t>무기</t>
    <phoneticPr fontId="2" type="noConversion"/>
  </si>
  <si>
    <t>우리</t>
    <phoneticPr fontId="2" type="noConversion"/>
  </si>
  <si>
    <t>슬키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</si>
</sst>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4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4">
    <xf numFmtId="0" fontId="0" fillId="0" borderId="0" xfId="0">
      <alignment vertical="center"/>
    </xf>
    <xf numFmtId="41" fontId="0" fillId="0" borderId="0" xfId="1" applyFont="1">
      <alignment vertical="center"/>
    </xf>
    <xf numFmtId="41" fontId="0" fillId="0" borderId="0" xfId="0" applyNumberFormat="1">
      <alignment vertical="center"/>
    </xf>
    <xf numFmtId="0" fontId="3" fillId="2" borderId="1" xfId="0" applyFont="1" applyFill="1" applyBorder="1">
      <alignment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47C15-CA05-450C-8830-C934898905EA}">
  <dimension ref="C2:G14"/>
  <sheetViews>
    <sheetView workbookViewId="0">
      <selection activeCell="F15" sqref="F15"/>
    </sheetView>
  </sheetViews>
  <sheetFormatPr defaultRowHeight="16.5" x14ac:dyDescent="0.3"/>
  <cols>
    <col min="4" max="4" width="10.5" bestFit="1" customWidth="1"/>
    <col min="5" max="5" width="11.875" bestFit="1" customWidth="1"/>
    <col min="6" max="6" width="13" bestFit="1" customWidth="1"/>
  </cols>
  <sheetData>
    <row r="2" spans="3:7" x14ac:dyDescent="0.3">
      <c r="F2" t="s">
        <v>5</v>
      </c>
      <c r="G2" t="s">
        <v>6</v>
      </c>
    </row>
    <row r="3" spans="3:7" x14ac:dyDescent="0.3">
      <c r="F3">
        <v>5.593220338983051</v>
      </c>
      <c r="G3">
        <f>1/F3</f>
        <v>0.17878787878787877</v>
      </c>
    </row>
    <row r="4" spans="3:7" x14ac:dyDescent="0.3">
      <c r="C4" t="s">
        <v>0</v>
      </c>
      <c r="E4" t="s">
        <v>0</v>
      </c>
    </row>
    <row r="5" spans="3:7" x14ac:dyDescent="0.3">
      <c r="C5" t="s">
        <v>1</v>
      </c>
      <c r="D5">
        <v>100000000</v>
      </c>
      <c r="E5" s="1">
        <f>D5*G$3</f>
        <v>17878787.878787879</v>
      </c>
      <c r="F5" s="2"/>
    </row>
    <row r="6" spans="3:7" x14ac:dyDescent="0.3">
      <c r="C6" t="s">
        <v>2</v>
      </c>
      <c r="D6">
        <v>10000000</v>
      </c>
      <c r="E6" s="1">
        <f t="shared" ref="E6:E8" si="0">D6*G$3</f>
        <v>1787878.7878787878</v>
      </c>
    </row>
    <row r="7" spans="3:7" x14ac:dyDescent="0.3">
      <c r="C7" t="s">
        <v>3</v>
      </c>
      <c r="D7">
        <v>1000000</v>
      </c>
      <c r="E7" s="1">
        <f t="shared" si="0"/>
        <v>178787.87878787878</v>
      </c>
    </row>
    <row r="8" spans="3:7" x14ac:dyDescent="0.3">
      <c r="C8" t="s">
        <v>4</v>
      </c>
      <c r="D8">
        <v>100000</v>
      </c>
      <c r="E8" s="1">
        <f t="shared" si="0"/>
        <v>17878.787878787876</v>
      </c>
    </row>
    <row r="11" spans="3:7" x14ac:dyDescent="0.3">
      <c r="C11" t="s">
        <v>7</v>
      </c>
      <c r="E11" t="s">
        <v>7</v>
      </c>
    </row>
    <row r="12" spans="3:7" x14ac:dyDescent="0.3">
      <c r="C12" t="s">
        <v>8</v>
      </c>
      <c r="D12">
        <v>10000000</v>
      </c>
      <c r="E12" s="1">
        <f>D12*F$3</f>
        <v>55932203.389830507</v>
      </c>
    </row>
    <row r="13" spans="3:7" x14ac:dyDescent="0.3">
      <c r="C13" t="s">
        <v>9</v>
      </c>
      <c r="D13">
        <v>1000000</v>
      </c>
      <c r="E13" s="1">
        <f t="shared" ref="E13:E14" si="1">D13*F$3</f>
        <v>5593220.3389830515</v>
      </c>
    </row>
    <row r="14" spans="3:7" x14ac:dyDescent="0.3">
      <c r="C14" t="s">
        <v>10</v>
      </c>
      <c r="D14">
        <v>100000</v>
      </c>
      <c r="E14" s="1">
        <f t="shared" si="1"/>
        <v>559322.03389830515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B56A4-508D-4406-A848-9DD8577E9CC8}">
  <dimension ref="A2:M18"/>
  <sheetViews>
    <sheetView workbookViewId="0">
      <selection activeCell="L19" sqref="L19"/>
    </sheetView>
  </sheetViews>
  <sheetFormatPr defaultRowHeight="16.5" x14ac:dyDescent="0.3"/>
  <sheetData>
    <row r="2" spans="1:13" x14ac:dyDescent="0.3">
      <c r="A2" t="s">
        <v>25</v>
      </c>
      <c r="B2" t="s">
        <v>26</v>
      </c>
      <c r="C2" t="s">
        <v>11</v>
      </c>
      <c r="D2">
        <v>1</v>
      </c>
      <c r="E2">
        <v>2</v>
      </c>
      <c r="F2">
        <v>3</v>
      </c>
      <c r="G2">
        <v>4</v>
      </c>
      <c r="H2">
        <v>5</v>
      </c>
      <c r="I2">
        <v>6</v>
      </c>
      <c r="J2">
        <v>7</v>
      </c>
      <c r="K2">
        <v>8</v>
      </c>
      <c r="L2">
        <v>9</v>
      </c>
      <c r="M2">
        <v>10</v>
      </c>
    </row>
    <row r="3" spans="1:13" x14ac:dyDescent="0.3">
      <c r="C3" t="s">
        <v>12</v>
      </c>
      <c r="D3">
        <v>71.494900000000001</v>
      </c>
      <c r="E3">
        <v>62.919800000000002</v>
      </c>
      <c r="F3">
        <v>53.798000000000002</v>
      </c>
      <c r="G3">
        <v>42.49</v>
      </c>
      <c r="H3">
        <v>30.285</v>
      </c>
      <c r="I3">
        <v>26.954999999999998</v>
      </c>
      <c r="J3">
        <v>18.420000000000002</v>
      </c>
      <c r="K3">
        <v>8.89</v>
      </c>
      <c r="L3">
        <v>2.92</v>
      </c>
      <c r="M3">
        <v>1.9</v>
      </c>
    </row>
    <row r="4" spans="1:13" x14ac:dyDescent="0.3">
      <c r="C4" t="s">
        <v>13</v>
      </c>
      <c r="D4">
        <v>22</v>
      </c>
      <c r="E4">
        <v>26</v>
      </c>
      <c r="F4">
        <v>30</v>
      </c>
      <c r="G4">
        <v>33</v>
      </c>
      <c r="H4">
        <v>35</v>
      </c>
      <c r="I4">
        <v>25</v>
      </c>
      <c r="J4">
        <v>20</v>
      </c>
      <c r="K4">
        <v>15</v>
      </c>
      <c r="L4">
        <v>5</v>
      </c>
      <c r="M4">
        <v>4</v>
      </c>
    </row>
    <row r="5" spans="1:13" x14ac:dyDescent="0.3">
      <c r="C5" t="s">
        <v>14</v>
      </c>
      <c r="D5">
        <v>6</v>
      </c>
      <c r="E5">
        <v>9</v>
      </c>
      <c r="F5">
        <v>11</v>
      </c>
      <c r="G5">
        <v>14</v>
      </c>
      <c r="H5">
        <v>19</v>
      </c>
      <c r="I5">
        <v>25</v>
      </c>
      <c r="J5">
        <v>35</v>
      </c>
      <c r="K5">
        <v>40</v>
      </c>
      <c r="L5">
        <v>50</v>
      </c>
      <c r="M5">
        <v>45</v>
      </c>
    </row>
    <row r="6" spans="1:13" x14ac:dyDescent="0.3">
      <c r="C6" t="s">
        <v>15</v>
      </c>
      <c r="D6">
        <v>0.5</v>
      </c>
      <c r="E6">
        <v>2</v>
      </c>
      <c r="F6">
        <v>5</v>
      </c>
      <c r="G6">
        <v>10</v>
      </c>
      <c r="H6">
        <v>15</v>
      </c>
      <c r="I6">
        <v>22</v>
      </c>
      <c r="J6">
        <v>25</v>
      </c>
      <c r="K6">
        <v>34</v>
      </c>
      <c r="L6">
        <v>39</v>
      </c>
      <c r="M6">
        <v>44</v>
      </c>
    </row>
    <row r="7" spans="1:13" x14ac:dyDescent="0.3">
      <c r="C7" t="s">
        <v>16</v>
      </c>
      <c r="D7">
        <v>5.0000000000000001E-3</v>
      </c>
      <c r="E7">
        <v>0.08</v>
      </c>
      <c r="F7">
        <v>0.2</v>
      </c>
      <c r="G7">
        <v>0.5</v>
      </c>
      <c r="H7">
        <v>0.7</v>
      </c>
      <c r="I7">
        <v>1.02</v>
      </c>
      <c r="J7">
        <v>1.54</v>
      </c>
      <c r="K7">
        <v>2.0499999999999998</v>
      </c>
      <c r="L7">
        <v>3</v>
      </c>
      <c r="M7">
        <v>5</v>
      </c>
    </row>
    <row r="8" spans="1:13" x14ac:dyDescent="0.3">
      <c r="C8" t="s">
        <v>17</v>
      </c>
      <c r="D8">
        <v>1E-4</v>
      </c>
      <c r="E8">
        <v>2.0000000000000001E-4</v>
      </c>
      <c r="F8">
        <v>2E-3</v>
      </c>
      <c r="G8">
        <v>0.01</v>
      </c>
      <c r="H8">
        <v>1.4999999999999999E-2</v>
      </c>
      <c r="I8">
        <v>2.5000000000000001E-2</v>
      </c>
      <c r="J8">
        <v>0.04</v>
      </c>
      <c r="K8">
        <v>0.06</v>
      </c>
      <c r="L8">
        <v>0.08</v>
      </c>
      <c r="M8">
        <v>0.1</v>
      </c>
    </row>
    <row r="9" spans="1:13" x14ac:dyDescent="0.3">
      <c r="D9">
        <f>SUM(D3:D8)</f>
        <v>100</v>
      </c>
      <c r="E9">
        <f t="shared" ref="E9:M9" si="0">SUM(E3:E8)</f>
        <v>100.00000000000001</v>
      </c>
      <c r="F9">
        <f t="shared" si="0"/>
        <v>100</v>
      </c>
      <c r="G9">
        <f t="shared" si="0"/>
        <v>100.00000000000001</v>
      </c>
      <c r="H9">
        <f t="shared" si="0"/>
        <v>100</v>
      </c>
      <c r="I9">
        <f t="shared" si="0"/>
        <v>100</v>
      </c>
      <c r="J9">
        <f t="shared" si="0"/>
        <v>100.00000000000001</v>
      </c>
      <c r="K9">
        <f t="shared" si="0"/>
        <v>100</v>
      </c>
      <c r="L9">
        <f t="shared" si="0"/>
        <v>100</v>
      </c>
      <c r="M9">
        <f t="shared" si="0"/>
        <v>100</v>
      </c>
    </row>
    <row r="11" spans="1:13" x14ac:dyDescent="0.3">
      <c r="A11" t="s">
        <v>25</v>
      </c>
      <c r="B11" t="s">
        <v>27</v>
      </c>
      <c r="C11" t="s">
        <v>18</v>
      </c>
      <c r="D11">
        <v>68.58</v>
      </c>
      <c r="E11">
        <v>54.2</v>
      </c>
      <c r="F11">
        <v>33.1</v>
      </c>
      <c r="G11">
        <v>10.56</v>
      </c>
      <c r="H11">
        <v>7.2</v>
      </c>
      <c r="I11">
        <v>5.08</v>
      </c>
      <c r="J11">
        <v>4.41</v>
      </c>
      <c r="K11">
        <v>2.68</v>
      </c>
      <c r="L11">
        <v>0.11</v>
      </c>
      <c r="M11">
        <v>0.01</v>
      </c>
    </row>
    <row r="12" spans="1:13" x14ac:dyDescent="0.3">
      <c r="C12" t="s">
        <v>19</v>
      </c>
      <c r="D12">
        <v>25.5</v>
      </c>
      <c r="E12">
        <v>32.799999999999997</v>
      </c>
      <c r="F12">
        <v>43.5</v>
      </c>
      <c r="G12">
        <v>55.84</v>
      </c>
      <c r="H12">
        <v>45</v>
      </c>
      <c r="I12">
        <v>31.2</v>
      </c>
      <c r="J12">
        <v>21</v>
      </c>
      <c r="K12">
        <v>18</v>
      </c>
      <c r="L12">
        <v>4.2</v>
      </c>
      <c r="M12">
        <v>0.5</v>
      </c>
    </row>
    <row r="13" spans="1:13" x14ac:dyDescent="0.3">
      <c r="C13" t="s">
        <v>20</v>
      </c>
      <c r="D13">
        <v>5.4</v>
      </c>
      <c r="E13">
        <v>11.2</v>
      </c>
      <c r="F13">
        <v>18.399999999999999</v>
      </c>
      <c r="G13">
        <v>23.5</v>
      </c>
      <c r="H13">
        <v>28.5</v>
      </c>
      <c r="I13">
        <v>40.049999999999997</v>
      </c>
      <c r="J13">
        <v>36.5</v>
      </c>
      <c r="K13">
        <v>29</v>
      </c>
      <c r="L13">
        <v>18</v>
      </c>
      <c r="M13">
        <v>9.49</v>
      </c>
    </row>
    <row r="14" spans="1:13" x14ac:dyDescent="0.3">
      <c r="C14" t="s">
        <v>21</v>
      </c>
      <c r="D14">
        <v>0.51490000000000002</v>
      </c>
      <c r="E14">
        <v>1.7197</v>
      </c>
      <c r="F14">
        <v>4.7981999999999996</v>
      </c>
      <c r="G14">
        <v>9.59</v>
      </c>
      <c r="H14">
        <v>18.574999999999999</v>
      </c>
      <c r="I14">
        <v>22.617999999999999</v>
      </c>
      <c r="J14">
        <v>36.5</v>
      </c>
      <c r="K14">
        <v>48.2</v>
      </c>
      <c r="L14">
        <v>73.569999999999993</v>
      </c>
      <c r="M14">
        <v>82.85</v>
      </c>
    </row>
    <row r="15" spans="1:13" x14ac:dyDescent="0.3">
      <c r="C15" t="s">
        <v>22</v>
      </c>
      <c r="D15">
        <v>5.0000000000000001E-3</v>
      </c>
      <c r="E15">
        <v>0.08</v>
      </c>
      <c r="F15">
        <v>0.2</v>
      </c>
      <c r="G15">
        <v>0.5</v>
      </c>
      <c r="H15">
        <v>0.7</v>
      </c>
      <c r="I15">
        <v>1.02</v>
      </c>
      <c r="J15">
        <v>1.54</v>
      </c>
      <c r="K15">
        <v>2.0499999999999998</v>
      </c>
      <c r="L15">
        <v>4.0199999999999996</v>
      </c>
      <c r="M15">
        <v>7</v>
      </c>
    </row>
    <row r="16" spans="1:13" x14ac:dyDescent="0.3">
      <c r="C16" t="s">
        <v>23</v>
      </c>
      <c r="D16">
        <v>1E-4</v>
      </c>
      <c r="E16">
        <v>2.9999999999999997E-4</v>
      </c>
      <c r="F16">
        <v>1.8E-3</v>
      </c>
      <c r="G16">
        <v>0.01</v>
      </c>
      <c r="H16">
        <v>2.5000000000000001E-2</v>
      </c>
      <c r="I16">
        <v>3.2000000000000001E-2</v>
      </c>
      <c r="J16">
        <v>0.05</v>
      </c>
      <c r="K16">
        <v>7.0000000000000007E-2</v>
      </c>
      <c r="L16">
        <v>0.1</v>
      </c>
      <c r="M16">
        <v>0.15</v>
      </c>
    </row>
    <row r="17" spans="3:13" x14ac:dyDescent="0.3">
      <c r="D17">
        <f>SUM(D11:D16)</f>
        <v>100</v>
      </c>
      <c r="E17">
        <f t="shared" ref="E17:M17" si="1">SUM(E11:E16)</f>
        <v>100</v>
      </c>
      <c r="F17">
        <f t="shared" si="1"/>
        <v>100</v>
      </c>
      <c r="G17">
        <f t="shared" si="1"/>
        <v>100.00000000000001</v>
      </c>
      <c r="H17">
        <f t="shared" si="1"/>
        <v>100.00000000000001</v>
      </c>
      <c r="I17">
        <f t="shared" si="1"/>
        <v>99.999999999999986</v>
      </c>
      <c r="J17">
        <f t="shared" si="1"/>
        <v>100</v>
      </c>
      <c r="K17">
        <f t="shared" si="1"/>
        <v>99.999999999999986</v>
      </c>
      <c r="L17">
        <f t="shared" si="1"/>
        <v>99.999999999999986</v>
      </c>
      <c r="M17">
        <f t="shared" si="1"/>
        <v>100</v>
      </c>
    </row>
    <row r="18" spans="3:13" x14ac:dyDescent="0.3">
      <c r="C18" t="s">
        <v>24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EA6FD-A35F-4D7C-9D72-44DAE61D9685}">
  <dimension ref="C3:G6"/>
  <sheetViews>
    <sheetView tabSelected="1" workbookViewId="0">
      <selection activeCell="C3" sqref="C3:G6"/>
    </sheetView>
  </sheetViews>
  <sheetFormatPr defaultRowHeight="16.5" x14ac:dyDescent="0.3"/>
  <sheetData>
    <row r="3" spans="3:7" x14ac:dyDescent="0.3">
      <c r="D3">
        <v>300</v>
      </c>
      <c r="E3">
        <v>350</v>
      </c>
      <c r="F3">
        <v>400</v>
      </c>
      <c r="G3">
        <v>450</v>
      </c>
    </row>
    <row r="4" spans="3:7" x14ac:dyDescent="0.3">
      <c r="D4" s="3">
        <v>1337</v>
      </c>
      <c r="E4" s="3">
        <v>717</v>
      </c>
      <c r="F4" s="3">
        <v>165</v>
      </c>
      <c r="G4" s="3">
        <v>65</v>
      </c>
    </row>
    <row r="5" spans="3:7" x14ac:dyDescent="0.3">
      <c r="C5">
        <v>22</v>
      </c>
      <c r="D5">
        <v>537</v>
      </c>
      <c r="E5">
        <v>320</v>
      </c>
      <c r="F5">
        <v>76</v>
      </c>
      <c r="G5">
        <v>18</v>
      </c>
    </row>
    <row r="6" spans="3:7" x14ac:dyDescent="0.3">
      <c r="C6">
        <v>23</v>
      </c>
      <c r="D6">
        <v>198</v>
      </c>
      <c r="E6">
        <v>146</v>
      </c>
      <c r="F6">
        <v>62</v>
      </c>
      <c r="G6">
        <v>43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Sheet1</vt:lpstr>
      <vt:lpstr>무기확율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정기 조</dc:creator>
  <cp:lastModifiedBy>정기 조</cp:lastModifiedBy>
  <dcterms:created xsi:type="dcterms:W3CDTF">2025-08-05T06:39:47Z</dcterms:created>
  <dcterms:modified xsi:type="dcterms:W3CDTF">2025-08-18T08:44:30Z</dcterms:modified>
</cp:coreProperties>
</file>