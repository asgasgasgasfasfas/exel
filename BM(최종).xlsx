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93CBA515-9E05-44A4-A13D-3D81FC95E0C8}" xr6:coauthVersionLast="47" xr6:coauthVersionMax="47" xr10:uidLastSave="{00000000-0000-0000-0000-000000000000}"/>
  <bookViews>
    <workbookView xWindow="0" yWindow="0" windowWidth="19200" windowHeight="20880" activeTab="2" xr2:uid="{392C83F7-62C7-494A-8A61-050AF5CF3C50}"/>
  </bookViews>
  <sheets>
    <sheet name="재화 기준" sheetId="2" r:id="rId1"/>
    <sheet name="상품 구성" sheetId="1" r:id="rId2"/>
    <sheet name="돌발 상품" sheetId="3" r:id="rId3"/>
    <sheet name="Sheet3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7" i="3" l="1"/>
  <c r="G108" i="3"/>
  <c r="G109" i="3"/>
  <c r="G110" i="3"/>
  <c r="G111" i="3"/>
  <c r="G112" i="3"/>
  <c r="G113" i="3"/>
  <c r="G114" i="3"/>
  <c r="G115" i="3"/>
  <c r="G116" i="3"/>
  <c r="G117" i="3"/>
  <c r="G118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P333" i="3"/>
  <c r="T333" i="3"/>
  <c r="P334" i="3"/>
  <c r="T334" i="3"/>
  <c r="P335" i="3"/>
  <c r="T335" i="3"/>
  <c r="P336" i="3"/>
  <c r="T336" i="3"/>
  <c r="P337" i="3"/>
  <c r="T337" i="3"/>
  <c r="P338" i="3"/>
  <c r="T338" i="3"/>
  <c r="P339" i="3"/>
  <c r="T339" i="3"/>
  <c r="P340" i="3"/>
  <c r="T340" i="3"/>
  <c r="P341" i="3"/>
  <c r="T341" i="3"/>
  <c r="P342" i="3"/>
  <c r="T342" i="3"/>
  <c r="P343" i="3"/>
  <c r="T343" i="3"/>
  <c r="P344" i="3"/>
  <c r="T344" i="3"/>
  <c r="P345" i="3"/>
  <c r="T345" i="3"/>
  <c r="P346" i="3"/>
  <c r="T346" i="3"/>
  <c r="P347" i="3"/>
  <c r="T347" i="3"/>
  <c r="P348" i="3"/>
  <c r="T348" i="3"/>
  <c r="P349" i="3"/>
  <c r="T349" i="3"/>
  <c r="P350" i="3"/>
  <c r="T350" i="3"/>
  <c r="P351" i="3"/>
  <c r="T351" i="3"/>
  <c r="P352" i="3"/>
  <c r="T352" i="3"/>
  <c r="P353" i="3"/>
  <c r="T353" i="3"/>
  <c r="P354" i="3"/>
  <c r="T354" i="3"/>
  <c r="P355" i="3"/>
  <c r="T355" i="3"/>
  <c r="P356" i="3"/>
  <c r="T356" i="3"/>
  <c r="P357" i="3"/>
  <c r="T357" i="3"/>
  <c r="P358" i="3"/>
  <c r="T358" i="3"/>
  <c r="P359" i="3"/>
  <c r="T359" i="3"/>
  <c r="P360" i="3"/>
  <c r="T360" i="3"/>
  <c r="P361" i="3"/>
  <c r="T361" i="3"/>
  <c r="H526" i="3" l="1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25" i="3"/>
  <c r="F505" i="3"/>
  <c r="H505" i="3" s="1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05" i="3"/>
  <c r="F506" i="3"/>
  <c r="H506" i="3" s="1"/>
  <c r="F507" i="3"/>
  <c r="H507" i="3" s="1"/>
  <c r="F508" i="3"/>
  <c r="H508" i="3" s="1"/>
  <c r="F509" i="3"/>
  <c r="H509" i="3" s="1"/>
  <c r="F510" i="3"/>
  <c r="H510" i="3" s="1"/>
  <c r="F511" i="3"/>
  <c r="H511" i="3" s="1"/>
  <c r="F512" i="3"/>
  <c r="H512" i="3" s="1"/>
  <c r="F513" i="3"/>
  <c r="H513" i="3" s="1"/>
  <c r="H514" i="3"/>
  <c r="F515" i="3"/>
  <c r="H515" i="3" s="1"/>
  <c r="F516" i="3"/>
  <c r="H516" i="3" s="1"/>
  <c r="F517" i="3"/>
  <c r="H517" i="3" s="1"/>
  <c r="F518" i="3"/>
  <c r="H518" i="3" s="1"/>
  <c r="F519" i="3"/>
  <c r="H519" i="3" s="1"/>
  <c r="F520" i="3"/>
  <c r="H520" i="3" s="1"/>
  <c r="F521" i="3"/>
  <c r="H521" i="3" s="1"/>
  <c r="F522" i="3"/>
  <c r="H522" i="3" s="1"/>
  <c r="H494" i="3"/>
  <c r="H495" i="3"/>
  <c r="H496" i="3"/>
  <c r="H497" i="3"/>
  <c r="H498" i="3"/>
  <c r="H499" i="3"/>
  <c r="H500" i="3"/>
  <c r="H501" i="3"/>
  <c r="H502" i="3"/>
  <c r="H493" i="3"/>
  <c r="G493" i="3"/>
  <c r="G502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61" i="3"/>
  <c r="H485" i="3"/>
  <c r="H486" i="3"/>
  <c r="H487" i="3"/>
  <c r="H488" i="3"/>
  <c r="H489" i="3"/>
  <c r="H490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K474" i="3" s="1"/>
  <c r="H475" i="3"/>
  <c r="H476" i="3"/>
  <c r="H477" i="3"/>
  <c r="H478" i="3"/>
  <c r="H479" i="3"/>
  <c r="H480" i="3"/>
  <c r="H481" i="3"/>
  <c r="H482" i="3"/>
  <c r="H483" i="3"/>
  <c r="H484" i="3"/>
  <c r="H461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29" i="3"/>
  <c r="H456" i="3"/>
  <c r="H457" i="3"/>
  <c r="H458" i="3"/>
  <c r="H451" i="3"/>
  <c r="H452" i="3"/>
  <c r="H453" i="3"/>
  <c r="H454" i="3"/>
  <c r="H455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29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397" i="3"/>
  <c r="H425" i="3"/>
  <c r="H426" i="3"/>
  <c r="H420" i="3"/>
  <c r="H421" i="3"/>
  <c r="H422" i="3"/>
  <c r="H423" i="3"/>
  <c r="H424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397" i="3"/>
  <c r="G394" i="3"/>
  <c r="H394" i="3"/>
  <c r="G388" i="3"/>
  <c r="H388" i="3"/>
  <c r="G389" i="3"/>
  <c r="H389" i="3"/>
  <c r="G390" i="3"/>
  <c r="H390" i="3"/>
  <c r="G391" i="3"/>
  <c r="H391" i="3"/>
  <c r="G392" i="3"/>
  <c r="H392" i="3"/>
  <c r="G393" i="3"/>
  <c r="H393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72" i="3"/>
  <c r="H372" i="3"/>
  <c r="G373" i="3"/>
  <c r="H373" i="3"/>
  <c r="G374" i="3"/>
  <c r="H374" i="3"/>
  <c r="G375" i="3"/>
  <c r="H375" i="3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H387" i="3"/>
  <c r="H365" i="3"/>
  <c r="G365" i="3"/>
  <c r="G362" i="3"/>
  <c r="H362" i="3"/>
  <c r="G334" i="3"/>
  <c r="H334" i="3"/>
  <c r="G335" i="3"/>
  <c r="H335" i="3"/>
  <c r="G336" i="3"/>
  <c r="H336" i="3"/>
  <c r="G337" i="3"/>
  <c r="H337" i="3"/>
  <c r="G338" i="3"/>
  <c r="H338" i="3"/>
  <c r="G339" i="3"/>
  <c r="H339" i="3"/>
  <c r="G340" i="3"/>
  <c r="H340" i="3"/>
  <c r="G341" i="3"/>
  <c r="H341" i="3"/>
  <c r="G342" i="3"/>
  <c r="H342" i="3"/>
  <c r="G343" i="3"/>
  <c r="H343" i="3"/>
  <c r="G344" i="3"/>
  <c r="H344" i="3"/>
  <c r="G345" i="3"/>
  <c r="H345" i="3"/>
  <c r="G346" i="3"/>
  <c r="H346" i="3"/>
  <c r="G347" i="3"/>
  <c r="H347" i="3"/>
  <c r="G348" i="3"/>
  <c r="H348" i="3"/>
  <c r="G349" i="3"/>
  <c r="H349" i="3"/>
  <c r="G350" i="3"/>
  <c r="H350" i="3"/>
  <c r="G351" i="3"/>
  <c r="H351" i="3"/>
  <c r="G352" i="3"/>
  <c r="H352" i="3"/>
  <c r="G353" i="3"/>
  <c r="H353" i="3"/>
  <c r="G354" i="3"/>
  <c r="H354" i="3"/>
  <c r="G355" i="3"/>
  <c r="H355" i="3"/>
  <c r="G356" i="3"/>
  <c r="H356" i="3"/>
  <c r="G357" i="3"/>
  <c r="H357" i="3"/>
  <c r="G358" i="3"/>
  <c r="H358" i="3"/>
  <c r="G359" i="3"/>
  <c r="H359" i="3"/>
  <c r="G360" i="3"/>
  <c r="H360" i="3"/>
  <c r="G361" i="3"/>
  <c r="H361" i="3"/>
  <c r="G333" i="3"/>
  <c r="H333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H330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11" i="3"/>
  <c r="G311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289" i="3"/>
  <c r="H305" i="3"/>
  <c r="H306" i="3"/>
  <c r="H307" i="3"/>
  <c r="H308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28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H264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49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17" i="3"/>
  <c r="H243" i="3"/>
  <c r="H244" i="3"/>
  <c r="H245" i="3"/>
  <c r="H246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21" i="3"/>
  <c r="H116" i="3"/>
  <c r="H117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98" i="3"/>
  <c r="H98" i="3"/>
  <c r="G99" i="3"/>
  <c r="H99" i="3"/>
  <c r="G100" i="3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H107" i="3"/>
  <c r="H108" i="3"/>
  <c r="H109" i="3"/>
  <c r="H110" i="3"/>
  <c r="H111" i="3"/>
  <c r="H112" i="3"/>
  <c r="H113" i="3"/>
  <c r="H114" i="3"/>
  <c r="H115" i="3"/>
  <c r="H89" i="3"/>
  <c r="G89" i="3"/>
  <c r="G84" i="3"/>
  <c r="H84" i="3"/>
  <c r="G85" i="3"/>
  <c r="H85" i="3"/>
  <c r="G86" i="3"/>
  <c r="H86" i="3"/>
  <c r="G80" i="3"/>
  <c r="H80" i="3"/>
  <c r="G81" i="3"/>
  <c r="H81" i="3"/>
  <c r="G82" i="3"/>
  <c r="H82" i="3"/>
  <c r="G83" i="3"/>
  <c r="H83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7" i="3"/>
  <c r="G57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P215" i="3"/>
  <c r="P216" i="3" s="1"/>
  <c r="P217" i="3" s="1"/>
  <c r="G501" i="3"/>
  <c r="G500" i="3"/>
  <c r="G499" i="3"/>
  <c r="G498" i="3"/>
  <c r="G497" i="3"/>
  <c r="G496" i="3"/>
  <c r="K496" i="3" s="1"/>
  <c r="G495" i="3"/>
  <c r="G494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H287" i="3" l="1"/>
  <c r="K291" i="3"/>
  <c r="K500" i="3"/>
  <c r="J393" i="3"/>
  <c r="J157" i="3"/>
  <c r="K501" i="3"/>
  <c r="K344" i="3"/>
  <c r="L344" i="3" s="1"/>
  <c r="K249" i="3"/>
  <c r="L249" i="3" s="1"/>
  <c r="K244" i="3"/>
  <c r="L244" i="3" s="1"/>
  <c r="J253" i="3"/>
  <c r="J401" i="3"/>
  <c r="K100" i="3"/>
  <c r="L100" i="3" s="1"/>
  <c r="J334" i="3"/>
  <c r="J388" i="3"/>
  <c r="J223" i="3"/>
  <c r="J251" i="3"/>
  <c r="K121" i="3"/>
  <c r="J263" i="3"/>
  <c r="K59" i="3"/>
  <c r="L59" i="3" s="1"/>
  <c r="J222" i="3"/>
  <c r="K426" i="3"/>
  <c r="L426" i="3" s="1"/>
  <c r="K531" i="3"/>
  <c r="L531" i="3" s="1"/>
  <c r="K525" i="3"/>
  <c r="L525" i="3" s="1"/>
  <c r="K420" i="3"/>
  <c r="L420" i="3" s="1"/>
  <c r="J302" i="3"/>
  <c r="J336" i="3"/>
  <c r="J426" i="3"/>
  <c r="J414" i="3"/>
  <c r="K402" i="3"/>
  <c r="L402" i="3" s="1"/>
  <c r="J478" i="3"/>
  <c r="J10" i="3"/>
  <c r="K61" i="3"/>
  <c r="K383" i="3"/>
  <c r="L383" i="3" s="1"/>
  <c r="J377" i="3"/>
  <c r="K393" i="3"/>
  <c r="L393" i="3" s="1"/>
  <c r="J530" i="3"/>
  <c r="K494" i="3"/>
  <c r="L494" i="3" s="1"/>
  <c r="J80" i="3"/>
  <c r="K96" i="3"/>
  <c r="K423" i="3"/>
  <c r="L423" i="3" s="1"/>
  <c r="J553" i="3"/>
  <c r="J541" i="3"/>
  <c r="J529" i="3"/>
  <c r="J547" i="3"/>
  <c r="J455" i="3"/>
  <c r="J552" i="3"/>
  <c r="K540" i="3"/>
  <c r="L540" i="3" s="1"/>
  <c r="J528" i="3"/>
  <c r="J546" i="3"/>
  <c r="J95" i="3"/>
  <c r="J137" i="3"/>
  <c r="J325" i="3"/>
  <c r="J551" i="3"/>
  <c r="J539" i="3"/>
  <c r="J527" i="3"/>
  <c r="J545" i="3"/>
  <c r="J533" i="3"/>
  <c r="J550" i="3"/>
  <c r="J538" i="3"/>
  <c r="J526" i="3"/>
  <c r="J544" i="3"/>
  <c r="K267" i="3"/>
  <c r="L267" i="3" s="1"/>
  <c r="K286" i="3"/>
  <c r="L286" i="3" s="1"/>
  <c r="K455" i="3"/>
  <c r="L455" i="3" s="1"/>
  <c r="J448" i="3"/>
  <c r="K374" i="3"/>
  <c r="L374" i="3" s="1"/>
  <c r="J294" i="3"/>
  <c r="K180" i="3"/>
  <c r="L180" i="3" s="1"/>
  <c r="J486" i="3"/>
  <c r="K493" i="3"/>
  <c r="L493" i="3" s="1"/>
  <c r="J540" i="3"/>
  <c r="J20" i="3"/>
  <c r="J8" i="3"/>
  <c r="J430" i="3"/>
  <c r="K539" i="3"/>
  <c r="L539" i="3" s="1"/>
  <c r="K497" i="3"/>
  <c r="L497" i="3" s="1"/>
  <c r="K136" i="3"/>
  <c r="L136" i="3" s="1"/>
  <c r="K124" i="3"/>
  <c r="L124" i="3" s="1"/>
  <c r="J233" i="3"/>
  <c r="J85" i="3"/>
  <c r="K117" i="3"/>
  <c r="L117" i="3" s="1"/>
  <c r="K223" i="3"/>
  <c r="L223" i="3" s="1"/>
  <c r="J355" i="3"/>
  <c r="J381" i="3"/>
  <c r="J391" i="3"/>
  <c r="K303" i="3"/>
  <c r="L303" i="3" s="1"/>
  <c r="J115" i="3"/>
  <c r="J208" i="3"/>
  <c r="K334" i="3"/>
  <c r="L334" i="3" s="1"/>
  <c r="K388" i="3"/>
  <c r="L388" i="3" s="1"/>
  <c r="J329" i="3"/>
  <c r="K327" i="3"/>
  <c r="L327" i="3" s="1"/>
  <c r="J543" i="3"/>
  <c r="J255" i="3"/>
  <c r="K457" i="3"/>
  <c r="L457" i="3" s="1"/>
  <c r="K433" i="3"/>
  <c r="L433" i="3" s="1"/>
  <c r="K490" i="3"/>
  <c r="L490" i="3" s="1"/>
  <c r="K528" i="3"/>
  <c r="L528" i="3" s="1"/>
  <c r="J554" i="3"/>
  <c r="K542" i="3"/>
  <c r="L542" i="3" s="1"/>
  <c r="J495" i="3"/>
  <c r="K440" i="3"/>
  <c r="L440" i="3" s="1"/>
  <c r="J260" i="3"/>
  <c r="J488" i="3"/>
  <c r="K527" i="3"/>
  <c r="L527" i="3" s="1"/>
  <c r="K219" i="3"/>
  <c r="L219" i="3" s="1"/>
  <c r="K450" i="3"/>
  <c r="L450" i="3" s="1"/>
  <c r="K546" i="3"/>
  <c r="L546" i="3" s="1"/>
  <c r="J549" i="3"/>
  <c r="J537" i="3"/>
  <c r="J548" i="3"/>
  <c r="J536" i="3"/>
  <c r="J535" i="3"/>
  <c r="J534" i="3"/>
  <c r="J532" i="3"/>
  <c r="K536" i="3"/>
  <c r="L536" i="3" s="1"/>
  <c r="J531" i="3"/>
  <c r="K549" i="3"/>
  <c r="L549" i="3" s="1"/>
  <c r="K534" i="3"/>
  <c r="L534" i="3" s="1"/>
  <c r="K533" i="3"/>
  <c r="L533" i="3" s="1"/>
  <c r="K551" i="3"/>
  <c r="L551" i="3" s="1"/>
  <c r="K545" i="3"/>
  <c r="L545" i="3" s="1"/>
  <c r="K538" i="3"/>
  <c r="L538" i="3" s="1"/>
  <c r="K535" i="3"/>
  <c r="L535" i="3" s="1"/>
  <c r="K543" i="3"/>
  <c r="L543" i="3" s="1"/>
  <c r="J542" i="3"/>
  <c r="K541" i="3"/>
  <c r="L541" i="3" s="1"/>
  <c r="K552" i="3"/>
  <c r="L552" i="3" s="1"/>
  <c r="K548" i="3"/>
  <c r="L548" i="3" s="1"/>
  <c r="K537" i="3"/>
  <c r="L537" i="3" s="1"/>
  <c r="K530" i="3"/>
  <c r="L530" i="3" s="1"/>
  <c r="K554" i="3"/>
  <c r="L554" i="3" s="1"/>
  <c r="K544" i="3"/>
  <c r="L544" i="3" s="1"/>
  <c r="K553" i="3"/>
  <c r="L553" i="3" s="1"/>
  <c r="K550" i="3"/>
  <c r="L550" i="3" s="1"/>
  <c r="K547" i="3"/>
  <c r="L547" i="3" s="1"/>
  <c r="K532" i="3"/>
  <c r="L532" i="3" s="1"/>
  <c r="K529" i="3"/>
  <c r="L529" i="3" s="1"/>
  <c r="K526" i="3"/>
  <c r="L526" i="3" s="1"/>
  <c r="J525" i="3"/>
  <c r="K337" i="3"/>
  <c r="L337" i="3" s="1"/>
  <c r="K467" i="3"/>
  <c r="L467" i="3" s="1"/>
  <c r="J408" i="3"/>
  <c r="J477" i="3"/>
  <c r="K465" i="3"/>
  <c r="L465" i="3" s="1"/>
  <c r="K335" i="3"/>
  <c r="L335" i="3" s="1"/>
  <c r="K418" i="3"/>
  <c r="L418" i="3" s="1"/>
  <c r="K475" i="3"/>
  <c r="L475" i="3" s="1"/>
  <c r="J59" i="3"/>
  <c r="K273" i="3"/>
  <c r="L273" i="3" s="1"/>
  <c r="J328" i="3"/>
  <c r="J345" i="3"/>
  <c r="K324" i="3"/>
  <c r="L324" i="3" s="1"/>
  <c r="J436" i="3"/>
  <c r="J480" i="3"/>
  <c r="J344" i="3"/>
  <c r="J338" i="3"/>
  <c r="J435" i="3"/>
  <c r="K505" i="3"/>
  <c r="L505" i="3"/>
  <c r="M505" i="3" s="1"/>
  <c r="K511" i="3"/>
  <c r="L511" i="3"/>
  <c r="M511" i="3" s="1"/>
  <c r="L522" i="3"/>
  <c r="M522" i="3" s="1"/>
  <c r="K522" i="3"/>
  <c r="L510" i="3"/>
  <c r="M510" i="3" s="1"/>
  <c r="K510" i="3"/>
  <c r="L520" i="3"/>
  <c r="M520" i="3" s="1"/>
  <c r="K520" i="3"/>
  <c r="L508" i="3"/>
  <c r="M508" i="3" s="1"/>
  <c r="K508" i="3"/>
  <c r="L519" i="3"/>
  <c r="M519" i="3" s="1"/>
  <c r="K519" i="3"/>
  <c r="L507" i="3"/>
  <c r="M507" i="3" s="1"/>
  <c r="K507" i="3"/>
  <c r="L518" i="3"/>
  <c r="M518" i="3" s="1"/>
  <c r="K518" i="3"/>
  <c r="L506" i="3"/>
  <c r="M506" i="3" s="1"/>
  <c r="K506" i="3"/>
  <c r="L509" i="3"/>
  <c r="M509" i="3" s="1"/>
  <c r="K509" i="3"/>
  <c r="L516" i="3"/>
  <c r="M516" i="3" s="1"/>
  <c r="K516" i="3"/>
  <c r="L515" i="3"/>
  <c r="M515" i="3" s="1"/>
  <c r="K515" i="3"/>
  <c r="L521" i="3"/>
  <c r="M521" i="3" s="1"/>
  <c r="K521" i="3"/>
  <c r="L514" i="3"/>
  <c r="M514" i="3" s="1"/>
  <c r="K514" i="3"/>
  <c r="L513" i="3"/>
  <c r="M513" i="3" s="1"/>
  <c r="K513" i="3"/>
  <c r="L512" i="3"/>
  <c r="M512" i="3" s="1"/>
  <c r="K512" i="3"/>
  <c r="L517" i="3"/>
  <c r="M517" i="3" s="1"/>
  <c r="K517" i="3"/>
  <c r="J387" i="3"/>
  <c r="K369" i="3"/>
  <c r="L369" i="3" s="1"/>
  <c r="K295" i="3"/>
  <c r="L295" i="3" s="1"/>
  <c r="J357" i="3"/>
  <c r="K498" i="3"/>
  <c r="L498" i="3" s="1"/>
  <c r="K210" i="3"/>
  <c r="L210" i="3" s="1"/>
  <c r="K306" i="3"/>
  <c r="L306" i="3" s="1"/>
  <c r="K391" i="3"/>
  <c r="L391" i="3" s="1"/>
  <c r="J464" i="3"/>
  <c r="K480" i="3"/>
  <c r="L480" i="3" s="1"/>
  <c r="J502" i="3"/>
  <c r="J499" i="3"/>
  <c r="K231" i="3"/>
  <c r="L231" i="3" s="1"/>
  <c r="J280" i="3"/>
  <c r="K269" i="3"/>
  <c r="L269" i="3" s="1"/>
  <c r="L474" i="3"/>
  <c r="J463" i="3"/>
  <c r="J385" i="3"/>
  <c r="J379" i="3"/>
  <c r="J367" i="3"/>
  <c r="J490" i="3"/>
  <c r="K345" i="3"/>
  <c r="L345" i="3" s="1"/>
  <c r="K339" i="3"/>
  <c r="L339" i="3" s="1"/>
  <c r="J372" i="3"/>
  <c r="J219" i="3"/>
  <c r="J246" i="3"/>
  <c r="K240" i="3"/>
  <c r="L240" i="3" s="1"/>
  <c r="K356" i="3"/>
  <c r="L356" i="3" s="1"/>
  <c r="J400" i="3"/>
  <c r="K416" i="3"/>
  <c r="L416" i="3" s="1"/>
  <c r="J404" i="3"/>
  <c r="K477" i="3"/>
  <c r="L477" i="3" s="1"/>
  <c r="K403" i="3"/>
  <c r="L403" i="3" s="1"/>
  <c r="K488" i="3"/>
  <c r="L488" i="3" s="1"/>
  <c r="J473" i="3"/>
  <c r="K285" i="3"/>
  <c r="L285" i="3" s="1"/>
  <c r="L291" i="3"/>
  <c r="K320" i="3"/>
  <c r="L320" i="3" s="1"/>
  <c r="J361" i="3"/>
  <c r="K365" i="3"/>
  <c r="L365" i="3" s="1"/>
  <c r="J376" i="3"/>
  <c r="J370" i="3"/>
  <c r="J398" i="3"/>
  <c r="J434" i="3"/>
  <c r="K302" i="3"/>
  <c r="L302" i="3" s="1"/>
  <c r="K290" i="3"/>
  <c r="L290" i="3" s="1"/>
  <c r="K330" i="3"/>
  <c r="L330" i="3" s="1"/>
  <c r="J354" i="3"/>
  <c r="J348" i="3"/>
  <c r="K451" i="3"/>
  <c r="L451" i="3" s="1"/>
  <c r="J440" i="3"/>
  <c r="J476" i="3"/>
  <c r="K466" i="3"/>
  <c r="L466" i="3" s="1"/>
  <c r="K483" i="3"/>
  <c r="L483" i="3" s="1"/>
  <c r="J471" i="3"/>
  <c r="K283" i="3"/>
  <c r="L283" i="3" s="1"/>
  <c r="J458" i="3"/>
  <c r="K486" i="3"/>
  <c r="L486" i="3" s="1"/>
  <c r="K482" i="3"/>
  <c r="L482" i="3" s="1"/>
  <c r="K502" i="3"/>
  <c r="L502" i="3" s="1"/>
  <c r="K473" i="3"/>
  <c r="L473" i="3" s="1"/>
  <c r="J472" i="3"/>
  <c r="K468" i="3"/>
  <c r="L468" i="3" s="1"/>
  <c r="J467" i="3"/>
  <c r="J483" i="3"/>
  <c r="K462" i="3"/>
  <c r="L462" i="3" s="1"/>
  <c r="J487" i="3"/>
  <c r="J484" i="3"/>
  <c r="J479" i="3"/>
  <c r="J461" i="3"/>
  <c r="J475" i="3"/>
  <c r="K478" i="3"/>
  <c r="L478" i="3" s="1"/>
  <c r="J470" i="3"/>
  <c r="J465" i="3"/>
  <c r="J485" i="3"/>
  <c r="J482" i="3"/>
  <c r="J474" i="3"/>
  <c r="J489" i="3"/>
  <c r="J462" i="3"/>
  <c r="J466" i="3"/>
  <c r="K489" i="3"/>
  <c r="L489" i="3" s="1"/>
  <c r="K472" i="3"/>
  <c r="L472" i="3" s="1"/>
  <c r="J468" i="3"/>
  <c r="K484" i="3"/>
  <c r="L484" i="3" s="1"/>
  <c r="K471" i="3"/>
  <c r="L471" i="3" s="1"/>
  <c r="K463" i="3"/>
  <c r="L463" i="3" s="1"/>
  <c r="K479" i="3"/>
  <c r="L479" i="3" s="1"/>
  <c r="K470" i="3"/>
  <c r="L470" i="3" s="1"/>
  <c r="K476" i="3"/>
  <c r="L476" i="3" s="1"/>
  <c r="K464" i="3"/>
  <c r="L464" i="3" s="1"/>
  <c r="K487" i="3"/>
  <c r="L487" i="3" s="1"/>
  <c r="K461" i="3"/>
  <c r="L461" i="3" s="1"/>
  <c r="J481" i="3"/>
  <c r="J469" i="3"/>
  <c r="K485" i="3"/>
  <c r="L485" i="3" s="1"/>
  <c r="K481" i="3"/>
  <c r="L481" i="3" s="1"/>
  <c r="K469" i="3"/>
  <c r="L469" i="3" s="1"/>
  <c r="J438" i="3"/>
  <c r="J446" i="3"/>
  <c r="K435" i="3"/>
  <c r="L435" i="3" s="1"/>
  <c r="J457" i="3"/>
  <c r="J429" i="3"/>
  <c r="K445" i="3"/>
  <c r="L445" i="3" s="1"/>
  <c r="J443" i="3"/>
  <c r="J437" i="3"/>
  <c r="K431" i="3"/>
  <c r="L431" i="3" s="1"/>
  <c r="K452" i="3"/>
  <c r="L452" i="3" s="1"/>
  <c r="J450" i="3"/>
  <c r="J444" i="3"/>
  <c r="J439" i="3"/>
  <c r="J442" i="3"/>
  <c r="J433" i="3"/>
  <c r="J454" i="3"/>
  <c r="J447" i="3"/>
  <c r="J441" i="3"/>
  <c r="K436" i="3"/>
  <c r="L436" i="3" s="1"/>
  <c r="J456" i="3"/>
  <c r="J432" i="3"/>
  <c r="J453" i="3"/>
  <c r="K446" i="3"/>
  <c r="L446" i="3" s="1"/>
  <c r="K442" i="3"/>
  <c r="L442" i="3" s="1"/>
  <c r="J451" i="3"/>
  <c r="K437" i="3"/>
  <c r="L437" i="3" s="1"/>
  <c r="J449" i="3"/>
  <c r="K448" i="3"/>
  <c r="L448" i="3" s="1"/>
  <c r="K443" i="3"/>
  <c r="L443" i="3" s="1"/>
  <c r="K447" i="3"/>
  <c r="L447" i="3" s="1"/>
  <c r="J431" i="3"/>
  <c r="K444" i="3"/>
  <c r="L444" i="3" s="1"/>
  <c r="K434" i="3"/>
  <c r="L434" i="3" s="1"/>
  <c r="J445" i="3"/>
  <c r="K430" i="3"/>
  <c r="L430" i="3" s="1"/>
  <c r="K454" i="3"/>
  <c r="L454" i="3" s="1"/>
  <c r="K458" i="3"/>
  <c r="L458" i="3" s="1"/>
  <c r="K453" i="3"/>
  <c r="L453" i="3" s="1"/>
  <c r="K439" i="3"/>
  <c r="L439" i="3" s="1"/>
  <c r="K432" i="3"/>
  <c r="L432" i="3" s="1"/>
  <c r="J452" i="3"/>
  <c r="K456" i="3"/>
  <c r="L456" i="3" s="1"/>
  <c r="K441" i="3"/>
  <c r="L441" i="3" s="1"/>
  <c r="K438" i="3"/>
  <c r="L438" i="3" s="1"/>
  <c r="K429" i="3"/>
  <c r="L429" i="3" s="1"/>
  <c r="K449" i="3"/>
  <c r="L449" i="3" s="1"/>
  <c r="J322" i="3"/>
  <c r="J380" i="3"/>
  <c r="J420" i="3"/>
  <c r="K401" i="3"/>
  <c r="L401" i="3" s="1"/>
  <c r="J196" i="3"/>
  <c r="K276" i="3"/>
  <c r="L276" i="3" s="1"/>
  <c r="K298" i="3"/>
  <c r="L298" i="3" s="1"/>
  <c r="J359" i="3"/>
  <c r="K384" i="3"/>
  <c r="L384" i="3" s="1"/>
  <c r="J418" i="3"/>
  <c r="K206" i="3"/>
  <c r="L206" i="3" s="1"/>
  <c r="J236" i="3"/>
  <c r="K274" i="3"/>
  <c r="L274" i="3" s="1"/>
  <c r="J308" i="3"/>
  <c r="J316" i="3"/>
  <c r="J419" i="3"/>
  <c r="J235" i="3"/>
  <c r="J256" i="3"/>
  <c r="K246" i="3"/>
  <c r="L246" i="3" s="1"/>
  <c r="J284" i="3"/>
  <c r="K358" i="3"/>
  <c r="L358" i="3" s="1"/>
  <c r="K352" i="3"/>
  <c r="L352" i="3" s="1"/>
  <c r="K346" i="3"/>
  <c r="L346" i="3" s="1"/>
  <c r="K351" i="3"/>
  <c r="L351" i="3" s="1"/>
  <c r="K414" i="3"/>
  <c r="L414" i="3" s="1"/>
  <c r="J99" i="3"/>
  <c r="J356" i="3"/>
  <c r="J340" i="3"/>
  <c r="K408" i="3"/>
  <c r="L408" i="3" s="1"/>
  <c r="J407" i="3"/>
  <c r="J406" i="3"/>
  <c r="J421" i="3"/>
  <c r="J403" i="3"/>
  <c r="J423" i="3"/>
  <c r="J409" i="3"/>
  <c r="K404" i="3"/>
  <c r="L404" i="3" s="1"/>
  <c r="J399" i="3"/>
  <c r="J424" i="3"/>
  <c r="J416" i="3"/>
  <c r="J405" i="3"/>
  <c r="J413" i="3"/>
  <c r="J412" i="3"/>
  <c r="J411" i="3"/>
  <c r="J425" i="3"/>
  <c r="J397" i="3"/>
  <c r="J415" i="3"/>
  <c r="J410" i="3"/>
  <c r="J422" i="3"/>
  <c r="K411" i="3"/>
  <c r="L411" i="3" s="1"/>
  <c r="J402" i="3"/>
  <c r="K398" i="3"/>
  <c r="L398" i="3" s="1"/>
  <c r="K421" i="3"/>
  <c r="L421" i="3" s="1"/>
  <c r="K419" i="3"/>
  <c r="L419" i="3" s="1"/>
  <c r="K407" i="3"/>
  <c r="L407" i="3" s="1"/>
  <c r="K410" i="3"/>
  <c r="L410" i="3" s="1"/>
  <c r="K425" i="3"/>
  <c r="L425" i="3" s="1"/>
  <c r="K413" i="3"/>
  <c r="L413" i="3" s="1"/>
  <c r="K424" i="3"/>
  <c r="L424" i="3" s="1"/>
  <c r="J417" i="3"/>
  <c r="K422" i="3"/>
  <c r="L422" i="3" s="1"/>
  <c r="K412" i="3"/>
  <c r="L412" i="3" s="1"/>
  <c r="K397" i="3"/>
  <c r="L397" i="3" s="1"/>
  <c r="K415" i="3"/>
  <c r="L415" i="3" s="1"/>
  <c r="K405" i="3"/>
  <c r="L405" i="3" s="1"/>
  <c r="K406" i="3"/>
  <c r="L406" i="3" s="1"/>
  <c r="K400" i="3"/>
  <c r="L400" i="3" s="1"/>
  <c r="K409" i="3"/>
  <c r="L409" i="3" s="1"/>
  <c r="K399" i="3"/>
  <c r="L399" i="3" s="1"/>
  <c r="K417" i="3"/>
  <c r="L417" i="3" s="1"/>
  <c r="K372" i="3"/>
  <c r="L372" i="3" s="1"/>
  <c r="J366" i="3"/>
  <c r="J384" i="3"/>
  <c r="J378" i="3"/>
  <c r="J390" i="3"/>
  <c r="J386" i="3"/>
  <c r="J375" i="3"/>
  <c r="J389" i="3"/>
  <c r="J392" i="3"/>
  <c r="J371" i="3"/>
  <c r="J365" i="3"/>
  <c r="J383" i="3"/>
  <c r="J374" i="3"/>
  <c r="J369" i="3"/>
  <c r="K377" i="3"/>
  <c r="L377" i="3" s="1"/>
  <c r="J394" i="3"/>
  <c r="J382" i="3"/>
  <c r="J373" i="3"/>
  <c r="J368" i="3"/>
  <c r="K375" i="3"/>
  <c r="L375" i="3" s="1"/>
  <c r="K378" i="3"/>
  <c r="L378" i="3" s="1"/>
  <c r="K387" i="3"/>
  <c r="L387" i="3" s="1"/>
  <c r="K381" i="3"/>
  <c r="L381" i="3" s="1"/>
  <c r="K385" i="3"/>
  <c r="L385" i="3" s="1"/>
  <c r="K394" i="3"/>
  <c r="L394" i="3" s="1"/>
  <c r="K379" i="3"/>
  <c r="L379" i="3" s="1"/>
  <c r="K366" i="3"/>
  <c r="L366" i="3" s="1"/>
  <c r="K380" i="3"/>
  <c r="L380" i="3" s="1"/>
  <c r="K373" i="3"/>
  <c r="L373" i="3" s="1"/>
  <c r="K376" i="3"/>
  <c r="L376" i="3" s="1"/>
  <c r="K368" i="3"/>
  <c r="L368" i="3" s="1"/>
  <c r="K390" i="3"/>
  <c r="L390" i="3" s="1"/>
  <c r="K386" i="3"/>
  <c r="L386" i="3" s="1"/>
  <c r="K367" i="3"/>
  <c r="L367" i="3" s="1"/>
  <c r="K392" i="3"/>
  <c r="L392" i="3" s="1"/>
  <c r="K389" i="3"/>
  <c r="L389" i="3" s="1"/>
  <c r="K371" i="3"/>
  <c r="L371" i="3" s="1"/>
  <c r="K382" i="3"/>
  <c r="L382" i="3" s="1"/>
  <c r="K370" i="3"/>
  <c r="L370" i="3" s="1"/>
  <c r="J341" i="3"/>
  <c r="J350" i="3"/>
  <c r="J335" i="3"/>
  <c r="J358" i="3"/>
  <c r="J342" i="3"/>
  <c r="K349" i="3"/>
  <c r="L349" i="3" s="1"/>
  <c r="J337" i="3"/>
  <c r="J333" i="3"/>
  <c r="K357" i="3"/>
  <c r="L357" i="3" s="1"/>
  <c r="J360" i="3"/>
  <c r="J339" i="3"/>
  <c r="J353" i="3"/>
  <c r="J347" i="3"/>
  <c r="J343" i="3"/>
  <c r="J352" i="3"/>
  <c r="J362" i="3"/>
  <c r="K361" i="3"/>
  <c r="L361" i="3" s="1"/>
  <c r="J346" i="3"/>
  <c r="K353" i="3"/>
  <c r="L353" i="3" s="1"/>
  <c r="K347" i="3"/>
  <c r="L347" i="3" s="1"/>
  <c r="K354" i="3"/>
  <c r="L354" i="3" s="1"/>
  <c r="K350" i="3"/>
  <c r="L350" i="3" s="1"/>
  <c r="K342" i="3"/>
  <c r="L342" i="3" s="1"/>
  <c r="K338" i="3"/>
  <c r="L338" i="3" s="1"/>
  <c r="K340" i="3"/>
  <c r="L340" i="3" s="1"/>
  <c r="J351" i="3"/>
  <c r="K333" i="3"/>
  <c r="L333" i="3" s="1"/>
  <c r="K348" i="3"/>
  <c r="L348" i="3" s="1"/>
  <c r="K355" i="3"/>
  <c r="L355" i="3" s="1"/>
  <c r="K341" i="3"/>
  <c r="L341" i="3" s="1"/>
  <c r="J349" i="3"/>
  <c r="K362" i="3"/>
  <c r="L362" i="3" s="1"/>
  <c r="K360" i="3"/>
  <c r="L360" i="3" s="1"/>
  <c r="K359" i="3"/>
  <c r="L359" i="3" s="1"/>
  <c r="K343" i="3"/>
  <c r="L343" i="3" s="1"/>
  <c r="K336" i="3"/>
  <c r="L336" i="3" s="1"/>
  <c r="J318" i="3"/>
  <c r="J323" i="3"/>
  <c r="J324" i="3"/>
  <c r="K313" i="3"/>
  <c r="L313" i="3" s="1"/>
  <c r="J320" i="3"/>
  <c r="J314" i="3"/>
  <c r="J312" i="3"/>
  <c r="K325" i="3"/>
  <c r="L325" i="3" s="1"/>
  <c r="K322" i="3"/>
  <c r="L322" i="3" s="1"/>
  <c r="J327" i="3"/>
  <c r="K329" i="3"/>
  <c r="L329" i="3" s="1"/>
  <c r="J315" i="3"/>
  <c r="K328" i="3"/>
  <c r="L328" i="3" s="1"/>
  <c r="K317" i="3"/>
  <c r="L317" i="3" s="1"/>
  <c r="J326" i="3"/>
  <c r="J330" i="3"/>
  <c r="J311" i="3"/>
  <c r="J321" i="3"/>
  <c r="K316" i="3"/>
  <c r="L316" i="3" s="1"/>
  <c r="J319" i="3"/>
  <c r="K311" i="3"/>
  <c r="L311" i="3" s="1"/>
  <c r="J317" i="3"/>
  <c r="J313" i="3"/>
  <c r="K315" i="3"/>
  <c r="L315" i="3" s="1"/>
  <c r="K318" i="3"/>
  <c r="L318" i="3" s="1"/>
  <c r="K312" i="3"/>
  <c r="L312" i="3" s="1"/>
  <c r="K321" i="3"/>
  <c r="L321" i="3" s="1"/>
  <c r="K323" i="3"/>
  <c r="L323" i="3" s="1"/>
  <c r="K326" i="3"/>
  <c r="L326" i="3" s="1"/>
  <c r="K314" i="3"/>
  <c r="L314" i="3" s="1"/>
  <c r="K319" i="3"/>
  <c r="L319" i="3" s="1"/>
  <c r="J299" i="3"/>
  <c r="K308" i="3"/>
  <c r="L308" i="3" s="1"/>
  <c r="J303" i="3"/>
  <c r="J292" i="3"/>
  <c r="J304" i="3"/>
  <c r="J296" i="3"/>
  <c r="J306" i="3"/>
  <c r="K301" i="3"/>
  <c r="L301" i="3" s="1"/>
  <c r="J307" i="3"/>
  <c r="J291" i="3"/>
  <c r="J305" i="3"/>
  <c r="K294" i="3"/>
  <c r="L294" i="3" s="1"/>
  <c r="J298" i="3"/>
  <c r="J293" i="3"/>
  <c r="J289" i="3"/>
  <c r="J300" i="3"/>
  <c r="J295" i="3"/>
  <c r="J290" i="3"/>
  <c r="J301" i="3"/>
  <c r="J297" i="3"/>
  <c r="K300" i="3"/>
  <c r="L300" i="3" s="1"/>
  <c r="K296" i="3"/>
  <c r="L296" i="3" s="1"/>
  <c r="K293" i="3"/>
  <c r="L293" i="3" s="1"/>
  <c r="K299" i="3"/>
  <c r="L299" i="3" s="1"/>
  <c r="K292" i="3"/>
  <c r="L292" i="3" s="1"/>
  <c r="K304" i="3"/>
  <c r="L304" i="3" s="1"/>
  <c r="K307" i="3"/>
  <c r="L307" i="3" s="1"/>
  <c r="K289" i="3"/>
  <c r="L289" i="3" s="1"/>
  <c r="K305" i="3"/>
  <c r="L305" i="3" s="1"/>
  <c r="K297" i="3"/>
  <c r="L297" i="3" s="1"/>
  <c r="J277" i="3"/>
  <c r="J269" i="3"/>
  <c r="K278" i="3"/>
  <c r="L278" i="3" s="1"/>
  <c r="J285" i="3"/>
  <c r="J273" i="3"/>
  <c r="K268" i="3"/>
  <c r="L268" i="3" s="1"/>
  <c r="J276" i="3"/>
  <c r="J283" i="3"/>
  <c r="J282" i="3"/>
  <c r="J281" i="3"/>
  <c r="J275" i="3"/>
  <c r="J286" i="3"/>
  <c r="J272" i="3"/>
  <c r="K271" i="3"/>
  <c r="L271" i="3" s="1"/>
  <c r="J267" i="3"/>
  <c r="K280" i="3"/>
  <c r="L280" i="3" s="1"/>
  <c r="J270" i="3"/>
  <c r="K284" i="3"/>
  <c r="L284" i="3" s="1"/>
  <c r="J279" i="3"/>
  <c r="J274" i="3"/>
  <c r="K272" i="3"/>
  <c r="L272" i="3" s="1"/>
  <c r="J268" i="3"/>
  <c r="K279" i="3"/>
  <c r="L279" i="3" s="1"/>
  <c r="J271" i="3"/>
  <c r="J278" i="3"/>
  <c r="K277" i="3"/>
  <c r="L277" i="3" s="1"/>
  <c r="K282" i="3"/>
  <c r="L282" i="3" s="1"/>
  <c r="K270" i="3"/>
  <c r="L270" i="3" s="1"/>
  <c r="K281" i="3"/>
  <c r="L281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L66" i="3" s="1"/>
  <c r="K131" i="3"/>
  <c r="L131" i="3" s="1"/>
  <c r="K130" i="3"/>
  <c r="L130" i="3" s="1"/>
  <c r="J192" i="3"/>
  <c r="J48" i="3"/>
  <c r="K76" i="3"/>
  <c r="L76" i="3" s="1"/>
  <c r="J106" i="3"/>
  <c r="K27" i="3"/>
  <c r="L27" i="3" s="1"/>
  <c r="J117" i="3"/>
  <c r="K154" i="3"/>
  <c r="L154" i="3" s="1"/>
  <c r="L496" i="3"/>
  <c r="J63" i="3"/>
  <c r="J107" i="3"/>
  <c r="J96" i="3"/>
  <c r="J178" i="3"/>
  <c r="K62" i="3"/>
  <c r="L62" i="3" s="1"/>
  <c r="K83" i="3"/>
  <c r="L83" i="3" s="1"/>
  <c r="K85" i="3"/>
  <c r="L85" i="3" s="1"/>
  <c r="J100" i="3"/>
  <c r="K95" i="3"/>
  <c r="L95" i="3" s="1"/>
  <c r="K186" i="3"/>
  <c r="L186" i="3" s="1"/>
  <c r="K171" i="3"/>
  <c r="L171" i="3" s="1"/>
  <c r="J159" i="3"/>
  <c r="K209" i="3"/>
  <c r="L209" i="3" s="1"/>
  <c r="J51" i="3"/>
  <c r="K182" i="3"/>
  <c r="L182" i="3" s="1"/>
  <c r="K158" i="3"/>
  <c r="L158" i="3" s="1"/>
  <c r="K54" i="3"/>
  <c r="L54" i="3" s="1"/>
  <c r="J21" i="3"/>
  <c r="L50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J62" i="3"/>
  <c r="K78" i="3"/>
  <c r="L78" i="3" s="1"/>
  <c r="L61" i="3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K14" i="3"/>
  <c r="L14" i="3" s="1"/>
  <c r="K21" i="3"/>
  <c r="L21" i="3" s="1"/>
  <c r="K9" i="3"/>
  <c r="L9" i="3" s="1"/>
  <c r="K495" i="3"/>
  <c r="L495" i="3" s="1"/>
  <c r="L500" i="3"/>
  <c r="Q215" i="3"/>
  <c r="J500" i="3"/>
  <c r="J497" i="3"/>
  <c r="J6" i="3"/>
  <c r="J2" i="3"/>
  <c r="K499" i="3"/>
  <c r="L499" i="3" s="1"/>
  <c r="Q217" i="3"/>
  <c r="P218" i="3"/>
  <c r="J498" i="3"/>
  <c r="J496" i="3"/>
  <c r="J501" i="3"/>
  <c r="J494" i="3"/>
  <c r="J493" i="3"/>
  <c r="Q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Q218" i="3"/>
  <c r="P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Q219" i="3" l="1"/>
  <c r="P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P221" i="3" l="1"/>
  <c r="Q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P222" i="3" l="1"/>
  <c r="Q221" i="3"/>
  <c r="Q222" i="3" l="1"/>
  <c r="P223" i="3"/>
  <c r="Q223" i="3" s="1"/>
</calcChain>
</file>

<file path=xl/sharedStrings.xml><?xml version="1.0" encoding="utf-8"?>
<sst xmlns="http://schemas.openxmlformats.org/spreadsheetml/2006/main" count="2184" uniqueCount="832">
  <si>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</si>
  <si>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</si>
  <si>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</si>
  <si>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</si>
  <si>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</si>
  <si>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</si>
  <si>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</si>
  <si>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</si>
  <si>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</si>
  <si>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</si>
  <si>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</si>
  <si>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</si>
  <si>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</si>
  <si>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</si>
  <si>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</si>
  <si>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</si>
  <si>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</si>
  <si>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</si>
  <si>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</si>
  <si>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</si>
  <si>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</si>
  <si>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</si>
  <si>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</si>
  <si>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</si>
  <si>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</si>
  <si>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</si>
  <si>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</si>
  <si>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</si>
  <si>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</si>
  <si>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</si>
  <si>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</si>
  <si>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</si>
  <si>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</si>
  <si>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</si>
  <si>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</si>
  <si>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</si>
  <si>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</si>
  <si>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</si>
  <si>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</si>
  <si>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</si>
  <si>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</si>
  <si>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</si>
  <si>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</si>
  <si>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</si>
  <si>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</si>
  <si>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</si>
  <si>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</si>
  <si>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</si>
  <si>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</si>
  <si>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</si>
  <si>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</si>
  <si>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</si>
  <si>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</si>
  <si>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</si>
  <si>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</si>
  <si>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</si>
  <si>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</si>
  <si>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</si>
  <si>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</si>
  <si>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</si>
  <si>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</si>
  <si>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</si>
  <si>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</si>
  <si>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</si>
  <si>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</si>
  <si>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</si>
  <si>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</si>
  <si>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</si>
  <si>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</si>
  <si>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</si>
  <si>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</si>
  <si>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</si>
  <si>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</si>
  <si>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</si>
  <si>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</si>
  <si>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</si>
  <si>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</si>
  <si>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</si>
  <si>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</si>
  <si>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</si>
  <si>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</si>
  <si>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</si>
  <si>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</si>
  <si>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</si>
  <si>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</si>
  <si>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</si>
  <si>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</si>
  <si>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</si>
  <si>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</si>
  <si>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</si>
  <si>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</si>
  <si>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</si>
  <si>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</si>
  <si>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</si>
  <si>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</si>
  <si>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</si>
  <si>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</si>
  <si>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</si>
  <si>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</si>
  <si>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</si>
  <si>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</si>
  <si>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</si>
  <si>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</si>
  <si>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</si>
  <si>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</si>
  <si>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</si>
  <si>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</si>
  <si>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</si>
  <si>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</si>
  <si>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</si>
  <si>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</si>
  <si>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</si>
  <si>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</si>
  <si>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</si>
  <si>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</si>
  <si>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</si>
  <si>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</si>
  <si>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</si>
  <si>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</si>
  <si>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</si>
  <si>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</si>
  <si>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</si>
  <si>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</si>
  <si>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</si>
  <si>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</si>
  <si>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</si>
  <si>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</si>
  <si>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</si>
  <si>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</si>
  <si>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</si>
  <si>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</si>
  <si>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</si>
  <si>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</si>
  <si>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</si>
  <si>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</si>
  <si>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</si>
  <si>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</si>
  <si>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</si>
  <si>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</si>
  <si>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</si>
  <si>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</si>
  <si>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</si>
  <si>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</si>
  <si>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</si>
  <si>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</si>
  <si>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</si>
  <si>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</si>
  <si>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</si>
  <si>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</si>
  <si>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</si>
  <si>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</si>
  <si>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</si>
  <si>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</si>
  <si>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</si>
  <si>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</si>
  <si>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</si>
  <si>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</si>
  <si>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</si>
  <si>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</si>
  <si>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</si>
  <si>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</si>
  <si>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</si>
  <si>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</si>
  <si>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</si>
  <si>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</si>
  <si>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</si>
  <si>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</si>
  <si>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</si>
  <si>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</si>
  <si>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</si>
  <si>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</si>
  <si>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</si>
  <si>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</si>
  <si>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</si>
  <si>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</si>
  <si>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</si>
  <si>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</si>
  <si>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</si>
  <si>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</si>
  <si>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</si>
  <si>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</si>
  <si>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</si>
  <si>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</si>
  <si>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</si>
  <si>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</si>
  <si>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</si>
  <si>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</si>
  <si>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</si>
  <si>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</si>
  <si>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</si>
  <si>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</si>
  <si>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</si>
  <si>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</si>
  <si>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</si>
  <si>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</si>
  <si>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</si>
  <si>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</si>
  <si>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</si>
  <si>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</si>
  <si>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</si>
  <si>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</si>
  <si>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</si>
  <si>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</si>
  <si>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</si>
  <si>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</si>
  <si>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</si>
  <si>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</si>
  <si>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</si>
  <si>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</si>
  <si>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</si>
  <si>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</si>
  <si>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</si>
  <si>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</si>
  <si>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</si>
  <si>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</si>
  <si>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</si>
  <si>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</si>
  <si>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</si>
  <si>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</si>
  <si>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</si>
  <si>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</si>
  <si>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</si>
  <si>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</si>
  <si>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</si>
  <si>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</si>
  <si>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</si>
  <si>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</si>
  <si>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</si>
  <si>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</si>
  <si>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</si>
  <si>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</si>
  <si>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</si>
  <si>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</si>
  <si>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</si>
  <si>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</si>
  <si>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</si>
  <si>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</si>
  <si>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</si>
  <si>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</si>
  <si>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</si>
  <si>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</si>
  <si>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</si>
  <si>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</si>
  <si>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</si>
  <si>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</si>
  <si>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</si>
  <si>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</si>
  <si>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</si>
  <si>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</si>
  <si>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</si>
  <si>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</si>
  <si>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</si>
  <si>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</si>
  <si>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</si>
  <si>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</si>
  <si>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</si>
  <si>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</si>
  <si>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</si>
  <si>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</si>
  <si>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</si>
  <si>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</si>
  <si>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</si>
  <si>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</si>
  <si>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</si>
  <si>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</si>
  <si>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</si>
  <si>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</si>
  <si>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</si>
  <si>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</si>
  <si>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</si>
  <si>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</si>
  <si>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</si>
  <si>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</si>
  <si>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</si>
  <si>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</si>
  <si>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</si>
  <si>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</si>
  <si>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</si>
  <si>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</si>
  <si>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</si>
  <si>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</si>
  <si>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</si>
  <si>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</si>
  <si>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</si>
  <si>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</si>
  <si>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</si>
  <si>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</si>
  <si>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</si>
  <si>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</si>
  <si>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</si>
  <si>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</si>
  <si>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</si>
  <si>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</si>
  <si>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</si>
  <si>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</si>
  <si>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</si>
  <si>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</si>
  <si>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</si>
  <si>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</si>
  <si>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</si>
  <si>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</si>
  <si>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</si>
  <si>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</si>
  <si>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</si>
  <si>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</si>
  <si>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</si>
  <si>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</si>
  <si>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</si>
  <si>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</si>
  <si>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</si>
  <si>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</si>
  <si>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</si>
  <si>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</si>
  <si>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</si>
  <si>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</si>
  <si>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</si>
  <si>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</si>
  <si>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</si>
  <si>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</si>
  <si>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</si>
  <si>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</si>
  <si>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</si>
  <si>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</si>
  <si>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</si>
  <si>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</si>
  <si>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</si>
  <si>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</si>
  <si>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</si>
  <si>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</si>
  <si>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</si>
  <si>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</si>
  <si>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</si>
  <si>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</si>
  <si>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</si>
  <si>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</si>
  <si>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</si>
  <si>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</si>
  <si>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</si>
  <si>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</si>
  <si>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</si>
  <si>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</si>
  <si>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</si>
  <si>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</si>
  <si>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</si>
  <si>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</si>
  <si>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</si>
  <si>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</si>
  <si>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</si>
  <si>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</si>
  <si>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</si>
  <si>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</si>
  <si>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</si>
  <si>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</si>
  <si>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</si>
  <si>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</si>
  <si>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</si>
  <si>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</si>
  <si>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</si>
  <si>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</si>
  <si>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</si>
  <si>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</si>
  <si>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</si>
  <si>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</si>
  <si>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</si>
  <si>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</si>
  <si>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</si>
  <si>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</si>
  <si>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</si>
  <si>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</si>
  <si>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</si>
  <si>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</si>
  <si>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</si>
  <si>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</si>
  <si>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</si>
  <si>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</si>
  <si>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</si>
  <si>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</si>
  <si>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</si>
  <si>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</si>
  <si>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</si>
  <si>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</si>
  <si>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</si>
  <si>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</si>
  <si>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</si>
  <si>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</si>
  <si>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</si>
  <si>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</si>
  <si>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</si>
  <si>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</si>
  <si>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</si>
  <si>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</si>
  <si>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</si>
  <si>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</si>
  <si>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</si>
  <si>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</si>
  <si>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</si>
  <si>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</si>
  <si>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</si>
  <si>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</si>
  <si>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</si>
  <si>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</si>
  <si>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</si>
  <si>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</si>
  <si>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</si>
  <si>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</si>
  <si>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</si>
  <si>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</si>
  <si>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</si>
  <si>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</si>
  <si>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</si>
  <si>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</si>
  <si>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</si>
  <si>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</si>
  <si>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</si>
  <si>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</si>
  <si>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</si>
  <si>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</si>
  <si>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</si>
  <si>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</si>
  <si>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</si>
  <si>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</si>
  <si>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</si>
  <si>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</si>
  <si>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</si>
  <si>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</si>
  <si>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</si>
  <si>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</si>
  <si>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</si>
  <si>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</si>
  <si>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</si>
  <si>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</si>
  <si>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</si>
  <si>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</si>
  <si>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</si>
  <si>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</si>
  <si>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</si>
  <si>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</si>
  <si>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</si>
  <si>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</si>
  <si>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</si>
  <si>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</si>
  <si>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</si>
  <si>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</si>
  <si>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</si>
  <si>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</si>
  <si>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</si>
  <si>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</si>
  <si>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</si>
  <si>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</si>
  <si>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</si>
  <si>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</si>
  <si>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</si>
  <si>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</si>
  <si>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</si>
  <si>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</si>
  <si>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</si>
  <si>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</si>
  <si>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</si>
  <si>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</si>
  <si>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</si>
  <si>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</si>
  <si>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</si>
  <si>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</si>
  <si>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</si>
  <si>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</si>
  <si>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</si>
  <si>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</si>
  <si>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</si>
  <si>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</si>
  <si>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</si>
  <si>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</si>
  <si>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</si>
  <si>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</si>
  <si>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</si>
  <si>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</si>
  <si>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</si>
  <si>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</si>
  <si>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</si>
  <si>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</si>
  <si>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</si>
  <si>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</si>
  <si>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</si>
  <si>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</si>
  <si>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</si>
  <si>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</si>
  <si>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</si>
  <si>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</si>
  <si>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</si>
  <si>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</si>
  <si>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</si>
  <si>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</si>
  <si>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</si>
  <si>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</si>
  <si>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</si>
  <si>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</si>
  <si>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</si>
  <si>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</si>
  <si>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</si>
  <si>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</si>
  <si>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</si>
  <si>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</si>
  <si>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</si>
  <si>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</si>
  <si>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</si>
  <si>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</si>
  <si>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</si>
  <si>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</si>
  <si>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</si>
  <si>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</si>
  <si>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</si>
  <si>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</si>
  <si>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</si>
  <si>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</si>
  <si>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</si>
  <si>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</si>
  <si>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</si>
  <si>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</si>
  <si>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</si>
  <si>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</si>
  <si>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</si>
  <si>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</si>
  <si>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</si>
  <si>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</si>
  <si>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</si>
  <si>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</si>
  <si>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</si>
  <si>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</si>
  <si>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</si>
  <si>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</si>
  <si>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</si>
  <si>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</si>
  <si>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</si>
  <si>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</si>
  <si>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</si>
  <si>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</si>
  <si>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</si>
  <si>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</si>
  <si>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</si>
  <si>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</si>
  <si>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</si>
  <si>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</si>
  <si>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</si>
  <si>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</si>
  <si>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</si>
  <si>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</si>
  <si>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</si>
  <si>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</si>
  <si>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</si>
  <si>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</si>
  <si>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</si>
  <si>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</si>
  <si>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</si>
  <si>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</si>
  <si>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</si>
  <si>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</si>
  <si>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</si>
  <si>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</si>
  <si>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</si>
  <si>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</si>
  <si>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</si>
  <si>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</si>
  <si>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</si>
  <si>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</si>
  <si>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</si>
  <si>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</si>
  <si>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</si>
  <si>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</si>
  <si>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</si>
  <si>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</si>
  <si>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</si>
  <si>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</si>
  <si>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</si>
  <si>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</si>
  <si>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</si>
  <si>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</si>
  <si>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</si>
  <si>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</si>
  <si>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</si>
  <si>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</si>
  <si>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</si>
  <si>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</si>
  <si>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</si>
  <si>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</si>
  <si>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</si>
  <si>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</si>
  <si>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</si>
  <si>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</si>
  <si>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</si>
  <si>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</si>
  <si>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</si>
  <si>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</si>
  <si>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</si>
  <si>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</si>
  <si>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</si>
  <si>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</si>
  <si>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</si>
  <si>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</si>
  <si>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</si>
  <si>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</si>
  <si>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</si>
  <si>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</si>
  <si>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</si>
  <si>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</si>
  <si>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</si>
  <si>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</si>
  <si>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</si>
  <si>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</si>
  <si>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</si>
  <si>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</si>
  <si>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</si>
  <si>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</si>
  <si>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</si>
  <si>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</si>
  <si>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</si>
  <si>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</si>
  <si>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</si>
  <si>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</si>
  <si>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</si>
  <si>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</si>
  <si>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</si>
  <si>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</si>
  <si>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</si>
  <si>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</si>
  <si>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</si>
  <si>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</si>
  <si>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</si>
  <si>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</si>
  <si>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</si>
  <si>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</si>
  <si>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</si>
  <si>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</si>
  <si>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</si>
  <si>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</si>
  <si>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</si>
  <si>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</si>
  <si>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</si>
  <si>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</si>
  <si>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</si>
  <si>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</si>
  <si>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</si>
  <si>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</si>
  <si>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</si>
  <si>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</si>
  <si>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</si>
  <si>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</si>
  <si>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</si>
  <si>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</si>
  <si>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</si>
  <si>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</si>
  <si>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</si>
  <si>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</si>
  <si>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</si>
  <si>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</si>
  <si>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</si>
  <si>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</si>
  <si>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</si>
  <si>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</si>
  <si>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</si>
  <si>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</si>
  <si>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</si>
  <si>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</si>
  <si>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</si>
  <si>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</si>
  <si>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</si>
  <si>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</si>
  <si>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</si>
  <si>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</si>
  <si>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</si>
  <si>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</si>
  <si>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</si>
  <si>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</si>
  <si>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</si>
  <si>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</si>
  <si>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</si>
  <si>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</si>
  <si>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</si>
  <si>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</si>
  <si>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</si>
  <si>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</si>
  <si>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</si>
  <si>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</si>
  <si>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</si>
  <si>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</si>
  <si>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</si>
  <si>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</si>
  <si>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</si>
  <si>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</si>
  <si>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</si>
  <si>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</si>
  <si>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</si>
  <si>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</si>
  <si>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</si>
  <si>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</si>
  <si>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</si>
  <si>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</si>
  <si>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</si>
  <si>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</si>
  <si>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</si>
  <si>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</si>
  <si>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</si>
  <si>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</si>
  <si>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</si>
  <si>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</si>
  <si>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</si>
  <si>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</si>
  <si>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</si>
  <si>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</si>
  <si>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</si>
  <si>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</si>
  <si>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</si>
  <si>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</si>
  <si>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</si>
  <si>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</si>
  <si>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</si>
  <si>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</si>
  <si>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</si>
  <si>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</si>
  <si>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</si>
  <si>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</si>
  <si>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</si>
  <si>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</si>
  <si>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</si>
  <si>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</si>
  <si>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</si>
  <si>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</si>
  <si>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</si>
  <si>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</si>
  <si>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</si>
  <si>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</si>
  <si>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</si>
  <si>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</si>
  <si>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</si>
  <si>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</si>
  <si>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</si>
  <si>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</si>
  <si>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</si>
  <si>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</si>
  <si>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</si>
  <si>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</si>
  <si>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</si>
  <si>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</si>
  <si>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</si>
  <si>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</si>
  <si>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</si>
  <si>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</si>
  <si>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</si>
  <si>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</si>
  <si>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</si>
  <si>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</si>
  <si>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</si>
  <si>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</si>
  <si>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</si>
  <si>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</si>
  <si>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</si>
  <si>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</si>
  <si>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</si>
  <si>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</si>
  <si>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</si>
  <si>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</si>
  <si>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</si>
  <si>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</si>
  <si>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</si>
  <si>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</si>
  <si>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</si>
  <si>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</si>
  <si>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</si>
  <si>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</si>
  <si>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</si>
  <si>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</si>
  <si>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</si>
  <si>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</si>
  <si>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</si>
  <si>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</si>
  <si>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</si>
  <si>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</si>
  <si>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</si>
  <si>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</si>
  <si>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</si>
  <si>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</si>
  <si>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</si>
  <si>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</si>
  <si>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</si>
  <si>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</si>
  <si>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</si>
  <si>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</si>
  <si>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</si>
  <si>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</si>
  <si>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</si>
  <si>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</si>
  <si>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</si>
  <si>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</si>
  <si>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</si>
  <si>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</si>
  <si>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</si>
  <si>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</si>
  <si>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</si>
  <si>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</si>
  <si>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</si>
  <si>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</si>
  <si>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</si>
  <si>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</si>
  <si>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</si>
  <si>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</si>
  <si>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</si>
  <si>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</si>
  <si>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</si>
  <si>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</si>
  <si>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</si>
  <si>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</si>
  <si>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</si>
  <si>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</si>
  <si>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</si>
  <si>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</si>
  <si>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</si>
  <si>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</si>
  <si>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</si>
  <si>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</si>
  <si>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</si>
  <si>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</si>
  <si>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</si>
  <si>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</si>
  <si>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</si>
  <si>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</si>
  <si>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</si>
  <si>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</si>
  <si>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</si>
  <si>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육성 횟수 (1)</t>
    <phoneticPr fontId="1" type="noConversion"/>
  </si>
  <si>
    <t>영웅소환</t>
    <phoneticPr fontId="1" type="noConversion"/>
  </si>
  <si>
    <t>장비소환</t>
    <phoneticPr fontId="1" type="noConversion"/>
  </si>
  <si>
    <t>근현대 소환권</t>
    <phoneticPr fontId="1" type="noConversion"/>
  </si>
  <si>
    <t>갑옷 소환권</t>
    <phoneticPr fontId="1" type="noConversion"/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</si>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</sst>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4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5" borderId="1" xfId="0" applyFill="1" applyBorder="1">
      <alignment vertical="center"/>
    </xf>
    <xf numFmtId="41" fontId="0" fillId="15" borderId="1" xfId="3" applyFont="1" applyFill="1" applyBorder="1" applyAlignment="1">
      <alignment horizontal="right" vertical="center"/>
    </xf>
    <xf numFmtId="0" fontId="0" fillId="15" borderId="1" xfId="0" applyFill="1" applyBorder="1" applyAlignment="1">
      <alignment horizontal="left" vertical="center"/>
    </xf>
    <xf numFmtId="42" fontId="0" fillId="15" borderId="1" xfId="0" applyNumberFormat="1" applyFill="1" applyBorder="1">
      <alignment vertical="center"/>
    </xf>
    <xf numFmtId="176" fontId="0" fillId="15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6" borderId="1" xfId="0" applyFill="1" applyBorder="1">
      <alignment vertical="center"/>
    </xf>
    <xf numFmtId="0" fontId="0" fillId="16" borderId="1" xfId="0" applyFill="1" applyBorder="1" applyAlignment="1">
      <alignment horizontal="left"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0" fillId="15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5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5" borderId="1" xfId="3" applyNumberFormat="1" applyFont="1" applyFill="1" applyBorder="1" applyAlignment="1">
      <alignment horizontal="right" vertical="center"/>
    </xf>
    <xf numFmtId="0" fontId="0" fillId="1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>
      <alignment vertical="center"/>
    </xf>
    <xf numFmtId="0" fontId="0" fillId="17" borderId="1" xfId="3" applyNumberFormat="1" applyFont="1" applyFill="1" applyBorder="1" applyAlignment="1">
      <alignment horizontal="righ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9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8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righ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8" borderId="2" xfId="3" applyNumberFormat="1" applyFont="1" applyFill="1" applyBorder="1" applyAlignment="1">
      <alignment horizontal="right" vertical="center"/>
    </xf>
    <xf numFmtId="0" fontId="3" fillId="18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8" borderId="1" xfId="0" applyFill="1" applyBorder="1" applyAlignment="1">
      <alignment horizontal="right"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95" zoomScaleNormal="95" workbookViewId="0">
      <pane ySplit="1" topLeftCell="A2" activePane="bottomLeft" state="frozen"/>
      <selection pane="bottomLeft" activeCell="L4" sqref="L4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227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260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259</v>
      </c>
      <c r="C10" s="93"/>
      <c r="D10" s="94" t="s">
        <v>260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261</v>
      </c>
      <c r="C11" s="93"/>
      <c r="D11" s="94" t="s">
        <v>260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262</v>
      </c>
      <c r="C12" s="93"/>
      <c r="D12" s="94" t="s">
        <v>260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263</v>
      </c>
      <c r="C13" s="93"/>
      <c r="D13" s="94" t="s">
        <v>260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264</v>
      </c>
      <c r="C14" s="93"/>
      <c r="D14" s="94" t="s">
        <v>260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265</v>
      </c>
      <c r="C15" s="93"/>
      <c r="D15" s="94" t="s">
        <v>260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280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202</v>
      </c>
      <c r="C19" s="10"/>
      <c r="D19" s="47" t="s">
        <v>228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197</v>
      </c>
      <c r="D20" s="47" t="s">
        <v>228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198</v>
      </c>
      <c r="D21" s="47" t="s">
        <v>228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199</v>
      </c>
      <c r="D22" s="47" t="s">
        <v>228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200</v>
      </c>
      <c r="D23" s="47" t="s">
        <v>228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201</v>
      </c>
      <c r="D24" s="47" t="s">
        <v>228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208</v>
      </c>
      <c r="D26" s="47" t="s">
        <v>231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203</v>
      </c>
      <c r="D27" s="47" t="s">
        <v>231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204</v>
      </c>
      <c r="D28" s="47" t="s">
        <v>231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205</v>
      </c>
      <c r="D29" s="47" t="s">
        <v>231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206</v>
      </c>
      <c r="D30" s="47" t="s">
        <v>231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207</v>
      </c>
      <c r="D31" s="47" t="s">
        <v>231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282</v>
      </c>
      <c r="C33" s="26"/>
      <c r="D33" s="47" t="s">
        <v>229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209</v>
      </c>
      <c r="C34" s="26"/>
      <c r="D34" s="47" t="s">
        <v>229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210</v>
      </c>
      <c r="C35" s="26"/>
      <c r="D35" s="47" t="s">
        <v>229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211</v>
      </c>
      <c r="C36" s="26"/>
      <c r="D36" s="47" t="s">
        <v>229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212</v>
      </c>
      <c r="C37" s="26"/>
      <c r="D37" s="47" t="s">
        <v>229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283</v>
      </c>
      <c r="C39" s="26"/>
      <c r="D39" s="47" t="s">
        <v>230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213</v>
      </c>
      <c r="C40" s="26"/>
      <c r="D40" s="47" t="s">
        <v>230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214</v>
      </c>
      <c r="C41" s="26"/>
      <c r="D41" s="47" t="s">
        <v>230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215</v>
      </c>
      <c r="C42" s="26"/>
      <c r="D42" s="47" t="s">
        <v>230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216</v>
      </c>
      <c r="C43" s="26"/>
      <c r="D43" s="47" t="s">
        <v>230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217</v>
      </c>
      <c r="C45" s="48"/>
      <c r="D45" s="49" t="s">
        <v>194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218</v>
      </c>
      <c r="C46" s="48"/>
      <c r="D46" s="49" t="s">
        <v>194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219</v>
      </c>
      <c r="C47" s="48"/>
      <c r="D47" s="49" t="s">
        <v>194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220</v>
      </c>
      <c r="C48" s="48"/>
      <c r="D48" s="49" t="s">
        <v>194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221</v>
      </c>
      <c r="C49" s="48"/>
      <c r="D49" s="49" t="s">
        <v>194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281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232</v>
      </c>
      <c r="C53" s="26"/>
      <c r="D53" s="22" t="s">
        <v>105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233</v>
      </c>
      <c r="C54" s="56"/>
      <c r="D54" s="39" t="s">
        <v>192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234</v>
      </c>
      <c r="C55" s="56"/>
      <c r="D55" s="39" t="s">
        <v>192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235</v>
      </c>
      <c r="C56" s="56"/>
      <c r="D56" s="39" t="s">
        <v>192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236</v>
      </c>
      <c r="C57" s="55"/>
      <c r="D57" s="22" t="s">
        <v>193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237</v>
      </c>
      <c r="C58" s="55"/>
      <c r="D58" s="22" t="s">
        <v>193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238</v>
      </c>
      <c r="C59" s="55"/>
      <c r="D59" s="22" t="s">
        <v>193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239</v>
      </c>
      <c r="C60" s="57"/>
      <c r="D60" s="39" t="s">
        <v>194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240</v>
      </c>
      <c r="C61" s="57"/>
      <c r="D61" s="39" t="s">
        <v>194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241</v>
      </c>
      <c r="C62" s="57"/>
      <c r="D62" s="39" t="s">
        <v>194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242</v>
      </c>
      <c r="C63" s="55"/>
      <c r="D63" s="22" t="s">
        <v>195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243</v>
      </c>
      <c r="C64" s="55"/>
      <c r="D64" s="22" t="s">
        <v>195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244</v>
      </c>
      <c r="C65" s="55"/>
      <c r="D65" s="22" t="s">
        <v>195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245</v>
      </c>
      <c r="C66" s="57"/>
      <c r="D66" s="39" t="s">
        <v>196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246</v>
      </c>
      <c r="C67" s="57"/>
      <c r="D67" s="39" t="s">
        <v>196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247</v>
      </c>
      <c r="C68" s="57"/>
      <c r="D68" s="39" t="s">
        <v>196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248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249</v>
      </c>
      <c r="C70" s="58"/>
      <c r="D70" s="43" t="s">
        <v>106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254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255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256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253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233</v>
      </c>
      <c r="C76" s="56"/>
      <c r="D76" s="39" t="s">
        <v>192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234</v>
      </c>
      <c r="C77" s="56"/>
      <c r="D77" s="39" t="s">
        <v>192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235</v>
      </c>
      <c r="C78" s="56"/>
      <c r="D78" s="39" t="s">
        <v>192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236</v>
      </c>
      <c r="C79" s="55"/>
      <c r="D79" s="22" t="s">
        <v>193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237</v>
      </c>
      <c r="C80" s="55"/>
      <c r="D80" s="22" t="s">
        <v>193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238</v>
      </c>
      <c r="C81" s="55"/>
      <c r="D81" s="22" t="s">
        <v>193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239</v>
      </c>
      <c r="C82" s="57"/>
      <c r="D82" s="39" t="s">
        <v>194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240</v>
      </c>
      <c r="C83" s="57"/>
      <c r="D83" s="39" t="s">
        <v>194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241</v>
      </c>
      <c r="C84" s="57"/>
      <c r="D84" s="39" t="s">
        <v>194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242</v>
      </c>
      <c r="C85" s="55"/>
      <c r="D85" s="22" t="s">
        <v>195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243</v>
      </c>
      <c r="C86" s="55"/>
      <c r="D86" s="22" t="s">
        <v>195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244</v>
      </c>
      <c r="C87" s="55"/>
      <c r="D87" s="22" t="s">
        <v>195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245</v>
      </c>
      <c r="C88" s="57"/>
      <c r="D88" s="39" t="s">
        <v>196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246</v>
      </c>
      <c r="C89" s="57"/>
      <c r="D89" s="39" t="s">
        <v>196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247</v>
      </c>
      <c r="C90" s="57"/>
      <c r="D90" s="39" t="s">
        <v>196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248</v>
      </c>
      <c r="C91" s="26"/>
      <c r="D91" s="34" t="s">
        <v>107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249</v>
      </c>
      <c r="C92" s="26"/>
      <c r="D92" s="34" t="s">
        <v>107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254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255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256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257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258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250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251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252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108</v>
      </c>
      <c r="C111" s="52"/>
      <c r="D111" s="50" t="s">
        <v>109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111</v>
      </c>
      <c r="C112" s="52"/>
      <c r="D112" s="50" t="s">
        <v>110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225</v>
      </c>
      <c r="C113" s="61"/>
      <c r="D113" s="60" t="s">
        <v>137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138</v>
      </c>
      <c r="C114" s="61"/>
      <c r="D114" s="60" t="s">
        <v>139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140</v>
      </c>
      <c r="C115" s="61"/>
      <c r="D115" s="60" t="s">
        <v>141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142</v>
      </c>
      <c r="C116" s="61"/>
      <c r="D116" s="60" t="s">
        <v>143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144</v>
      </c>
      <c r="C117" s="61"/>
      <c r="D117" s="60" t="s">
        <v>145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146</v>
      </c>
      <c r="C118" s="61"/>
      <c r="D118" s="60" t="s">
        <v>147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148</v>
      </c>
      <c r="C119" s="61"/>
      <c r="D119" s="60" t="s">
        <v>149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150</v>
      </c>
      <c r="C120" s="61"/>
      <c r="D120" s="60" t="s">
        <v>151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152</v>
      </c>
      <c r="C121" s="61"/>
      <c r="D121" s="60" t="s">
        <v>153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154</v>
      </c>
      <c r="C122" s="61"/>
      <c r="D122" s="60" t="s">
        <v>155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175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136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132</v>
      </c>
      <c r="C132" s="52"/>
      <c r="D132" s="50" t="s">
        <v>133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134</v>
      </c>
      <c r="C133" s="52"/>
      <c r="D133" s="50" t="s">
        <v>135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226</v>
      </c>
      <c r="C134" s="61"/>
      <c r="D134" s="60" t="s">
        <v>156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157</v>
      </c>
      <c r="C135" s="61"/>
      <c r="D135" s="60" t="s">
        <v>158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159</v>
      </c>
      <c r="C136" s="61"/>
      <c r="D136" s="60" t="s">
        <v>160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161</v>
      </c>
      <c r="C137" s="61"/>
      <c r="D137" s="60" t="s">
        <v>162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163</v>
      </c>
      <c r="C138" s="61"/>
      <c r="D138" s="60" t="s">
        <v>164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165</v>
      </c>
      <c r="C139" s="61"/>
      <c r="D139" s="60" t="s">
        <v>166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167</v>
      </c>
      <c r="C140" s="61"/>
      <c r="D140" s="60" t="s">
        <v>168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169</v>
      </c>
      <c r="C141" s="61"/>
      <c r="D141" s="60" t="s">
        <v>170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171</v>
      </c>
      <c r="C142" s="61"/>
      <c r="D142" s="60" t="s">
        <v>172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173</v>
      </c>
      <c r="C143" s="61"/>
      <c r="D143" s="60" t="s">
        <v>174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122</v>
      </c>
      <c r="C145" s="50">
        <v>1250</v>
      </c>
      <c r="D145" s="50" t="s">
        <v>177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123</v>
      </c>
      <c r="C146" s="50">
        <f t="shared" ref="C146:C159" si="32">C145+1250</f>
        <v>2500</v>
      </c>
      <c r="D146" s="50" t="s">
        <v>177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124</v>
      </c>
      <c r="C147" s="50">
        <f t="shared" si="32"/>
        <v>3750</v>
      </c>
      <c r="D147" s="50" t="s">
        <v>176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125</v>
      </c>
      <c r="C148" s="50">
        <f t="shared" si="32"/>
        <v>5000</v>
      </c>
      <c r="D148" s="50" t="s">
        <v>176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126</v>
      </c>
      <c r="C149" s="50">
        <f t="shared" si="32"/>
        <v>6250</v>
      </c>
      <c r="D149" s="50" t="s">
        <v>176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127</v>
      </c>
      <c r="C150" s="50">
        <f t="shared" si="32"/>
        <v>7500</v>
      </c>
      <c r="D150" s="50" t="s">
        <v>176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128</v>
      </c>
      <c r="C151" s="50">
        <f t="shared" si="32"/>
        <v>8750</v>
      </c>
      <c r="D151" s="50" t="s">
        <v>176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129</v>
      </c>
      <c r="C152" s="50">
        <f t="shared" si="32"/>
        <v>10000</v>
      </c>
      <c r="D152" s="50" t="s">
        <v>176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130</v>
      </c>
      <c r="C153" s="50">
        <f t="shared" si="32"/>
        <v>11250</v>
      </c>
      <c r="D153" s="50" t="s">
        <v>176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131</v>
      </c>
      <c r="C154" s="50">
        <f t="shared" si="32"/>
        <v>12500</v>
      </c>
      <c r="D154" s="50" t="s">
        <v>176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178</v>
      </c>
      <c r="C155" s="50">
        <f t="shared" si="32"/>
        <v>13750</v>
      </c>
      <c r="D155" s="50" t="s">
        <v>176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179</v>
      </c>
      <c r="C156" s="50">
        <f t="shared" si="32"/>
        <v>15000</v>
      </c>
      <c r="D156" s="50" t="s">
        <v>176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180</v>
      </c>
      <c r="C157" s="50">
        <f t="shared" si="32"/>
        <v>16250</v>
      </c>
      <c r="D157" s="50" t="s">
        <v>176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181</v>
      </c>
      <c r="C158" s="50">
        <f t="shared" si="32"/>
        <v>17500</v>
      </c>
      <c r="D158" s="50" t="s">
        <v>176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182</v>
      </c>
      <c r="C159" s="50">
        <f t="shared" si="32"/>
        <v>18750</v>
      </c>
      <c r="D159" s="50" t="s">
        <v>176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112</v>
      </c>
      <c r="C161" s="65" t="s">
        <v>184</v>
      </c>
      <c r="D161" s="50" t="s">
        <v>183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113</v>
      </c>
      <c r="C162" s="65" t="s">
        <v>184</v>
      </c>
      <c r="D162" s="50" t="s">
        <v>183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114</v>
      </c>
      <c r="C163" s="65" t="s">
        <v>184</v>
      </c>
      <c r="D163" s="50" t="s">
        <v>183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115</v>
      </c>
      <c r="C164" s="65" t="s">
        <v>184</v>
      </c>
      <c r="D164" s="50" t="s">
        <v>183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116</v>
      </c>
      <c r="C165" s="65" t="s">
        <v>184</v>
      </c>
      <c r="D165" s="50" t="s">
        <v>183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117</v>
      </c>
      <c r="C166" s="65" t="s">
        <v>184</v>
      </c>
      <c r="D166" s="50" t="s">
        <v>183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118</v>
      </c>
      <c r="C167" s="65" t="s">
        <v>184</v>
      </c>
      <c r="D167" s="50" t="s">
        <v>183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121</v>
      </c>
      <c r="C168" s="65" t="s">
        <v>184</v>
      </c>
      <c r="D168" s="50" t="s">
        <v>183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119</v>
      </c>
      <c r="C169" s="65" t="s">
        <v>184</v>
      </c>
      <c r="D169" s="50" t="s">
        <v>183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120</v>
      </c>
      <c r="C170" s="65" t="s">
        <v>184</v>
      </c>
      <c r="D170" s="50" t="s">
        <v>183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266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190</v>
      </c>
      <c r="D173" s="183" t="s">
        <v>186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191</v>
      </c>
      <c r="D174" s="183"/>
      <c r="F174" s="76"/>
      <c r="G174" s="16"/>
      <c r="H174" s="9"/>
      <c r="I174" s="9"/>
      <c r="J174" s="6"/>
      <c r="K174" s="6"/>
    </row>
    <row r="175" spans="1:12">
      <c r="D175" s="183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187</v>
      </c>
      <c r="D177" s="183" t="s">
        <v>222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189</v>
      </c>
      <c r="D178" s="183"/>
      <c r="E178" s="90"/>
    </row>
    <row r="179" spans="1:12">
      <c r="D179" s="183"/>
      <c r="E179" s="90"/>
    </row>
    <row r="180" spans="1:12" ht="13.5" customHeight="1">
      <c r="D180" s="183"/>
      <c r="E180" s="90"/>
    </row>
    <row r="181" spans="1:12">
      <c r="D181" s="33"/>
    </row>
    <row r="182" spans="1:12" ht="16.5" customHeight="1">
      <c r="A182" s="1" t="s">
        <v>58</v>
      </c>
      <c r="B182" s="22" t="s">
        <v>188</v>
      </c>
      <c r="D182" s="183" t="s">
        <v>185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189</v>
      </c>
      <c r="D183" s="183"/>
      <c r="E183" s="90"/>
    </row>
    <row r="184" spans="1:12">
      <c r="D184" s="183"/>
      <c r="E184" s="90"/>
    </row>
    <row r="185" spans="1:12">
      <c r="D185" s="183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T629"/>
  <sheetViews>
    <sheetView tabSelected="1" zoomScaleNormal="100" workbookViewId="0">
      <pane ySplit="1" topLeftCell="A509" activePane="bottomLeft" state="frozen"/>
      <selection pane="bottomLeft" activeCell="C525" sqref="C525:C554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4" width="11.625" style="109" bestFit="1" customWidth="1"/>
    <col min="15" max="15" width="13" style="109" bestFit="1" customWidth="1"/>
    <col min="16" max="16" width="10.375" style="109" customWidth="1"/>
    <col min="17" max="17" width="8.5" style="109" bestFit="1" customWidth="1"/>
    <col min="18" max="18" width="12.75" style="109" bestFit="1" customWidth="1"/>
    <col min="19" max="19" width="11.625" style="109" bestFit="1" customWidth="1"/>
    <col min="20" max="16384" width="9" style="109"/>
  </cols>
  <sheetData>
    <row r="1" spans="1:12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2">
      <c r="C3" s="110"/>
      <c r="E3" s="111"/>
      <c r="F3" s="112"/>
      <c r="G3" s="113"/>
      <c r="K3" s="114"/>
      <c r="L3" s="115"/>
    </row>
    <row r="4" spans="1:12" s="116" customFormat="1">
      <c r="B4" s="117" t="s">
        <v>85</v>
      </c>
      <c r="C4" s="118"/>
      <c r="E4" s="119"/>
      <c r="F4" s="120"/>
      <c r="G4" s="121"/>
      <c r="L4" s="122"/>
    </row>
    <row r="5" spans="1:12">
      <c r="B5" s="123" t="s">
        <v>284</v>
      </c>
      <c r="C5" s="110"/>
      <c r="D5" s="109" t="s">
        <v>821</v>
      </c>
      <c r="E5" s="111"/>
      <c r="F5" s="112" t="s">
        <v>829</v>
      </c>
      <c r="G5" s="113"/>
      <c r="L5" s="115"/>
    </row>
    <row r="6" spans="1:12">
      <c r="A6" s="109" t="s">
        <v>54</v>
      </c>
      <c r="B6" s="124" t="s">
        <v>319</v>
      </c>
      <c r="C6" s="125">
        <v>-3</v>
      </c>
      <c r="D6" s="126" t="s">
        <v>285</v>
      </c>
      <c r="E6" s="127">
        <v>5000</v>
      </c>
      <c r="F6" s="128">
        <v>225</v>
      </c>
      <c r="G6" s="129">
        <f>E6+(F6*850)</f>
        <v>196250</v>
      </c>
      <c r="H6" s="130">
        <f>I6*10</f>
        <v>11000</v>
      </c>
      <c r="I6" s="172">
        <v>1100</v>
      </c>
      <c r="J6" s="131">
        <f>H6/G6</f>
        <v>5.605095541401274E-2</v>
      </c>
      <c r="K6" s="131">
        <f>G6/H6</f>
        <v>17.84090909090909</v>
      </c>
      <c r="L6" s="115">
        <f>K6/K$2</f>
        <v>8.42090909090909</v>
      </c>
    </row>
    <row r="7" spans="1:12">
      <c r="A7" s="109" t="s">
        <v>54</v>
      </c>
      <c r="B7" s="124" t="s">
        <v>320</v>
      </c>
      <c r="C7" s="125">
        <v>-2</v>
      </c>
      <c r="D7" s="126" t="s">
        <v>285</v>
      </c>
      <c r="E7" s="127">
        <v>5000</v>
      </c>
      <c r="F7" s="128">
        <v>225</v>
      </c>
      <c r="G7" s="129">
        <f t="shared" ref="G7:G22" si="0">E7+(F7*850)</f>
        <v>196250</v>
      </c>
      <c r="H7" s="130">
        <f t="shared" ref="H7:H22" si="1">I7*10</f>
        <v>11000</v>
      </c>
      <c r="I7" s="172">
        <v>1100</v>
      </c>
      <c r="J7" s="131">
        <f t="shared" ref="J7:J22" si="2">H7/G7</f>
        <v>5.605095541401274E-2</v>
      </c>
      <c r="K7" s="131">
        <f t="shared" ref="K7:K22" si="3">G7/H7</f>
        <v>17.84090909090909</v>
      </c>
      <c r="L7" s="115">
        <f t="shared" ref="L7:L22" si="4">K7/K$2</f>
        <v>8.42090909090909</v>
      </c>
    </row>
    <row r="8" spans="1:12">
      <c r="A8" s="109" t="s">
        <v>54</v>
      </c>
      <c r="B8" s="124" t="s">
        <v>321</v>
      </c>
      <c r="C8" s="125">
        <v>-1</v>
      </c>
      <c r="D8" s="126" t="s">
        <v>285</v>
      </c>
      <c r="E8" s="127">
        <v>5000</v>
      </c>
      <c r="F8" s="128">
        <v>225</v>
      </c>
      <c r="G8" s="129">
        <f t="shared" si="0"/>
        <v>196250</v>
      </c>
      <c r="H8" s="130">
        <f t="shared" si="1"/>
        <v>11000</v>
      </c>
      <c r="I8" s="172">
        <v>1100</v>
      </c>
      <c r="J8" s="131">
        <f t="shared" si="2"/>
        <v>5.605095541401274E-2</v>
      </c>
      <c r="K8" s="131">
        <f t="shared" si="3"/>
        <v>17.84090909090909</v>
      </c>
      <c r="L8" s="115">
        <f t="shared" si="4"/>
        <v>8.42090909090909</v>
      </c>
    </row>
    <row r="9" spans="1:12">
      <c r="A9" s="109" t="s">
        <v>54</v>
      </c>
      <c r="B9" s="124" t="s">
        <v>322</v>
      </c>
      <c r="C9" s="125">
        <v>0</v>
      </c>
      <c r="D9" s="126" t="s">
        <v>285</v>
      </c>
      <c r="E9" s="127">
        <v>5000</v>
      </c>
      <c r="F9" s="128">
        <v>225</v>
      </c>
      <c r="G9" s="129">
        <f t="shared" si="0"/>
        <v>196250</v>
      </c>
      <c r="H9" s="130">
        <f t="shared" si="1"/>
        <v>11000</v>
      </c>
      <c r="I9" s="172">
        <v>1100</v>
      </c>
      <c r="J9" s="131">
        <f t="shared" si="2"/>
        <v>5.605095541401274E-2</v>
      </c>
      <c r="K9" s="131">
        <f t="shared" si="3"/>
        <v>17.84090909090909</v>
      </c>
      <c r="L9" s="115">
        <f t="shared" si="4"/>
        <v>8.42090909090909</v>
      </c>
    </row>
    <row r="10" spans="1:12">
      <c r="A10" s="109" t="s">
        <v>54</v>
      </c>
      <c r="B10" s="124" t="s">
        <v>323</v>
      </c>
      <c r="C10" s="125">
        <v>1</v>
      </c>
      <c r="D10" s="126" t="s">
        <v>285</v>
      </c>
      <c r="E10" s="127">
        <v>15000</v>
      </c>
      <c r="F10" s="128">
        <v>675</v>
      </c>
      <c r="G10" s="129">
        <f t="shared" si="0"/>
        <v>588750</v>
      </c>
      <c r="H10" s="130">
        <f t="shared" si="1"/>
        <v>33000</v>
      </c>
      <c r="I10" s="172">
        <v>3300</v>
      </c>
      <c r="J10" s="131">
        <f t="shared" si="2"/>
        <v>5.605095541401274E-2</v>
      </c>
      <c r="K10" s="131">
        <f t="shared" si="3"/>
        <v>17.84090909090909</v>
      </c>
      <c r="L10" s="115">
        <f t="shared" si="4"/>
        <v>8.42090909090909</v>
      </c>
    </row>
    <row r="11" spans="1:12">
      <c r="A11" s="109" t="s">
        <v>54</v>
      </c>
      <c r="B11" s="124" t="s">
        <v>324</v>
      </c>
      <c r="C11" s="125">
        <v>2</v>
      </c>
      <c r="D11" s="126" t="s">
        <v>285</v>
      </c>
      <c r="E11" s="127">
        <v>15000</v>
      </c>
      <c r="F11" s="128">
        <v>675</v>
      </c>
      <c r="G11" s="129">
        <f t="shared" si="0"/>
        <v>588750</v>
      </c>
      <c r="H11" s="130">
        <f t="shared" si="1"/>
        <v>33000</v>
      </c>
      <c r="I11" s="172">
        <v>3300</v>
      </c>
      <c r="J11" s="131">
        <f t="shared" si="2"/>
        <v>5.605095541401274E-2</v>
      </c>
      <c r="K11" s="131">
        <f t="shared" si="3"/>
        <v>17.84090909090909</v>
      </c>
      <c r="L11" s="115">
        <f t="shared" si="4"/>
        <v>8.42090909090909</v>
      </c>
    </row>
    <row r="12" spans="1:12">
      <c r="A12" s="109" t="s">
        <v>54</v>
      </c>
      <c r="B12" s="124" t="s">
        <v>325</v>
      </c>
      <c r="C12" s="125">
        <v>3</v>
      </c>
      <c r="D12" s="126" t="s">
        <v>285</v>
      </c>
      <c r="E12" s="127">
        <v>15000</v>
      </c>
      <c r="F12" s="128">
        <v>675</v>
      </c>
      <c r="G12" s="129">
        <f t="shared" si="0"/>
        <v>588750</v>
      </c>
      <c r="H12" s="130">
        <f t="shared" si="1"/>
        <v>33000</v>
      </c>
      <c r="I12" s="172">
        <v>3300</v>
      </c>
      <c r="J12" s="131">
        <f t="shared" si="2"/>
        <v>5.605095541401274E-2</v>
      </c>
      <c r="K12" s="131">
        <f t="shared" si="3"/>
        <v>17.84090909090909</v>
      </c>
      <c r="L12" s="115">
        <f t="shared" si="4"/>
        <v>8.42090909090909</v>
      </c>
    </row>
    <row r="13" spans="1:12">
      <c r="A13" s="109" t="s">
        <v>54</v>
      </c>
      <c r="B13" s="124" t="s">
        <v>326</v>
      </c>
      <c r="C13" s="125">
        <v>4</v>
      </c>
      <c r="D13" s="126" t="s">
        <v>285</v>
      </c>
      <c r="E13" s="127">
        <v>15000</v>
      </c>
      <c r="F13" s="128">
        <v>675</v>
      </c>
      <c r="G13" s="129">
        <f t="shared" si="0"/>
        <v>588750</v>
      </c>
      <c r="H13" s="130">
        <f t="shared" si="1"/>
        <v>33000</v>
      </c>
      <c r="I13" s="172">
        <v>3300</v>
      </c>
      <c r="J13" s="131">
        <f t="shared" si="2"/>
        <v>5.605095541401274E-2</v>
      </c>
      <c r="K13" s="131">
        <f t="shared" si="3"/>
        <v>17.84090909090909</v>
      </c>
      <c r="L13" s="115">
        <f t="shared" si="4"/>
        <v>8.42090909090909</v>
      </c>
    </row>
    <row r="14" spans="1:12">
      <c r="A14" s="109" t="s">
        <v>54</v>
      </c>
      <c r="B14" s="124" t="s">
        <v>327</v>
      </c>
      <c r="C14" s="125">
        <v>5</v>
      </c>
      <c r="D14" s="126" t="s">
        <v>285</v>
      </c>
      <c r="E14" s="127">
        <v>25000</v>
      </c>
      <c r="F14" s="128">
        <v>1125</v>
      </c>
      <c r="G14" s="129">
        <f t="shared" si="0"/>
        <v>981250</v>
      </c>
      <c r="H14" s="130">
        <f t="shared" si="1"/>
        <v>55000</v>
      </c>
      <c r="I14" s="172">
        <v>5500</v>
      </c>
      <c r="J14" s="131">
        <f t="shared" si="2"/>
        <v>5.605095541401274E-2</v>
      </c>
      <c r="K14" s="131">
        <f t="shared" si="3"/>
        <v>17.84090909090909</v>
      </c>
      <c r="L14" s="115">
        <f t="shared" si="4"/>
        <v>8.42090909090909</v>
      </c>
    </row>
    <row r="15" spans="1:12">
      <c r="A15" s="109" t="s">
        <v>54</v>
      </c>
      <c r="B15" s="124" t="s">
        <v>328</v>
      </c>
      <c r="C15" s="125">
        <v>6</v>
      </c>
      <c r="D15" s="126" t="s">
        <v>285</v>
      </c>
      <c r="E15" s="127">
        <v>25000</v>
      </c>
      <c r="F15" s="128">
        <v>1125</v>
      </c>
      <c r="G15" s="129">
        <f t="shared" si="0"/>
        <v>981250</v>
      </c>
      <c r="H15" s="130">
        <f t="shared" si="1"/>
        <v>55000</v>
      </c>
      <c r="I15" s="172">
        <v>5500</v>
      </c>
      <c r="J15" s="131">
        <f t="shared" si="2"/>
        <v>5.605095541401274E-2</v>
      </c>
      <c r="K15" s="131">
        <f t="shared" si="3"/>
        <v>17.84090909090909</v>
      </c>
      <c r="L15" s="115">
        <f t="shared" si="4"/>
        <v>8.42090909090909</v>
      </c>
    </row>
    <row r="16" spans="1:12">
      <c r="A16" s="109" t="s">
        <v>54</v>
      </c>
      <c r="B16" s="124" t="s">
        <v>329</v>
      </c>
      <c r="C16" s="125">
        <v>7</v>
      </c>
      <c r="D16" s="126" t="s">
        <v>285</v>
      </c>
      <c r="E16" s="127">
        <v>25000</v>
      </c>
      <c r="F16" s="128">
        <v>1125</v>
      </c>
      <c r="G16" s="129">
        <f t="shared" si="0"/>
        <v>981250</v>
      </c>
      <c r="H16" s="130">
        <f t="shared" si="1"/>
        <v>55000</v>
      </c>
      <c r="I16" s="172">
        <v>5500</v>
      </c>
      <c r="J16" s="131">
        <f t="shared" si="2"/>
        <v>5.605095541401274E-2</v>
      </c>
      <c r="K16" s="131">
        <f t="shared" si="3"/>
        <v>17.84090909090909</v>
      </c>
      <c r="L16" s="115">
        <f t="shared" si="4"/>
        <v>8.42090909090909</v>
      </c>
    </row>
    <row r="17" spans="1:12">
      <c r="A17" s="109" t="s">
        <v>54</v>
      </c>
      <c r="B17" s="124" t="s">
        <v>330</v>
      </c>
      <c r="C17" s="125">
        <v>8</v>
      </c>
      <c r="D17" s="126" t="s">
        <v>285</v>
      </c>
      <c r="E17" s="127">
        <v>25000</v>
      </c>
      <c r="F17" s="128">
        <v>1125</v>
      </c>
      <c r="G17" s="129">
        <f t="shared" si="0"/>
        <v>981250</v>
      </c>
      <c r="H17" s="130">
        <f t="shared" si="1"/>
        <v>55000</v>
      </c>
      <c r="I17" s="172">
        <v>5500</v>
      </c>
      <c r="J17" s="131">
        <f t="shared" si="2"/>
        <v>5.605095541401274E-2</v>
      </c>
      <c r="K17" s="131">
        <f t="shared" si="3"/>
        <v>17.84090909090909</v>
      </c>
      <c r="L17" s="115">
        <f t="shared" si="4"/>
        <v>8.42090909090909</v>
      </c>
    </row>
    <row r="18" spans="1:12">
      <c r="A18" s="109" t="s">
        <v>54</v>
      </c>
      <c r="B18" s="124" t="s">
        <v>331</v>
      </c>
      <c r="C18" s="125">
        <v>9</v>
      </c>
      <c r="D18" s="126" t="s">
        <v>285</v>
      </c>
      <c r="E18" s="127">
        <v>25000</v>
      </c>
      <c r="F18" s="128">
        <v>1125</v>
      </c>
      <c r="G18" s="129">
        <f t="shared" si="0"/>
        <v>981250</v>
      </c>
      <c r="H18" s="130">
        <f t="shared" si="1"/>
        <v>55000</v>
      </c>
      <c r="I18" s="172">
        <v>5500</v>
      </c>
      <c r="J18" s="131">
        <f t="shared" si="2"/>
        <v>5.605095541401274E-2</v>
      </c>
      <c r="K18" s="131">
        <f t="shared" si="3"/>
        <v>17.84090909090909</v>
      </c>
      <c r="L18" s="115">
        <f t="shared" si="4"/>
        <v>8.42090909090909</v>
      </c>
    </row>
    <row r="19" spans="1:12">
      <c r="A19" s="109" t="s">
        <v>54</v>
      </c>
      <c r="B19" s="124" t="s">
        <v>332</v>
      </c>
      <c r="C19" s="125">
        <v>10</v>
      </c>
      <c r="D19" s="126" t="s">
        <v>285</v>
      </c>
      <c r="E19" s="127">
        <v>25000</v>
      </c>
      <c r="F19" s="128">
        <v>1125</v>
      </c>
      <c r="G19" s="129">
        <f t="shared" si="0"/>
        <v>981250</v>
      </c>
      <c r="H19" s="130">
        <f t="shared" si="1"/>
        <v>55000</v>
      </c>
      <c r="I19" s="172">
        <v>5500</v>
      </c>
      <c r="J19" s="131">
        <f t="shared" si="2"/>
        <v>5.605095541401274E-2</v>
      </c>
      <c r="K19" s="131">
        <f t="shared" si="3"/>
        <v>17.84090909090909</v>
      </c>
      <c r="L19" s="115">
        <f t="shared" si="4"/>
        <v>8.42090909090909</v>
      </c>
    </row>
    <row r="20" spans="1:12">
      <c r="A20" s="109" t="s">
        <v>54</v>
      </c>
      <c r="B20" s="124" t="s">
        <v>333</v>
      </c>
      <c r="C20" s="125">
        <v>11</v>
      </c>
      <c r="D20" s="126" t="s">
        <v>285</v>
      </c>
      <c r="E20" s="127">
        <v>25000</v>
      </c>
      <c r="F20" s="128">
        <v>1125</v>
      </c>
      <c r="G20" s="129">
        <f t="shared" si="0"/>
        <v>981250</v>
      </c>
      <c r="H20" s="130">
        <f t="shared" si="1"/>
        <v>55000</v>
      </c>
      <c r="I20" s="172">
        <v>5500</v>
      </c>
      <c r="J20" s="131">
        <f t="shared" si="2"/>
        <v>5.605095541401274E-2</v>
      </c>
      <c r="K20" s="131">
        <f t="shared" si="3"/>
        <v>17.84090909090909</v>
      </c>
      <c r="L20" s="115">
        <f t="shared" si="4"/>
        <v>8.42090909090909</v>
      </c>
    </row>
    <row r="21" spans="1:12">
      <c r="A21" s="109" t="s">
        <v>54</v>
      </c>
      <c r="B21" s="124" t="s">
        <v>334</v>
      </c>
      <c r="C21" s="125">
        <v>12</v>
      </c>
      <c r="D21" s="126" t="s">
        <v>285</v>
      </c>
      <c r="E21" s="127">
        <v>25000</v>
      </c>
      <c r="F21" s="128">
        <v>1125</v>
      </c>
      <c r="G21" s="129">
        <f t="shared" si="0"/>
        <v>981250</v>
      </c>
      <c r="H21" s="130">
        <f t="shared" si="1"/>
        <v>55000</v>
      </c>
      <c r="I21" s="172">
        <v>5500</v>
      </c>
      <c r="J21" s="131">
        <f t="shared" si="2"/>
        <v>5.605095541401274E-2</v>
      </c>
      <c r="K21" s="131">
        <f t="shared" si="3"/>
        <v>17.84090909090909</v>
      </c>
      <c r="L21" s="115">
        <f t="shared" si="4"/>
        <v>8.42090909090909</v>
      </c>
    </row>
    <row r="22" spans="1:12">
      <c r="A22" s="109" t="s">
        <v>54</v>
      </c>
      <c r="B22" s="124" t="s">
        <v>335</v>
      </c>
      <c r="C22" s="125">
        <v>9999999</v>
      </c>
      <c r="D22" s="126" t="s">
        <v>285</v>
      </c>
      <c r="E22" s="127">
        <v>25000</v>
      </c>
      <c r="F22" s="128">
        <v>1125</v>
      </c>
      <c r="G22" s="129">
        <f t="shared" si="0"/>
        <v>981250</v>
      </c>
      <c r="H22" s="130">
        <f t="shared" si="1"/>
        <v>55000</v>
      </c>
      <c r="I22" s="172">
        <v>5500</v>
      </c>
      <c r="J22" s="131">
        <f t="shared" si="2"/>
        <v>5.605095541401274E-2</v>
      </c>
      <c r="K22" s="131">
        <f t="shared" si="3"/>
        <v>17.84090909090909</v>
      </c>
      <c r="L22" s="115">
        <f t="shared" si="4"/>
        <v>8.42090909090909</v>
      </c>
    </row>
    <row r="24" spans="1:12">
      <c r="B24" s="123" t="s">
        <v>367</v>
      </c>
      <c r="C24" s="110"/>
      <c r="D24" s="109" t="s">
        <v>286</v>
      </c>
      <c r="E24" s="111"/>
      <c r="F24" s="112" t="s">
        <v>829</v>
      </c>
      <c r="G24" s="113"/>
      <c r="L24" s="115"/>
    </row>
    <row r="25" spans="1:12">
      <c r="A25" s="109" t="s">
        <v>54</v>
      </c>
      <c r="B25" s="124" t="s">
        <v>287</v>
      </c>
      <c r="C25" s="125">
        <v>35</v>
      </c>
      <c r="D25" s="126" t="s">
        <v>285</v>
      </c>
      <c r="E25" s="127">
        <v>5000</v>
      </c>
      <c r="F25" s="128">
        <v>225</v>
      </c>
      <c r="G25" s="129">
        <f>E25+(F25*850)</f>
        <v>196250</v>
      </c>
      <c r="H25" s="130">
        <f>I25*10</f>
        <v>11000</v>
      </c>
      <c r="I25" s="172">
        <v>1100</v>
      </c>
      <c r="J25" s="131">
        <f>H25/G25</f>
        <v>5.605095541401274E-2</v>
      </c>
      <c r="K25" s="131">
        <f>G25/H25</f>
        <v>17.84090909090909</v>
      </c>
      <c r="L25" s="115">
        <f>K25/K$2</f>
        <v>8.42090909090909</v>
      </c>
    </row>
    <row r="26" spans="1:12">
      <c r="A26" s="109" t="s">
        <v>54</v>
      </c>
      <c r="B26" s="124" t="s">
        <v>288</v>
      </c>
      <c r="C26" s="125">
        <v>85</v>
      </c>
      <c r="D26" s="126" t="s">
        <v>285</v>
      </c>
      <c r="E26" s="127">
        <v>5000</v>
      </c>
      <c r="F26" s="128">
        <v>225</v>
      </c>
      <c r="G26" s="129">
        <f t="shared" ref="G26:G54" si="5">E26+(F26*850)</f>
        <v>196250</v>
      </c>
      <c r="H26" s="130">
        <f t="shared" ref="H26:H54" si="6">I26*10</f>
        <v>11000</v>
      </c>
      <c r="I26" s="172">
        <v>1100</v>
      </c>
      <c r="J26" s="131">
        <f t="shared" ref="J26:J46" si="7">H26/G26</f>
        <v>5.605095541401274E-2</v>
      </c>
      <c r="K26" s="131">
        <f t="shared" ref="K26:K46" si="8">G26/H26</f>
        <v>17.84090909090909</v>
      </c>
      <c r="L26" s="115">
        <f t="shared" ref="L26:L54" si="9">K26/K$2</f>
        <v>8.42090909090909</v>
      </c>
    </row>
    <row r="27" spans="1:12">
      <c r="A27" s="109" t="s">
        <v>54</v>
      </c>
      <c r="B27" s="124" t="s">
        <v>289</v>
      </c>
      <c r="C27" s="125">
        <v>135</v>
      </c>
      <c r="D27" s="126" t="s">
        <v>285</v>
      </c>
      <c r="E27" s="127">
        <v>5000</v>
      </c>
      <c r="F27" s="128">
        <v>225</v>
      </c>
      <c r="G27" s="129">
        <f t="shared" si="5"/>
        <v>196250</v>
      </c>
      <c r="H27" s="130">
        <f t="shared" si="6"/>
        <v>11000</v>
      </c>
      <c r="I27" s="172">
        <v>1100</v>
      </c>
      <c r="J27" s="131">
        <f t="shared" si="7"/>
        <v>5.605095541401274E-2</v>
      </c>
      <c r="K27" s="131">
        <f t="shared" si="8"/>
        <v>17.84090909090909</v>
      </c>
      <c r="L27" s="115">
        <f t="shared" si="9"/>
        <v>8.42090909090909</v>
      </c>
    </row>
    <row r="28" spans="1:12">
      <c r="A28" s="109" t="s">
        <v>54</v>
      </c>
      <c r="B28" s="124" t="s">
        <v>290</v>
      </c>
      <c r="C28" s="125">
        <v>185</v>
      </c>
      <c r="D28" s="126" t="s">
        <v>285</v>
      </c>
      <c r="E28" s="127">
        <v>5000</v>
      </c>
      <c r="F28" s="128">
        <v>225</v>
      </c>
      <c r="G28" s="129">
        <f t="shared" si="5"/>
        <v>196250</v>
      </c>
      <c r="H28" s="130">
        <f t="shared" si="6"/>
        <v>11000</v>
      </c>
      <c r="I28" s="172">
        <v>1100</v>
      </c>
      <c r="J28" s="131">
        <f t="shared" si="7"/>
        <v>5.605095541401274E-2</v>
      </c>
      <c r="K28" s="131">
        <f t="shared" si="8"/>
        <v>17.84090909090909</v>
      </c>
      <c r="L28" s="115">
        <f t="shared" si="9"/>
        <v>8.42090909090909</v>
      </c>
    </row>
    <row r="29" spans="1:12">
      <c r="A29" s="109" t="s">
        <v>54</v>
      </c>
      <c r="B29" s="124" t="s">
        <v>291</v>
      </c>
      <c r="C29" s="125">
        <v>235</v>
      </c>
      <c r="D29" s="126" t="s">
        <v>285</v>
      </c>
      <c r="E29" s="127">
        <v>15000</v>
      </c>
      <c r="F29" s="128">
        <v>675</v>
      </c>
      <c r="G29" s="129">
        <f t="shared" si="5"/>
        <v>588750</v>
      </c>
      <c r="H29" s="130">
        <f t="shared" si="6"/>
        <v>33000</v>
      </c>
      <c r="I29" s="172">
        <v>3300</v>
      </c>
      <c r="J29" s="131">
        <f t="shared" si="7"/>
        <v>5.605095541401274E-2</v>
      </c>
      <c r="K29" s="131">
        <f t="shared" si="8"/>
        <v>17.84090909090909</v>
      </c>
      <c r="L29" s="115">
        <f t="shared" si="9"/>
        <v>8.42090909090909</v>
      </c>
    </row>
    <row r="30" spans="1:12">
      <c r="A30" s="109" t="s">
        <v>54</v>
      </c>
      <c r="B30" s="124" t="s">
        <v>292</v>
      </c>
      <c r="C30" s="125">
        <v>285</v>
      </c>
      <c r="D30" s="126" t="s">
        <v>285</v>
      </c>
      <c r="E30" s="127">
        <v>15000</v>
      </c>
      <c r="F30" s="128">
        <v>675</v>
      </c>
      <c r="G30" s="129">
        <f t="shared" si="5"/>
        <v>588750</v>
      </c>
      <c r="H30" s="130">
        <f t="shared" si="6"/>
        <v>33000</v>
      </c>
      <c r="I30" s="172">
        <v>3300</v>
      </c>
      <c r="J30" s="131">
        <f t="shared" si="7"/>
        <v>5.605095541401274E-2</v>
      </c>
      <c r="K30" s="131">
        <f t="shared" si="8"/>
        <v>17.84090909090909</v>
      </c>
      <c r="L30" s="115">
        <f t="shared" si="9"/>
        <v>8.42090909090909</v>
      </c>
    </row>
    <row r="31" spans="1:12">
      <c r="A31" s="109" t="s">
        <v>54</v>
      </c>
      <c r="B31" s="124" t="s">
        <v>293</v>
      </c>
      <c r="C31" s="125">
        <v>335</v>
      </c>
      <c r="D31" s="126" t="s">
        <v>285</v>
      </c>
      <c r="E31" s="127">
        <v>15000</v>
      </c>
      <c r="F31" s="128">
        <v>675</v>
      </c>
      <c r="G31" s="129">
        <f t="shared" si="5"/>
        <v>588750</v>
      </c>
      <c r="H31" s="130">
        <f t="shared" si="6"/>
        <v>33000</v>
      </c>
      <c r="I31" s="172">
        <v>3300</v>
      </c>
      <c r="J31" s="131">
        <f t="shared" si="7"/>
        <v>5.605095541401274E-2</v>
      </c>
      <c r="K31" s="131">
        <f t="shared" si="8"/>
        <v>17.84090909090909</v>
      </c>
      <c r="L31" s="115">
        <f t="shared" si="9"/>
        <v>8.42090909090909</v>
      </c>
    </row>
    <row r="32" spans="1:12">
      <c r="A32" s="109" t="s">
        <v>54</v>
      </c>
      <c r="B32" s="124" t="s">
        <v>294</v>
      </c>
      <c r="C32" s="125">
        <v>385</v>
      </c>
      <c r="D32" s="126" t="s">
        <v>285</v>
      </c>
      <c r="E32" s="127">
        <v>15000</v>
      </c>
      <c r="F32" s="128">
        <v>675</v>
      </c>
      <c r="G32" s="129">
        <f t="shared" si="5"/>
        <v>588750</v>
      </c>
      <c r="H32" s="130">
        <f t="shared" si="6"/>
        <v>33000</v>
      </c>
      <c r="I32" s="172">
        <v>3300</v>
      </c>
      <c r="J32" s="131">
        <f t="shared" si="7"/>
        <v>5.605095541401274E-2</v>
      </c>
      <c r="K32" s="131">
        <f t="shared" si="8"/>
        <v>17.84090909090909</v>
      </c>
      <c r="L32" s="115">
        <f t="shared" si="9"/>
        <v>8.42090909090909</v>
      </c>
    </row>
    <row r="33" spans="1:12">
      <c r="A33" s="109" t="s">
        <v>54</v>
      </c>
      <c r="B33" s="124" t="s">
        <v>295</v>
      </c>
      <c r="C33" s="125">
        <v>435</v>
      </c>
      <c r="D33" s="126" t="s">
        <v>285</v>
      </c>
      <c r="E33" s="127">
        <v>25000</v>
      </c>
      <c r="F33" s="128">
        <v>1125</v>
      </c>
      <c r="G33" s="129">
        <f t="shared" si="5"/>
        <v>981250</v>
      </c>
      <c r="H33" s="130">
        <f t="shared" si="6"/>
        <v>55000</v>
      </c>
      <c r="I33" s="172">
        <v>5500</v>
      </c>
      <c r="J33" s="131">
        <f t="shared" si="7"/>
        <v>5.605095541401274E-2</v>
      </c>
      <c r="K33" s="131">
        <f t="shared" si="8"/>
        <v>17.84090909090909</v>
      </c>
      <c r="L33" s="115">
        <f t="shared" si="9"/>
        <v>8.42090909090909</v>
      </c>
    </row>
    <row r="34" spans="1:12">
      <c r="A34" s="109" t="s">
        <v>54</v>
      </c>
      <c r="B34" s="124" t="s">
        <v>296</v>
      </c>
      <c r="C34" s="125">
        <v>485</v>
      </c>
      <c r="D34" s="126" t="s">
        <v>285</v>
      </c>
      <c r="E34" s="127">
        <v>25000</v>
      </c>
      <c r="F34" s="128">
        <v>1125</v>
      </c>
      <c r="G34" s="129">
        <f t="shared" si="5"/>
        <v>981250</v>
      </c>
      <c r="H34" s="130">
        <f t="shared" si="6"/>
        <v>55000</v>
      </c>
      <c r="I34" s="172">
        <v>5500</v>
      </c>
      <c r="J34" s="131">
        <f t="shared" si="7"/>
        <v>5.605095541401274E-2</v>
      </c>
      <c r="K34" s="131">
        <f t="shared" si="8"/>
        <v>17.84090909090909</v>
      </c>
      <c r="L34" s="115">
        <f t="shared" si="9"/>
        <v>8.42090909090909</v>
      </c>
    </row>
    <row r="35" spans="1:12">
      <c r="A35" s="109" t="s">
        <v>54</v>
      </c>
      <c r="B35" s="124" t="s">
        <v>297</v>
      </c>
      <c r="C35" s="125">
        <v>535</v>
      </c>
      <c r="D35" s="126" t="s">
        <v>285</v>
      </c>
      <c r="E35" s="127">
        <v>25000</v>
      </c>
      <c r="F35" s="128">
        <v>1125</v>
      </c>
      <c r="G35" s="129">
        <f t="shared" si="5"/>
        <v>981250</v>
      </c>
      <c r="H35" s="130">
        <f t="shared" si="6"/>
        <v>55000</v>
      </c>
      <c r="I35" s="172">
        <v>5500</v>
      </c>
      <c r="J35" s="131">
        <f t="shared" si="7"/>
        <v>5.605095541401274E-2</v>
      </c>
      <c r="K35" s="131">
        <f t="shared" si="8"/>
        <v>17.84090909090909</v>
      </c>
      <c r="L35" s="115">
        <f t="shared" si="9"/>
        <v>8.42090909090909</v>
      </c>
    </row>
    <row r="36" spans="1:12">
      <c r="A36" s="109" t="s">
        <v>54</v>
      </c>
      <c r="B36" s="124" t="s">
        <v>298</v>
      </c>
      <c r="C36" s="125">
        <v>585</v>
      </c>
      <c r="D36" s="126" t="s">
        <v>285</v>
      </c>
      <c r="E36" s="127">
        <v>25000</v>
      </c>
      <c r="F36" s="128">
        <v>1125</v>
      </c>
      <c r="G36" s="129">
        <f t="shared" si="5"/>
        <v>981250</v>
      </c>
      <c r="H36" s="130">
        <f t="shared" si="6"/>
        <v>55000</v>
      </c>
      <c r="I36" s="172">
        <v>5500</v>
      </c>
      <c r="J36" s="131">
        <f t="shared" si="7"/>
        <v>5.605095541401274E-2</v>
      </c>
      <c r="K36" s="131">
        <f t="shared" si="8"/>
        <v>17.84090909090909</v>
      </c>
      <c r="L36" s="115">
        <f t="shared" si="9"/>
        <v>8.42090909090909</v>
      </c>
    </row>
    <row r="37" spans="1:12">
      <c r="A37" s="109" t="s">
        <v>54</v>
      </c>
      <c r="B37" s="124" t="s">
        <v>299</v>
      </c>
      <c r="C37" s="125">
        <v>635</v>
      </c>
      <c r="D37" s="126" t="s">
        <v>285</v>
      </c>
      <c r="E37" s="127">
        <v>25000</v>
      </c>
      <c r="F37" s="128">
        <v>1125</v>
      </c>
      <c r="G37" s="129">
        <f t="shared" si="5"/>
        <v>981250</v>
      </c>
      <c r="H37" s="130">
        <f t="shared" si="6"/>
        <v>55000</v>
      </c>
      <c r="I37" s="172">
        <v>5500</v>
      </c>
      <c r="J37" s="131">
        <f t="shared" si="7"/>
        <v>5.605095541401274E-2</v>
      </c>
      <c r="K37" s="131">
        <f t="shared" si="8"/>
        <v>17.84090909090909</v>
      </c>
      <c r="L37" s="115">
        <f t="shared" si="9"/>
        <v>8.42090909090909</v>
      </c>
    </row>
    <row r="38" spans="1:12">
      <c r="A38" s="109" t="s">
        <v>54</v>
      </c>
      <c r="B38" s="124" t="s">
        <v>300</v>
      </c>
      <c r="C38" s="125">
        <v>685</v>
      </c>
      <c r="D38" s="126" t="s">
        <v>285</v>
      </c>
      <c r="E38" s="127">
        <v>25000</v>
      </c>
      <c r="F38" s="128">
        <v>1125</v>
      </c>
      <c r="G38" s="129">
        <f t="shared" si="5"/>
        <v>981250</v>
      </c>
      <c r="H38" s="130">
        <f t="shared" si="6"/>
        <v>55000</v>
      </c>
      <c r="I38" s="172">
        <v>5500</v>
      </c>
      <c r="J38" s="131">
        <f t="shared" si="7"/>
        <v>5.605095541401274E-2</v>
      </c>
      <c r="K38" s="131">
        <f t="shared" si="8"/>
        <v>17.84090909090909</v>
      </c>
      <c r="L38" s="115">
        <f t="shared" si="9"/>
        <v>8.42090909090909</v>
      </c>
    </row>
    <row r="39" spans="1:12">
      <c r="A39" s="109" t="s">
        <v>54</v>
      </c>
      <c r="B39" s="124" t="s">
        <v>301</v>
      </c>
      <c r="C39" s="125">
        <v>735</v>
      </c>
      <c r="D39" s="126" t="s">
        <v>285</v>
      </c>
      <c r="E39" s="127">
        <v>25000</v>
      </c>
      <c r="F39" s="128">
        <v>1125</v>
      </c>
      <c r="G39" s="129">
        <f t="shared" si="5"/>
        <v>981250</v>
      </c>
      <c r="H39" s="130">
        <f t="shared" si="6"/>
        <v>55000</v>
      </c>
      <c r="I39" s="172">
        <v>5500</v>
      </c>
      <c r="J39" s="131">
        <f t="shared" si="7"/>
        <v>5.605095541401274E-2</v>
      </c>
      <c r="K39" s="131">
        <f t="shared" si="8"/>
        <v>17.84090909090909</v>
      </c>
      <c r="L39" s="115">
        <f t="shared" si="9"/>
        <v>8.42090909090909</v>
      </c>
    </row>
    <row r="40" spans="1:12">
      <c r="A40" s="109" t="s">
        <v>54</v>
      </c>
      <c r="B40" s="124" t="s">
        <v>302</v>
      </c>
      <c r="C40" s="125">
        <v>785</v>
      </c>
      <c r="D40" s="126" t="s">
        <v>285</v>
      </c>
      <c r="E40" s="127">
        <v>25000</v>
      </c>
      <c r="F40" s="128">
        <v>1125</v>
      </c>
      <c r="G40" s="129">
        <f t="shared" si="5"/>
        <v>981250</v>
      </c>
      <c r="H40" s="130">
        <f t="shared" si="6"/>
        <v>55000</v>
      </c>
      <c r="I40" s="172">
        <v>5500</v>
      </c>
      <c r="J40" s="131">
        <f t="shared" si="7"/>
        <v>5.605095541401274E-2</v>
      </c>
      <c r="K40" s="131">
        <f t="shared" si="8"/>
        <v>17.84090909090909</v>
      </c>
      <c r="L40" s="115">
        <f t="shared" si="9"/>
        <v>8.42090909090909</v>
      </c>
    </row>
    <row r="41" spans="1:12">
      <c r="A41" s="109" t="s">
        <v>54</v>
      </c>
      <c r="B41" s="124" t="s">
        <v>303</v>
      </c>
      <c r="C41" s="125">
        <v>835</v>
      </c>
      <c r="D41" s="126" t="s">
        <v>285</v>
      </c>
      <c r="E41" s="127">
        <v>25000</v>
      </c>
      <c r="F41" s="128">
        <v>1125</v>
      </c>
      <c r="G41" s="129">
        <f t="shared" si="5"/>
        <v>981250</v>
      </c>
      <c r="H41" s="130">
        <f t="shared" si="6"/>
        <v>55000</v>
      </c>
      <c r="I41" s="172">
        <v>5500</v>
      </c>
      <c r="J41" s="131">
        <f t="shared" si="7"/>
        <v>5.605095541401274E-2</v>
      </c>
      <c r="K41" s="131">
        <f t="shared" si="8"/>
        <v>17.84090909090909</v>
      </c>
      <c r="L41" s="115">
        <f t="shared" si="9"/>
        <v>8.42090909090909</v>
      </c>
    </row>
    <row r="42" spans="1:12">
      <c r="A42" s="109" t="s">
        <v>54</v>
      </c>
      <c r="B42" s="124" t="s">
        <v>304</v>
      </c>
      <c r="C42" s="125">
        <v>885</v>
      </c>
      <c r="D42" s="126" t="s">
        <v>285</v>
      </c>
      <c r="E42" s="127">
        <v>25000</v>
      </c>
      <c r="F42" s="128">
        <v>1125</v>
      </c>
      <c r="G42" s="129">
        <f t="shared" si="5"/>
        <v>981250</v>
      </c>
      <c r="H42" s="130">
        <f t="shared" si="6"/>
        <v>55000</v>
      </c>
      <c r="I42" s="172">
        <v>5500</v>
      </c>
      <c r="J42" s="131">
        <f t="shared" si="7"/>
        <v>5.605095541401274E-2</v>
      </c>
      <c r="K42" s="131">
        <f t="shared" si="8"/>
        <v>17.84090909090909</v>
      </c>
      <c r="L42" s="115">
        <f t="shared" si="9"/>
        <v>8.42090909090909</v>
      </c>
    </row>
    <row r="43" spans="1:12">
      <c r="A43" s="109" t="s">
        <v>54</v>
      </c>
      <c r="B43" s="124" t="s">
        <v>305</v>
      </c>
      <c r="C43" s="125">
        <v>935</v>
      </c>
      <c r="D43" s="126" t="s">
        <v>285</v>
      </c>
      <c r="E43" s="127">
        <v>25000</v>
      </c>
      <c r="F43" s="128">
        <v>1125</v>
      </c>
      <c r="G43" s="129">
        <f t="shared" si="5"/>
        <v>981250</v>
      </c>
      <c r="H43" s="130">
        <f t="shared" si="6"/>
        <v>55000</v>
      </c>
      <c r="I43" s="172">
        <v>5500</v>
      </c>
      <c r="J43" s="131">
        <f t="shared" si="7"/>
        <v>5.605095541401274E-2</v>
      </c>
      <c r="K43" s="131">
        <f t="shared" si="8"/>
        <v>17.84090909090909</v>
      </c>
      <c r="L43" s="115">
        <f t="shared" si="9"/>
        <v>8.42090909090909</v>
      </c>
    </row>
    <row r="44" spans="1:12">
      <c r="A44" s="109" t="s">
        <v>54</v>
      </c>
      <c r="B44" s="124" t="s">
        <v>306</v>
      </c>
      <c r="C44" s="125">
        <v>985</v>
      </c>
      <c r="D44" s="126" t="s">
        <v>285</v>
      </c>
      <c r="E44" s="127">
        <v>25000</v>
      </c>
      <c r="F44" s="128">
        <v>1125</v>
      </c>
      <c r="G44" s="129">
        <f t="shared" si="5"/>
        <v>981250</v>
      </c>
      <c r="H44" s="130">
        <f t="shared" si="6"/>
        <v>55000</v>
      </c>
      <c r="I44" s="172">
        <v>5500</v>
      </c>
      <c r="J44" s="131">
        <f t="shared" si="7"/>
        <v>5.605095541401274E-2</v>
      </c>
      <c r="K44" s="131">
        <f t="shared" si="8"/>
        <v>17.84090909090909</v>
      </c>
      <c r="L44" s="115">
        <f t="shared" si="9"/>
        <v>8.42090909090909</v>
      </c>
    </row>
    <row r="45" spans="1:12">
      <c r="A45" s="109" t="s">
        <v>54</v>
      </c>
      <c r="B45" s="124" t="s">
        <v>307</v>
      </c>
      <c r="C45" s="125">
        <v>1035</v>
      </c>
      <c r="D45" s="126" t="s">
        <v>285</v>
      </c>
      <c r="E45" s="127">
        <v>25000</v>
      </c>
      <c r="F45" s="128">
        <v>1125</v>
      </c>
      <c r="G45" s="129">
        <f t="shared" si="5"/>
        <v>981250</v>
      </c>
      <c r="H45" s="130">
        <f t="shared" si="6"/>
        <v>55000</v>
      </c>
      <c r="I45" s="172">
        <v>5500</v>
      </c>
      <c r="J45" s="131">
        <f t="shared" si="7"/>
        <v>5.605095541401274E-2</v>
      </c>
      <c r="K45" s="131">
        <f t="shared" si="8"/>
        <v>17.84090909090909</v>
      </c>
      <c r="L45" s="115">
        <f t="shared" si="9"/>
        <v>8.42090909090909</v>
      </c>
    </row>
    <row r="46" spans="1:12">
      <c r="A46" s="109" t="s">
        <v>54</v>
      </c>
      <c r="B46" s="124" t="s">
        <v>308</v>
      </c>
      <c r="C46" s="125">
        <v>1085</v>
      </c>
      <c r="D46" s="126" t="s">
        <v>285</v>
      </c>
      <c r="E46" s="127">
        <v>25000</v>
      </c>
      <c r="F46" s="128">
        <v>1125</v>
      </c>
      <c r="G46" s="129">
        <f t="shared" si="5"/>
        <v>981250</v>
      </c>
      <c r="H46" s="130">
        <f t="shared" si="6"/>
        <v>55000</v>
      </c>
      <c r="I46" s="172">
        <v>5500</v>
      </c>
      <c r="J46" s="131">
        <f t="shared" si="7"/>
        <v>5.605095541401274E-2</v>
      </c>
      <c r="K46" s="131">
        <f t="shared" si="8"/>
        <v>17.84090909090909</v>
      </c>
      <c r="L46" s="115">
        <f t="shared" si="9"/>
        <v>8.42090909090909</v>
      </c>
    </row>
    <row r="47" spans="1:12">
      <c r="A47" s="109" t="s">
        <v>54</v>
      </c>
      <c r="B47" s="124" t="s">
        <v>309</v>
      </c>
      <c r="C47" s="125">
        <v>1135</v>
      </c>
      <c r="D47" s="126" t="s">
        <v>285</v>
      </c>
      <c r="E47" s="127">
        <v>25000</v>
      </c>
      <c r="F47" s="128">
        <v>1125</v>
      </c>
      <c r="G47" s="129">
        <f t="shared" si="5"/>
        <v>981250</v>
      </c>
      <c r="H47" s="130">
        <f>I47*10</f>
        <v>55000</v>
      </c>
      <c r="I47" s="172">
        <v>5500</v>
      </c>
      <c r="J47" s="131">
        <f>H47/G47</f>
        <v>5.605095541401274E-2</v>
      </c>
      <c r="K47" s="131">
        <f>G47/H47</f>
        <v>17.84090909090909</v>
      </c>
      <c r="L47" s="115">
        <f>K47/K$2</f>
        <v>8.42090909090909</v>
      </c>
    </row>
    <row r="48" spans="1:12">
      <c r="A48" s="109" t="s">
        <v>54</v>
      </c>
      <c r="B48" s="124" t="s">
        <v>310</v>
      </c>
      <c r="C48" s="125">
        <v>1185</v>
      </c>
      <c r="D48" s="126" t="s">
        <v>285</v>
      </c>
      <c r="E48" s="127">
        <v>25000</v>
      </c>
      <c r="F48" s="128">
        <v>1125</v>
      </c>
      <c r="G48" s="129">
        <f t="shared" si="5"/>
        <v>981250</v>
      </c>
      <c r="H48" s="130">
        <f t="shared" si="6"/>
        <v>55000</v>
      </c>
      <c r="I48" s="172">
        <v>5500</v>
      </c>
      <c r="J48" s="131">
        <f t="shared" ref="J48:J52" si="10">H48/G48</f>
        <v>5.605095541401274E-2</v>
      </c>
      <c r="K48" s="131">
        <f t="shared" ref="K48:K52" si="11">G48/H48</f>
        <v>17.84090909090909</v>
      </c>
      <c r="L48" s="115">
        <f t="shared" si="9"/>
        <v>8.42090909090909</v>
      </c>
    </row>
    <row r="49" spans="1:12">
      <c r="A49" s="109" t="s">
        <v>54</v>
      </c>
      <c r="B49" s="124" t="s">
        <v>311</v>
      </c>
      <c r="C49" s="125">
        <v>1235</v>
      </c>
      <c r="D49" s="126" t="s">
        <v>285</v>
      </c>
      <c r="E49" s="127">
        <v>25000</v>
      </c>
      <c r="F49" s="128">
        <v>1125</v>
      </c>
      <c r="G49" s="129">
        <f t="shared" si="5"/>
        <v>981250</v>
      </c>
      <c r="H49" s="130">
        <f t="shared" si="6"/>
        <v>55000</v>
      </c>
      <c r="I49" s="172">
        <v>5500</v>
      </c>
      <c r="J49" s="131">
        <f t="shared" si="10"/>
        <v>5.605095541401274E-2</v>
      </c>
      <c r="K49" s="131">
        <f t="shared" si="11"/>
        <v>17.84090909090909</v>
      </c>
      <c r="L49" s="115">
        <f t="shared" si="9"/>
        <v>8.42090909090909</v>
      </c>
    </row>
    <row r="50" spans="1:12">
      <c r="A50" s="109" t="s">
        <v>54</v>
      </c>
      <c r="B50" s="124" t="s">
        <v>312</v>
      </c>
      <c r="C50" s="125">
        <v>1285</v>
      </c>
      <c r="D50" s="126" t="s">
        <v>285</v>
      </c>
      <c r="E50" s="127">
        <v>25000</v>
      </c>
      <c r="F50" s="128">
        <v>1125</v>
      </c>
      <c r="G50" s="129">
        <f t="shared" si="5"/>
        <v>981250</v>
      </c>
      <c r="H50" s="130">
        <f t="shared" si="6"/>
        <v>55000</v>
      </c>
      <c r="I50" s="172">
        <v>5500</v>
      </c>
      <c r="J50" s="131">
        <f t="shared" si="10"/>
        <v>5.605095541401274E-2</v>
      </c>
      <c r="K50" s="131">
        <f t="shared" si="11"/>
        <v>17.84090909090909</v>
      </c>
      <c r="L50" s="115">
        <f t="shared" si="9"/>
        <v>8.42090909090909</v>
      </c>
    </row>
    <row r="51" spans="1:12">
      <c r="A51" s="109" t="s">
        <v>54</v>
      </c>
      <c r="B51" s="124" t="s">
        <v>313</v>
      </c>
      <c r="C51" s="125">
        <v>1335</v>
      </c>
      <c r="D51" s="126" t="s">
        <v>285</v>
      </c>
      <c r="E51" s="127">
        <v>25000</v>
      </c>
      <c r="F51" s="128">
        <v>1125</v>
      </c>
      <c r="G51" s="129">
        <f t="shared" si="5"/>
        <v>981250</v>
      </c>
      <c r="H51" s="130">
        <f t="shared" si="6"/>
        <v>55000</v>
      </c>
      <c r="I51" s="172">
        <v>5500</v>
      </c>
      <c r="J51" s="131">
        <f t="shared" si="10"/>
        <v>5.605095541401274E-2</v>
      </c>
      <c r="K51" s="131">
        <f t="shared" si="11"/>
        <v>17.84090909090909</v>
      </c>
      <c r="L51" s="115">
        <f t="shared" si="9"/>
        <v>8.42090909090909</v>
      </c>
    </row>
    <row r="52" spans="1:12">
      <c r="A52" s="109" t="s">
        <v>54</v>
      </c>
      <c r="B52" s="124" t="s">
        <v>314</v>
      </c>
      <c r="C52" s="125">
        <v>1385</v>
      </c>
      <c r="D52" s="126" t="s">
        <v>285</v>
      </c>
      <c r="E52" s="127">
        <v>25000</v>
      </c>
      <c r="F52" s="128">
        <v>1125</v>
      </c>
      <c r="G52" s="129">
        <f t="shared" si="5"/>
        <v>981250</v>
      </c>
      <c r="H52" s="130">
        <f t="shared" si="6"/>
        <v>55000</v>
      </c>
      <c r="I52" s="172">
        <v>5500</v>
      </c>
      <c r="J52" s="131">
        <f t="shared" si="10"/>
        <v>5.605095541401274E-2</v>
      </c>
      <c r="K52" s="131">
        <f t="shared" si="11"/>
        <v>17.84090909090909</v>
      </c>
      <c r="L52" s="115">
        <f t="shared" si="9"/>
        <v>8.42090909090909</v>
      </c>
    </row>
    <row r="53" spans="1:12">
      <c r="A53" s="109" t="s">
        <v>54</v>
      </c>
      <c r="B53" s="124" t="s">
        <v>315</v>
      </c>
      <c r="C53" s="125">
        <v>1435</v>
      </c>
      <c r="D53" s="126" t="s">
        <v>285</v>
      </c>
      <c r="E53" s="127">
        <v>25000</v>
      </c>
      <c r="F53" s="128">
        <v>1125</v>
      </c>
      <c r="G53" s="129">
        <f t="shared" si="5"/>
        <v>981250</v>
      </c>
      <c r="H53" s="130">
        <f>I53*10</f>
        <v>55000</v>
      </c>
      <c r="I53" s="172">
        <v>5500</v>
      </c>
      <c r="J53" s="131">
        <f>H53/G53</f>
        <v>5.605095541401274E-2</v>
      </c>
      <c r="K53" s="131">
        <f>G53/H53</f>
        <v>17.84090909090909</v>
      </c>
      <c r="L53" s="115">
        <f>K53/K$2</f>
        <v>8.42090909090909</v>
      </c>
    </row>
    <row r="54" spans="1:12">
      <c r="A54" s="109" t="s">
        <v>54</v>
      </c>
      <c r="B54" s="124" t="s">
        <v>316</v>
      </c>
      <c r="C54" s="125">
        <v>1485</v>
      </c>
      <c r="D54" s="126" t="s">
        <v>285</v>
      </c>
      <c r="E54" s="127">
        <v>25000</v>
      </c>
      <c r="F54" s="128">
        <v>1125</v>
      </c>
      <c r="G54" s="129">
        <f t="shared" si="5"/>
        <v>981250</v>
      </c>
      <c r="H54" s="130">
        <f t="shared" si="6"/>
        <v>55000</v>
      </c>
      <c r="I54" s="172">
        <v>5500</v>
      </c>
      <c r="J54" s="131">
        <f t="shared" ref="J54" si="12">H54/G54</f>
        <v>5.605095541401274E-2</v>
      </c>
      <c r="K54" s="131">
        <f t="shared" ref="K54" si="13">G54/H54</f>
        <v>17.84090909090909</v>
      </c>
      <c r="L54" s="115">
        <f t="shared" si="9"/>
        <v>8.42090909090909</v>
      </c>
    </row>
    <row r="56" spans="1:12">
      <c r="B56" s="123" t="s">
        <v>317</v>
      </c>
      <c r="C56" s="110"/>
      <c r="D56" s="109" t="s">
        <v>318</v>
      </c>
      <c r="E56" s="111"/>
      <c r="F56" s="112" t="s">
        <v>830</v>
      </c>
      <c r="G56" s="113"/>
      <c r="L56" s="115"/>
    </row>
    <row r="57" spans="1:12">
      <c r="A57" s="109" t="s">
        <v>54</v>
      </c>
      <c r="B57" s="124" t="s">
        <v>336</v>
      </c>
      <c r="C57" s="125">
        <v>2000</v>
      </c>
      <c r="D57" s="126" t="s">
        <v>231</v>
      </c>
      <c r="E57" s="127">
        <v>1000</v>
      </c>
      <c r="F57" s="128">
        <v>590</v>
      </c>
      <c r="G57" s="129">
        <f>E57+(F57*100)</f>
        <v>60000</v>
      </c>
      <c r="H57" s="130">
        <f>I57*10</f>
        <v>3300</v>
      </c>
      <c r="I57" s="172">
        <v>330</v>
      </c>
      <c r="J57" s="131">
        <f>H57/G57</f>
        <v>5.5E-2</v>
      </c>
      <c r="K57" s="131">
        <f>G57/H57</f>
        <v>18.181818181818183</v>
      </c>
      <c r="L57" s="115">
        <f>K57/K$2</f>
        <v>8.581818181818182</v>
      </c>
    </row>
    <row r="58" spans="1:12">
      <c r="A58" s="109" t="s">
        <v>54</v>
      </c>
      <c r="B58" s="124" t="s">
        <v>337</v>
      </c>
      <c r="C58" s="125">
        <v>3000</v>
      </c>
      <c r="D58" s="126" t="s">
        <v>231</v>
      </c>
      <c r="E58" s="127">
        <v>1000</v>
      </c>
      <c r="F58" s="128">
        <v>590</v>
      </c>
      <c r="G58" s="129">
        <f t="shared" ref="G58:G79" si="14">E58+(F58*100)</f>
        <v>60000</v>
      </c>
      <c r="H58" s="130">
        <f t="shared" ref="H58:H86" si="15">I58*10</f>
        <v>3300</v>
      </c>
      <c r="I58" s="172">
        <v>330</v>
      </c>
      <c r="J58" s="131">
        <f t="shared" ref="J58:J79" si="16">H58/G58</f>
        <v>5.5E-2</v>
      </c>
      <c r="K58" s="131">
        <f t="shared" ref="K58:K79" si="17">G58/H58</f>
        <v>18.181818181818183</v>
      </c>
      <c r="L58" s="115">
        <f t="shared" ref="L58:L86" si="18">K58/K$2</f>
        <v>8.581818181818182</v>
      </c>
    </row>
    <row r="59" spans="1:12">
      <c r="A59" s="109" t="s">
        <v>54</v>
      </c>
      <c r="B59" s="124" t="s">
        <v>338</v>
      </c>
      <c r="C59" s="125">
        <v>4000</v>
      </c>
      <c r="D59" s="126" t="s">
        <v>231</v>
      </c>
      <c r="E59" s="127">
        <v>3000</v>
      </c>
      <c r="F59" s="128">
        <v>960</v>
      </c>
      <c r="G59" s="129">
        <f t="shared" si="14"/>
        <v>99000</v>
      </c>
      <c r="H59" s="130">
        <f t="shared" si="15"/>
        <v>5500</v>
      </c>
      <c r="I59" s="172">
        <v>550</v>
      </c>
      <c r="J59" s="131">
        <f t="shared" si="16"/>
        <v>5.5555555555555552E-2</v>
      </c>
      <c r="K59" s="131">
        <f t="shared" si="17"/>
        <v>18</v>
      </c>
      <c r="L59" s="115">
        <f t="shared" si="18"/>
        <v>8.4959999999999987</v>
      </c>
    </row>
    <row r="60" spans="1:12">
      <c r="A60" s="109" t="s">
        <v>54</v>
      </c>
      <c r="B60" s="124" t="s">
        <v>339</v>
      </c>
      <c r="C60" s="125">
        <v>8000</v>
      </c>
      <c r="D60" s="126" t="s">
        <v>231</v>
      </c>
      <c r="E60" s="127">
        <v>3000</v>
      </c>
      <c r="F60" s="128">
        <v>960</v>
      </c>
      <c r="G60" s="129">
        <f t="shared" si="14"/>
        <v>99000</v>
      </c>
      <c r="H60" s="130">
        <f t="shared" si="15"/>
        <v>5500</v>
      </c>
      <c r="I60" s="172">
        <v>550</v>
      </c>
      <c r="J60" s="131">
        <f t="shared" si="16"/>
        <v>5.5555555555555552E-2</v>
      </c>
      <c r="K60" s="131">
        <f t="shared" si="17"/>
        <v>18</v>
      </c>
      <c r="L60" s="115">
        <f t="shared" si="18"/>
        <v>8.4959999999999987</v>
      </c>
    </row>
    <row r="61" spans="1:12">
      <c r="A61" s="109" t="s">
        <v>54</v>
      </c>
      <c r="B61" s="124" t="s">
        <v>340</v>
      </c>
      <c r="C61" s="125">
        <v>12000</v>
      </c>
      <c r="D61" s="126" t="s">
        <v>231</v>
      </c>
      <c r="E61" s="127">
        <v>5000</v>
      </c>
      <c r="F61" s="128">
        <v>1950</v>
      </c>
      <c r="G61" s="129">
        <f t="shared" si="14"/>
        <v>200000</v>
      </c>
      <c r="H61" s="130">
        <f t="shared" si="15"/>
        <v>11000</v>
      </c>
      <c r="I61" s="172">
        <v>1100</v>
      </c>
      <c r="J61" s="131">
        <f t="shared" si="16"/>
        <v>5.5E-2</v>
      </c>
      <c r="K61" s="131">
        <f t="shared" si="17"/>
        <v>18.181818181818183</v>
      </c>
      <c r="L61" s="115">
        <f t="shared" si="18"/>
        <v>8.581818181818182</v>
      </c>
    </row>
    <row r="62" spans="1:12">
      <c r="A62" s="109" t="s">
        <v>54</v>
      </c>
      <c r="B62" s="124" t="s">
        <v>341</v>
      </c>
      <c r="C62" s="125">
        <v>17000</v>
      </c>
      <c r="D62" s="126" t="s">
        <v>231</v>
      </c>
      <c r="E62" s="127">
        <v>5000</v>
      </c>
      <c r="F62" s="128">
        <v>1950</v>
      </c>
      <c r="G62" s="129">
        <f t="shared" si="14"/>
        <v>200000</v>
      </c>
      <c r="H62" s="130">
        <f t="shared" si="15"/>
        <v>11000</v>
      </c>
      <c r="I62" s="172">
        <v>1100</v>
      </c>
      <c r="J62" s="131">
        <f t="shared" si="16"/>
        <v>5.5E-2</v>
      </c>
      <c r="K62" s="131">
        <f t="shared" si="17"/>
        <v>18.181818181818183</v>
      </c>
      <c r="L62" s="115">
        <f t="shared" si="18"/>
        <v>8.581818181818182</v>
      </c>
    </row>
    <row r="63" spans="1:12">
      <c r="A63" s="109" t="s">
        <v>54</v>
      </c>
      <c r="B63" s="124" t="s">
        <v>342</v>
      </c>
      <c r="C63" s="125">
        <v>22000</v>
      </c>
      <c r="D63" s="126" t="s">
        <v>231</v>
      </c>
      <c r="E63" s="127">
        <v>10000</v>
      </c>
      <c r="F63" s="128">
        <v>5900</v>
      </c>
      <c r="G63" s="129">
        <f t="shared" si="14"/>
        <v>600000</v>
      </c>
      <c r="H63" s="130">
        <f t="shared" si="15"/>
        <v>33000</v>
      </c>
      <c r="I63" s="172">
        <v>3300</v>
      </c>
      <c r="J63" s="131">
        <f t="shared" si="16"/>
        <v>5.5E-2</v>
      </c>
      <c r="K63" s="131">
        <f t="shared" si="17"/>
        <v>18.181818181818183</v>
      </c>
      <c r="L63" s="115">
        <f t="shared" si="18"/>
        <v>8.581818181818182</v>
      </c>
    </row>
    <row r="64" spans="1:12">
      <c r="A64" s="109" t="s">
        <v>54</v>
      </c>
      <c r="B64" s="124" t="s">
        <v>343</v>
      </c>
      <c r="C64" s="125">
        <v>31000</v>
      </c>
      <c r="D64" s="126" t="s">
        <v>231</v>
      </c>
      <c r="E64" s="127">
        <v>10000</v>
      </c>
      <c r="F64" s="128">
        <v>5900</v>
      </c>
      <c r="G64" s="129">
        <f t="shared" si="14"/>
        <v>600000</v>
      </c>
      <c r="H64" s="130">
        <f t="shared" si="15"/>
        <v>33000</v>
      </c>
      <c r="I64" s="172">
        <v>3300</v>
      </c>
      <c r="J64" s="131">
        <f t="shared" si="16"/>
        <v>5.5E-2</v>
      </c>
      <c r="K64" s="131">
        <f t="shared" si="17"/>
        <v>18.181818181818183</v>
      </c>
      <c r="L64" s="115">
        <f t="shared" si="18"/>
        <v>8.581818181818182</v>
      </c>
    </row>
    <row r="65" spans="1:12">
      <c r="A65" s="109" t="s">
        <v>54</v>
      </c>
      <c r="B65" s="124" t="s">
        <v>344</v>
      </c>
      <c r="C65" s="125">
        <v>40000</v>
      </c>
      <c r="D65" s="126" t="s">
        <v>231</v>
      </c>
      <c r="E65" s="127">
        <v>10000</v>
      </c>
      <c r="F65" s="128">
        <v>5900</v>
      </c>
      <c r="G65" s="129">
        <f t="shared" si="14"/>
        <v>600000</v>
      </c>
      <c r="H65" s="130">
        <f t="shared" si="15"/>
        <v>33000</v>
      </c>
      <c r="I65" s="172">
        <v>3300</v>
      </c>
      <c r="J65" s="131">
        <f t="shared" si="16"/>
        <v>5.5E-2</v>
      </c>
      <c r="K65" s="131">
        <f t="shared" si="17"/>
        <v>18.181818181818183</v>
      </c>
      <c r="L65" s="115">
        <f t="shared" si="18"/>
        <v>8.581818181818182</v>
      </c>
    </row>
    <row r="66" spans="1:12">
      <c r="A66" s="109" t="s">
        <v>54</v>
      </c>
      <c r="B66" s="124" t="s">
        <v>345</v>
      </c>
      <c r="C66" s="125">
        <v>49000</v>
      </c>
      <c r="D66" s="126" t="s">
        <v>231</v>
      </c>
      <c r="E66" s="127">
        <v>10000</v>
      </c>
      <c r="F66" s="128">
        <v>5900</v>
      </c>
      <c r="G66" s="129">
        <f t="shared" si="14"/>
        <v>600000</v>
      </c>
      <c r="H66" s="130">
        <f t="shared" si="15"/>
        <v>33000</v>
      </c>
      <c r="I66" s="172">
        <v>3300</v>
      </c>
      <c r="J66" s="131">
        <f t="shared" si="16"/>
        <v>5.5E-2</v>
      </c>
      <c r="K66" s="131">
        <f t="shared" si="17"/>
        <v>18.181818181818183</v>
      </c>
      <c r="L66" s="115">
        <f t="shared" si="18"/>
        <v>8.581818181818182</v>
      </c>
    </row>
    <row r="67" spans="1:12">
      <c r="A67" s="109" t="s">
        <v>54</v>
      </c>
      <c r="B67" s="124" t="s">
        <v>346</v>
      </c>
      <c r="C67" s="125">
        <v>58000</v>
      </c>
      <c r="D67" s="126" t="s">
        <v>231</v>
      </c>
      <c r="E67" s="127">
        <v>10000</v>
      </c>
      <c r="F67" s="128">
        <v>5900</v>
      </c>
      <c r="G67" s="129">
        <f t="shared" si="14"/>
        <v>600000</v>
      </c>
      <c r="H67" s="130">
        <f t="shared" si="15"/>
        <v>33000</v>
      </c>
      <c r="I67" s="172">
        <v>3300</v>
      </c>
      <c r="J67" s="131">
        <f t="shared" si="16"/>
        <v>5.5E-2</v>
      </c>
      <c r="K67" s="131">
        <f t="shared" si="17"/>
        <v>18.181818181818183</v>
      </c>
      <c r="L67" s="115">
        <f t="shared" si="18"/>
        <v>8.581818181818182</v>
      </c>
    </row>
    <row r="68" spans="1:12">
      <c r="A68" s="109" t="s">
        <v>54</v>
      </c>
      <c r="B68" s="124" t="s">
        <v>347</v>
      </c>
      <c r="C68" s="125">
        <v>67000</v>
      </c>
      <c r="D68" s="126" t="s">
        <v>231</v>
      </c>
      <c r="E68" s="127">
        <v>10000</v>
      </c>
      <c r="F68" s="128">
        <v>5900</v>
      </c>
      <c r="G68" s="129">
        <f t="shared" si="14"/>
        <v>600000</v>
      </c>
      <c r="H68" s="130">
        <f t="shared" si="15"/>
        <v>33000</v>
      </c>
      <c r="I68" s="172">
        <v>3300</v>
      </c>
      <c r="J68" s="131">
        <f t="shared" si="16"/>
        <v>5.5E-2</v>
      </c>
      <c r="K68" s="131">
        <f t="shared" si="17"/>
        <v>18.181818181818183</v>
      </c>
      <c r="L68" s="115">
        <f t="shared" si="18"/>
        <v>8.581818181818182</v>
      </c>
    </row>
    <row r="69" spans="1:12">
      <c r="A69" s="109" t="s">
        <v>54</v>
      </c>
      <c r="B69" s="124" t="s">
        <v>348</v>
      </c>
      <c r="C69" s="125">
        <v>76000</v>
      </c>
      <c r="D69" s="126" t="s">
        <v>231</v>
      </c>
      <c r="E69" s="127">
        <v>10000</v>
      </c>
      <c r="F69" s="128">
        <v>5900</v>
      </c>
      <c r="G69" s="129">
        <f t="shared" si="14"/>
        <v>600000</v>
      </c>
      <c r="H69" s="130">
        <f t="shared" si="15"/>
        <v>33000</v>
      </c>
      <c r="I69" s="172">
        <v>3300</v>
      </c>
      <c r="J69" s="131">
        <f t="shared" si="16"/>
        <v>5.5E-2</v>
      </c>
      <c r="K69" s="131">
        <f t="shared" si="17"/>
        <v>18.181818181818183</v>
      </c>
      <c r="L69" s="115">
        <f t="shared" si="18"/>
        <v>8.581818181818182</v>
      </c>
    </row>
    <row r="70" spans="1:12">
      <c r="A70" s="109" t="s">
        <v>54</v>
      </c>
      <c r="B70" s="124" t="s">
        <v>349</v>
      </c>
      <c r="C70" s="125">
        <v>85000</v>
      </c>
      <c r="D70" s="126" t="s">
        <v>231</v>
      </c>
      <c r="E70" s="127">
        <v>10000</v>
      </c>
      <c r="F70" s="128">
        <v>5900</v>
      </c>
      <c r="G70" s="129">
        <f t="shared" si="14"/>
        <v>600000</v>
      </c>
      <c r="H70" s="130">
        <f t="shared" si="15"/>
        <v>33000</v>
      </c>
      <c r="I70" s="172">
        <v>3300</v>
      </c>
      <c r="J70" s="131">
        <f t="shared" si="16"/>
        <v>5.5E-2</v>
      </c>
      <c r="K70" s="131">
        <f t="shared" si="17"/>
        <v>18.181818181818183</v>
      </c>
      <c r="L70" s="115">
        <f t="shared" si="18"/>
        <v>8.581818181818182</v>
      </c>
    </row>
    <row r="71" spans="1:12">
      <c r="A71" s="109" t="s">
        <v>54</v>
      </c>
      <c r="B71" s="124" t="s">
        <v>350</v>
      </c>
      <c r="C71" s="125">
        <v>94000</v>
      </c>
      <c r="D71" s="126" t="s">
        <v>231</v>
      </c>
      <c r="E71" s="127">
        <v>10000</v>
      </c>
      <c r="F71" s="128">
        <v>5900</v>
      </c>
      <c r="G71" s="129">
        <f t="shared" si="14"/>
        <v>600000</v>
      </c>
      <c r="H71" s="130">
        <f t="shared" si="15"/>
        <v>33000</v>
      </c>
      <c r="I71" s="172">
        <v>3300</v>
      </c>
      <c r="J71" s="131">
        <f t="shared" si="16"/>
        <v>5.5E-2</v>
      </c>
      <c r="K71" s="131">
        <f t="shared" si="17"/>
        <v>18.181818181818183</v>
      </c>
      <c r="L71" s="115">
        <f t="shared" si="18"/>
        <v>8.581818181818182</v>
      </c>
    </row>
    <row r="72" spans="1:12">
      <c r="A72" s="109" t="s">
        <v>54</v>
      </c>
      <c r="B72" s="124" t="s">
        <v>351</v>
      </c>
      <c r="C72" s="125">
        <v>103000</v>
      </c>
      <c r="D72" s="126" t="s">
        <v>231</v>
      </c>
      <c r="E72" s="127">
        <v>10000</v>
      </c>
      <c r="F72" s="128">
        <v>5900</v>
      </c>
      <c r="G72" s="129">
        <f t="shared" si="14"/>
        <v>600000</v>
      </c>
      <c r="H72" s="130">
        <f t="shared" si="15"/>
        <v>33000</v>
      </c>
      <c r="I72" s="172">
        <v>3300</v>
      </c>
      <c r="J72" s="131">
        <f t="shared" si="16"/>
        <v>5.5E-2</v>
      </c>
      <c r="K72" s="131">
        <f t="shared" si="17"/>
        <v>18.181818181818183</v>
      </c>
      <c r="L72" s="115">
        <f t="shared" si="18"/>
        <v>8.581818181818182</v>
      </c>
    </row>
    <row r="73" spans="1:12">
      <c r="A73" s="109" t="s">
        <v>54</v>
      </c>
      <c r="B73" s="124" t="s">
        <v>352</v>
      </c>
      <c r="C73" s="125">
        <v>112000</v>
      </c>
      <c r="D73" s="126" t="s">
        <v>231</v>
      </c>
      <c r="E73" s="127">
        <v>10000</v>
      </c>
      <c r="F73" s="128">
        <v>5900</v>
      </c>
      <c r="G73" s="129">
        <f t="shared" si="14"/>
        <v>600000</v>
      </c>
      <c r="H73" s="130">
        <f t="shared" si="15"/>
        <v>33000</v>
      </c>
      <c r="I73" s="172">
        <v>3300</v>
      </c>
      <c r="J73" s="131">
        <f t="shared" si="16"/>
        <v>5.5E-2</v>
      </c>
      <c r="K73" s="131">
        <f t="shared" si="17"/>
        <v>18.181818181818183</v>
      </c>
      <c r="L73" s="115">
        <f t="shared" si="18"/>
        <v>8.581818181818182</v>
      </c>
    </row>
    <row r="74" spans="1:12">
      <c r="A74" s="109" t="s">
        <v>54</v>
      </c>
      <c r="B74" s="124" t="s">
        <v>353</v>
      </c>
      <c r="C74" s="125">
        <v>121000</v>
      </c>
      <c r="D74" s="126" t="s">
        <v>231</v>
      </c>
      <c r="E74" s="127">
        <v>10000</v>
      </c>
      <c r="F74" s="128">
        <v>5900</v>
      </c>
      <c r="G74" s="129">
        <f t="shared" si="14"/>
        <v>600000</v>
      </c>
      <c r="H74" s="130">
        <f t="shared" si="15"/>
        <v>33000</v>
      </c>
      <c r="I74" s="172">
        <v>3300</v>
      </c>
      <c r="J74" s="131">
        <f t="shared" si="16"/>
        <v>5.5E-2</v>
      </c>
      <c r="K74" s="131">
        <f t="shared" si="17"/>
        <v>18.181818181818183</v>
      </c>
      <c r="L74" s="115">
        <f t="shared" si="18"/>
        <v>8.581818181818182</v>
      </c>
    </row>
    <row r="75" spans="1:12">
      <c r="A75" s="109" t="s">
        <v>54</v>
      </c>
      <c r="B75" s="124" t="s">
        <v>354</v>
      </c>
      <c r="C75" s="125">
        <v>130000</v>
      </c>
      <c r="D75" s="126" t="s">
        <v>231</v>
      </c>
      <c r="E75" s="127">
        <v>10000</v>
      </c>
      <c r="F75" s="128">
        <v>5900</v>
      </c>
      <c r="G75" s="129">
        <f t="shared" si="14"/>
        <v>600000</v>
      </c>
      <c r="H75" s="130">
        <f t="shared" si="15"/>
        <v>33000</v>
      </c>
      <c r="I75" s="172">
        <v>3300</v>
      </c>
      <c r="J75" s="131">
        <f t="shared" si="16"/>
        <v>5.5E-2</v>
      </c>
      <c r="K75" s="131">
        <f t="shared" si="17"/>
        <v>18.181818181818183</v>
      </c>
      <c r="L75" s="115">
        <f t="shared" si="18"/>
        <v>8.581818181818182</v>
      </c>
    </row>
    <row r="76" spans="1:12">
      <c r="A76" s="109" t="s">
        <v>54</v>
      </c>
      <c r="B76" s="124" t="s">
        <v>355</v>
      </c>
      <c r="C76" s="125">
        <v>139000</v>
      </c>
      <c r="D76" s="126" t="s">
        <v>231</v>
      </c>
      <c r="E76" s="127">
        <v>10000</v>
      </c>
      <c r="F76" s="128">
        <v>5900</v>
      </c>
      <c r="G76" s="129">
        <f t="shared" si="14"/>
        <v>600000</v>
      </c>
      <c r="H76" s="130">
        <f t="shared" si="15"/>
        <v>33000</v>
      </c>
      <c r="I76" s="172">
        <v>3300</v>
      </c>
      <c r="J76" s="131">
        <f t="shared" si="16"/>
        <v>5.5E-2</v>
      </c>
      <c r="K76" s="131">
        <f t="shared" si="17"/>
        <v>18.181818181818183</v>
      </c>
      <c r="L76" s="115">
        <f t="shared" si="18"/>
        <v>8.581818181818182</v>
      </c>
    </row>
    <row r="77" spans="1:12">
      <c r="A77" s="109" t="s">
        <v>54</v>
      </c>
      <c r="B77" s="124" t="s">
        <v>356</v>
      </c>
      <c r="C77" s="125">
        <v>148000</v>
      </c>
      <c r="D77" s="126" t="s">
        <v>231</v>
      </c>
      <c r="E77" s="127">
        <v>10000</v>
      </c>
      <c r="F77" s="128">
        <v>5900</v>
      </c>
      <c r="G77" s="129">
        <f t="shared" si="14"/>
        <v>600000</v>
      </c>
      <c r="H77" s="130">
        <f t="shared" si="15"/>
        <v>33000</v>
      </c>
      <c r="I77" s="172">
        <v>3300</v>
      </c>
      <c r="J77" s="131">
        <f t="shared" si="16"/>
        <v>5.5E-2</v>
      </c>
      <c r="K77" s="131">
        <f t="shared" si="17"/>
        <v>18.181818181818183</v>
      </c>
      <c r="L77" s="115">
        <f t="shared" si="18"/>
        <v>8.581818181818182</v>
      </c>
    </row>
    <row r="78" spans="1:12">
      <c r="A78" s="109" t="s">
        <v>54</v>
      </c>
      <c r="B78" s="124" t="s">
        <v>357</v>
      </c>
      <c r="C78" s="125">
        <v>157000</v>
      </c>
      <c r="D78" s="126" t="s">
        <v>231</v>
      </c>
      <c r="E78" s="127">
        <v>10000</v>
      </c>
      <c r="F78" s="128">
        <v>5900</v>
      </c>
      <c r="G78" s="129">
        <f t="shared" si="14"/>
        <v>600000</v>
      </c>
      <c r="H78" s="130">
        <f t="shared" si="15"/>
        <v>33000</v>
      </c>
      <c r="I78" s="172">
        <v>3300</v>
      </c>
      <c r="J78" s="131">
        <f t="shared" si="16"/>
        <v>5.5E-2</v>
      </c>
      <c r="K78" s="131">
        <f t="shared" si="17"/>
        <v>18.181818181818183</v>
      </c>
      <c r="L78" s="115">
        <f t="shared" si="18"/>
        <v>8.581818181818182</v>
      </c>
    </row>
    <row r="79" spans="1:12">
      <c r="A79" s="109" t="s">
        <v>54</v>
      </c>
      <c r="B79" s="124" t="s">
        <v>358</v>
      </c>
      <c r="C79" s="125">
        <v>166000</v>
      </c>
      <c r="D79" s="126" t="s">
        <v>231</v>
      </c>
      <c r="E79" s="127">
        <v>10000</v>
      </c>
      <c r="F79" s="128">
        <v>5900</v>
      </c>
      <c r="G79" s="129">
        <f t="shared" si="14"/>
        <v>600000</v>
      </c>
      <c r="H79" s="130">
        <f t="shared" si="15"/>
        <v>33000</v>
      </c>
      <c r="I79" s="172">
        <v>3300</v>
      </c>
      <c r="J79" s="131">
        <f t="shared" si="16"/>
        <v>5.5E-2</v>
      </c>
      <c r="K79" s="131">
        <f t="shared" si="17"/>
        <v>18.181818181818183</v>
      </c>
      <c r="L79" s="115">
        <f t="shared" si="18"/>
        <v>8.581818181818182</v>
      </c>
    </row>
    <row r="80" spans="1:12">
      <c r="A80" s="109" t="s">
        <v>54</v>
      </c>
      <c r="B80" s="124" t="s">
        <v>359</v>
      </c>
      <c r="C80" s="125">
        <v>175000</v>
      </c>
      <c r="D80" s="126" t="s">
        <v>231</v>
      </c>
      <c r="E80" s="127">
        <v>10000</v>
      </c>
      <c r="F80" s="128">
        <v>5900</v>
      </c>
      <c r="G80" s="129">
        <f>E80+(F80*100)</f>
        <v>600000</v>
      </c>
      <c r="H80" s="130">
        <f>I80*10</f>
        <v>33000</v>
      </c>
      <c r="I80" s="172">
        <v>3300</v>
      </c>
      <c r="J80" s="131">
        <f>H80/G80</f>
        <v>5.5E-2</v>
      </c>
      <c r="K80" s="131">
        <f>G80/H80</f>
        <v>18.181818181818183</v>
      </c>
      <c r="L80" s="115">
        <f>K80/K$2</f>
        <v>8.581818181818182</v>
      </c>
    </row>
    <row r="81" spans="1:12">
      <c r="A81" s="109" t="s">
        <v>54</v>
      </c>
      <c r="B81" s="124" t="s">
        <v>360</v>
      </c>
      <c r="C81" s="125">
        <v>184000</v>
      </c>
      <c r="D81" s="126" t="s">
        <v>231</v>
      </c>
      <c r="E81" s="127">
        <v>10000</v>
      </c>
      <c r="F81" s="128">
        <v>5900</v>
      </c>
      <c r="G81" s="129">
        <f t="shared" ref="G81:G83" si="19">E81+(F81*100)</f>
        <v>600000</v>
      </c>
      <c r="H81" s="130">
        <f t="shared" si="15"/>
        <v>33000</v>
      </c>
      <c r="I81" s="172">
        <v>3300</v>
      </c>
      <c r="J81" s="131">
        <f t="shared" ref="J81:J83" si="20">H81/G81</f>
        <v>5.5E-2</v>
      </c>
      <c r="K81" s="131">
        <f t="shared" ref="K81:K83" si="21">G81/H81</f>
        <v>18.181818181818183</v>
      </c>
      <c r="L81" s="115">
        <f t="shared" si="18"/>
        <v>8.581818181818182</v>
      </c>
    </row>
    <row r="82" spans="1:12">
      <c r="A82" s="109" t="s">
        <v>54</v>
      </c>
      <c r="B82" s="124" t="s">
        <v>361</v>
      </c>
      <c r="C82" s="125">
        <v>193000</v>
      </c>
      <c r="D82" s="126" t="s">
        <v>231</v>
      </c>
      <c r="E82" s="127">
        <v>10000</v>
      </c>
      <c r="F82" s="128">
        <v>5900</v>
      </c>
      <c r="G82" s="129">
        <f t="shared" si="19"/>
        <v>600000</v>
      </c>
      <c r="H82" s="130">
        <f t="shared" si="15"/>
        <v>33000</v>
      </c>
      <c r="I82" s="172">
        <v>3300</v>
      </c>
      <c r="J82" s="131">
        <f t="shared" si="20"/>
        <v>5.5E-2</v>
      </c>
      <c r="K82" s="131">
        <f t="shared" si="21"/>
        <v>18.181818181818183</v>
      </c>
      <c r="L82" s="115">
        <f t="shared" si="18"/>
        <v>8.581818181818182</v>
      </c>
    </row>
    <row r="83" spans="1:12">
      <c r="A83" s="109" t="s">
        <v>54</v>
      </c>
      <c r="B83" s="124" t="s">
        <v>362</v>
      </c>
      <c r="C83" s="125">
        <v>202000</v>
      </c>
      <c r="D83" s="126" t="s">
        <v>231</v>
      </c>
      <c r="E83" s="127">
        <v>10000</v>
      </c>
      <c r="F83" s="128">
        <v>5900</v>
      </c>
      <c r="G83" s="129">
        <f t="shared" si="19"/>
        <v>600000</v>
      </c>
      <c r="H83" s="130">
        <f t="shared" si="15"/>
        <v>33000</v>
      </c>
      <c r="I83" s="172">
        <v>3300</v>
      </c>
      <c r="J83" s="131">
        <f t="shared" si="20"/>
        <v>5.5E-2</v>
      </c>
      <c r="K83" s="131">
        <f t="shared" si="21"/>
        <v>18.181818181818183</v>
      </c>
      <c r="L83" s="115">
        <f t="shared" si="18"/>
        <v>8.581818181818182</v>
      </c>
    </row>
    <row r="84" spans="1:12">
      <c r="A84" s="109" t="s">
        <v>54</v>
      </c>
      <c r="B84" s="124" t="s">
        <v>363</v>
      </c>
      <c r="C84" s="125">
        <v>211000</v>
      </c>
      <c r="D84" s="126" t="s">
        <v>231</v>
      </c>
      <c r="E84" s="127">
        <v>10000</v>
      </c>
      <c r="F84" s="128">
        <v>5900</v>
      </c>
      <c r="G84" s="129">
        <f>E84+(F84*100)</f>
        <v>600000</v>
      </c>
      <c r="H84" s="130">
        <f>I84*10</f>
        <v>33000</v>
      </c>
      <c r="I84" s="172">
        <v>3300</v>
      </c>
      <c r="J84" s="131">
        <f>H84/G84</f>
        <v>5.5E-2</v>
      </c>
      <c r="K84" s="131">
        <f>G84/H84</f>
        <v>18.181818181818183</v>
      </c>
      <c r="L84" s="115">
        <f>K84/K$2</f>
        <v>8.581818181818182</v>
      </c>
    </row>
    <row r="85" spans="1:12">
      <c r="A85" s="109" t="s">
        <v>54</v>
      </c>
      <c r="B85" s="124" t="s">
        <v>364</v>
      </c>
      <c r="C85" s="125">
        <v>220000</v>
      </c>
      <c r="D85" s="126" t="s">
        <v>231</v>
      </c>
      <c r="E85" s="127">
        <v>10000</v>
      </c>
      <c r="F85" s="128">
        <v>5900</v>
      </c>
      <c r="G85" s="129">
        <f t="shared" ref="G85:G86" si="22">E85+(F85*100)</f>
        <v>600000</v>
      </c>
      <c r="H85" s="130">
        <f t="shared" si="15"/>
        <v>33000</v>
      </c>
      <c r="I85" s="172">
        <v>3300</v>
      </c>
      <c r="J85" s="131">
        <f t="shared" ref="J85:J86" si="23">H85/G85</f>
        <v>5.5E-2</v>
      </c>
      <c r="K85" s="131">
        <f t="shared" ref="K85:K86" si="24">G85/H85</f>
        <v>18.181818181818183</v>
      </c>
      <c r="L85" s="115">
        <f t="shared" si="18"/>
        <v>8.581818181818182</v>
      </c>
    </row>
    <row r="86" spans="1:12">
      <c r="A86" s="109" t="s">
        <v>54</v>
      </c>
      <c r="B86" s="124" t="s">
        <v>365</v>
      </c>
      <c r="C86" s="125">
        <v>99999999</v>
      </c>
      <c r="D86" s="126" t="s">
        <v>231</v>
      </c>
      <c r="E86" s="127">
        <v>10000</v>
      </c>
      <c r="F86" s="128">
        <v>5900</v>
      </c>
      <c r="G86" s="129">
        <f t="shared" si="22"/>
        <v>600000</v>
      </c>
      <c r="H86" s="130">
        <f t="shared" si="15"/>
        <v>33000</v>
      </c>
      <c r="I86" s="172">
        <v>3300</v>
      </c>
      <c r="J86" s="131">
        <f t="shared" si="23"/>
        <v>5.5E-2</v>
      </c>
      <c r="K86" s="131">
        <f t="shared" si="24"/>
        <v>18.181818181818183</v>
      </c>
      <c r="L86" s="115">
        <f t="shared" si="18"/>
        <v>8.581818181818182</v>
      </c>
    </row>
    <row r="88" spans="1:12">
      <c r="B88" s="123" t="s">
        <v>368</v>
      </c>
      <c r="C88" s="110"/>
      <c r="D88" s="109" t="s">
        <v>366</v>
      </c>
      <c r="E88" s="111"/>
      <c r="F88" s="112" t="s">
        <v>831</v>
      </c>
      <c r="G88" s="113"/>
      <c r="L88" s="115"/>
    </row>
    <row r="89" spans="1:12">
      <c r="A89" s="109" t="s">
        <v>54</v>
      </c>
      <c r="B89" s="124" t="s">
        <v>287</v>
      </c>
      <c r="C89" s="125">
        <v>50</v>
      </c>
      <c r="D89" s="126" t="s">
        <v>48</v>
      </c>
      <c r="E89" s="127">
        <v>200000</v>
      </c>
      <c r="F89" s="128">
        <v>0</v>
      </c>
      <c r="G89" s="129">
        <f>E89+(F89*100)</f>
        <v>200000</v>
      </c>
      <c r="H89" s="130">
        <f>I89*10</f>
        <v>11000</v>
      </c>
      <c r="I89" s="172">
        <v>1100</v>
      </c>
      <c r="J89" s="131">
        <f>H89/G89</f>
        <v>5.5E-2</v>
      </c>
      <c r="K89" s="131">
        <f>G89/H89</f>
        <v>18.181818181818183</v>
      </c>
      <c r="L89" s="115">
        <f>K89/K$2</f>
        <v>8.581818181818182</v>
      </c>
    </row>
    <row r="90" spans="1:12">
      <c r="A90" s="109" t="s">
        <v>54</v>
      </c>
      <c r="B90" s="124" t="s">
        <v>288</v>
      </c>
      <c r="C90" s="125">
        <v>100</v>
      </c>
      <c r="D90" s="126" t="s">
        <v>48</v>
      </c>
      <c r="E90" s="127">
        <v>600000</v>
      </c>
      <c r="F90" s="128">
        <v>0</v>
      </c>
      <c r="G90" s="129">
        <f t="shared" ref="G90:G118" si="25">E90+(F90*100)</f>
        <v>600000</v>
      </c>
      <c r="H90" s="130">
        <f t="shared" ref="H90:H118" si="26">I90*10</f>
        <v>33000</v>
      </c>
      <c r="I90" s="172">
        <v>3300</v>
      </c>
      <c r="J90" s="131">
        <f t="shared" ref="J90:J115" si="27">H90/G90</f>
        <v>5.5E-2</v>
      </c>
      <c r="K90" s="131">
        <f t="shared" ref="K90:K115" si="28">G90/H90</f>
        <v>18.181818181818183</v>
      </c>
      <c r="L90" s="115">
        <f t="shared" ref="L90:L118" si="29">K90/K$2</f>
        <v>8.581818181818182</v>
      </c>
    </row>
    <row r="91" spans="1:12">
      <c r="A91" s="109" t="s">
        <v>54</v>
      </c>
      <c r="B91" s="124" t="s">
        <v>289</v>
      </c>
      <c r="C91" s="125">
        <v>150</v>
      </c>
      <c r="D91" s="126" t="s">
        <v>48</v>
      </c>
      <c r="E91" s="127">
        <v>600000</v>
      </c>
      <c r="F91" s="128">
        <v>0</v>
      </c>
      <c r="G91" s="129">
        <f t="shared" si="25"/>
        <v>600000</v>
      </c>
      <c r="H91" s="130">
        <f t="shared" si="26"/>
        <v>33000</v>
      </c>
      <c r="I91" s="172">
        <v>3300</v>
      </c>
      <c r="J91" s="131">
        <f t="shared" si="27"/>
        <v>5.5E-2</v>
      </c>
      <c r="K91" s="131">
        <f t="shared" si="28"/>
        <v>18.181818181818183</v>
      </c>
      <c r="L91" s="115">
        <f t="shared" si="29"/>
        <v>8.581818181818182</v>
      </c>
    </row>
    <row r="92" spans="1:12">
      <c r="A92" s="109" t="s">
        <v>54</v>
      </c>
      <c r="B92" s="124" t="s">
        <v>290</v>
      </c>
      <c r="C92" s="125">
        <v>200</v>
      </c>
      <c r="D92" s="126" t="s">
        <v>48</v>
      </c>
      <c r="E92" s="127">
        <v>200000</v>
      </c>
      <c r="F92" s="128">
        <v>0</v>
      </c>
      <c r="G92" s="129">
        <f t="shared" si="25"/>
        <v>200000</v>
      </c>
      <c r="H92" s="130">
        <f t="shared" si="26"/>
        <v>11000</v>
      </c>
      <c r="I92" s="172">
        <v>1100</v>
      </c>
      <c r="J92" s="131">
        <f t="shared" si="27"/>
        <v>5.5E-2</v>
      </c>
      <c r="K92" s="131">
        <f t="shared" si="28"/>
        <v>18.181818181818183</v>
      </c>
      <c r="L92" s="115">
        <f t="shared" si="29"/>
        <v>8.581818181818182</v>
      </c>
    </row>
    <row r="93" spans="1:12">
      <c r="A93" s="109" t="s">
        <v>54</v>
      </c>
      <c r="B93" s="124" t="s">
        <v>291</v>
      </c>
      <c r="C93" s="125">
        <v>250</v>
      </c>
      <c r="D93" s="126" t="s">
        <v>48</v>
      </c>
      <c r="E93" s="127">
        <v>600000</v>
      </c>
      <c r="F93" s="128">
        <v>0</v>
      </c>
      <c r="G93" s="129">
        <f t="shared" si="25"/>
        <v>600000</v>
      </c>
      <c r="H93" s="130">
        <f t="shared" si="26"/>
        <v>33000</v>
      </c>
      <c r="I93" s="172">
        <v>3300</v>
      </c>
      <c r="J93" s="131">
        <f t="shared" si="27"/>
        <v>5.5E-2</v>
      </c>
      <c r="K93" s="131">
        <f t="shared" si="28"/>
        <v>18.181818181818183</v>
      </c>
      <c r="L93" s="115">
        <f t="shared" si="29"/>
        <v>8.581818181818182</v>
      </c>
    </row>
    <row r="94" spans="1:12">
      <c r="A94" s="109" t="s">
        <v>54</v>
      </c>
      <c r="B94" s="124" t="s">
        <v>292</v>
      </c>
      <c r="C94" s="125">
        <v>300</v>
      </c>
      <c r="D94" s="126" t="s">
        <v>48</v>
      </c>
      <c r="E94" s="127">
        <v>600000</v>
      </c>
      <c r="F94" s="128">
        <v>0</v>
      </c>
      <c r="G94" s="129">
        <f t="shared" si="25"/>
        <v>600000</v>
      </c>
      <c r="H94" s="130">
        <f t="shared" si="26"/>
        <v>33000</v>
      </c>
      <c r="I94" s="172">
        <v>3300</v>
      </c>
      <c r="J94" s="131">
        <f t="shared" si="27"/>
        <v>5.5E-2</v>
      </c>
      <c r="K94" s="131">
        <f t="shared" si="28"/>
        <v>18.181818181818183</v>
      </c>
      <c r="L94" s="115">
        <f t="shared" si="29"/>
        <v>8.581818181818182</v>
      </c>
    </row>
    <row r="95" spans="1:12">
      <c r="A95" s="109" t="s">
        <v>54</v>
      </c>
      <c r="B95" s="124" t="s">
        <v>293</v>
      </c>
      <c r="C95" s="125">
        <v>350</v>
      </c>
      <c r="D95" s="126" t="s">
        <v>48</v>
      </c>
      <c r="E95" s="127">
        <v>600000</v>
      </c>
      <c r="F95" s="128">
        <v>0</v>
      </c>
      <c r="G95" s="129">
        <f t="shared" si="25"/>
        <v>600000</v>
      </c>
      <c r="H95" s="130">
        <f t="shared" si="26"/>
        <v>33000</v>
      </c>
      <c r="I95" s="172">
        <v>3300</v>
      </c>
      <c r="J95" s="131">
        <f t="shared" si="27"/>
        <v>5.5E-2</v>
      </c>
      <c r="K95" s="131">
        <f t="shared" si="28"/>
        <v>18.181818181818183</v>
      </c>
      <c r="L95" s="115">
        <f t="shared" si="29"/>
        <v>8.581818181818182</v>
      </c>
    </row>
    <row r="96" spans="1:12">
      <c r="A96" s="109" t="s">
        <v>54</v>
      </c>
      <c r="B96" s="124" t="s">
        <v>294</v>
      </c>
      <c r="C96" s="125">
        <v>400</v>
      </c>
      <c r="D96" s="126" t="s">
        <v>48</v>
      </c>
      <c r="E96" s="127">
        <v>200000</v>
      </c>
      <c r="F96" s="128">
        <v>0</v>
      </c>
      <c r="G96" s="129">
        <f t="shared" si="25"/>
        <v>200000</v>
      </c>
      <c r="H96" s="130">
        <f t="shared" si="26"/>
        <v>11000</v>
      </c>
      <c r="I96" s="172">
        <v>1100</v>
      </c>
      <c r="J96" s="131">
        <f t="shared" si="27"/>
        <v>5.5E-2</v>
      </c>
      <c r="K96" s="131">
        <f t="shared" si="28"/>
        <v>18.181818181818183</v>
      </c>
      <c r="L96" s="115">
        <f t="shared" si="29"/>
        <v>8.581818181818182</v>
      </c>
    </row>
    <row r="97" spans="1:14">
      <c r="A97" s="109" t="s">
        <v>54</v>
      </c>
      <c r="B97" s="124" t="s">
        <v>295</v>
      </c>
      <c r="C97" s="125">
        <v>450</v>
      </c>
      <c r="D97" s="126" t="s">
        <v>48</v>
      </c>
      <c r="E97" s="127">
        <v>600000</v>
      </c>
      <c r="F97" s="128">
        <v>0</v>
      </c>
      <c r="G97" s="129">
        <f t="shared" si="25"/>
        <v>600000</v>
      </c>
      <c r="H97" s="130">
        <f t="shared" si="26"/>
        <v>33000</v>
      </c>
      <c r="I97" s="172">
        <v>3300</v>
      </c>
      <c r="J97" s="131">
        <f t="shared" si="27"/>
        <v>5.5E-2</v>
      </c>
      <c r="K97" s="131">
        <f t="shared" si="28"/>
        <v>18.181818181818183</v>
      </c>
      <c r="L97" s="115">
        <f t="shared" si="29"/>
        <v>8.581818181818182</v>
      </c>
    </row>
    <row r="98" spans="1:14">
      <c r="A98" s="109" t="s">
        <v>54</v>
      </c>
      <c r="B98" s="124" t="s">
        <v>296</v>
      </c>
      <c r="C98" s="125">
        <v>500</v>
      </c>
      <c r="D98" s="126" t="s">
        <v>48</v>
      </c>
      <c r="E98" s="127">
        <v>600000</v>
      </c>
      <c r="F98" s="128">
        <v>0</v>
      </c>
      <c r="G98" s="129">
        <f t="shared" si="25"/>
        <v>600000</v>
      </c>
      <c r="H98" s="130">
        <f t="shared" si="26"/>
        <v>33000</v>
      </c>
      <c r="I98" s="172">
        <v>3300</v>
      </c>
      <c r="J98" s="131">
        <f t="shared" si="27"/>
        <v>5.5E-2</v>
      </c>
      <c r="K98" s="131">
        <f t="shared" si="28"/>
        <v>18.181818181818183</v>
      </c>
      <c r="L98" s="115">
        <f t="shared" si="29"/>
        <v>8.581818181818182</v>
      </c>
    </row>
    <row r="99" spans="1:14">
      <c r="A99" s="109" t="s">
        <v>54</v>
      </c>
      <c r="B99" s="124" t="s">
        <v>297</v>
      </c>
      <c r="C99" s="125">
        <v>550</v>
      </c>
      <c r="D99" s="126" t="s">
        <v>48</v>
      </c>
      <c r="E99" s="127">
        <v>600000</v>
      </c>
      <c r="F99" s="128">
        <v>0</v>
      </c>
      <c r="G99" s="129">
        <f t="shared" si="25"/>
        <v>600000</v>
      </c>
      <c r="H99" s="130">
        <f t="shared" si="26"/>
        <v>33000</v>
      </c>
      <c r="I99" s="172">
        <v>3300</v>
      </c>
      <c r="J99" s="131">
        <f t="shared" si="27"/>
        <v>5.5E-2</v>
      </c>
      <c r="K99" s="131">
        <f t="shared" si="28"/>
        <v>18.181818181818183</v>
      </c>
      <c r="L99" s="115">
        <f t="shared" si="29"/>
        <v>8.581818181818182</v>
      </c>
    </row>
    <row r="100" spans="1:14">
      <c r="A100" s="109" t="s">
        <v>54</v>
      </c>
      <c r="B100" s="124" t="s">
        <v>298</v>
      </c>
      <c r="C100" s="125">
        <v>600</v>
      </c>
      <c r="D100" s="126" t="s">
        <v>48</v>
      </c>
      <c r="E100" s="127">
        <v>600000</v>
      </c>
      <c r="F100" s="128">
        <v>0</v>
      </c>
      <c r="G100" s="129">
        <f t="shared" si="25"/>
        <v>600000</v>
      </c>
      <c r="H100" s="130">
        <f t="shared" si="26"/>
        <v>33000</v>
      </c>
      <c r="I100" s="172">
        <v>3300</v>
      </c>
      <c r="J100" s="131">
        <f t="shared" si="27"/>
        <v>5.5E-2</v>
      </c>
      <c r="K100" s="131">
        <f t="shared" si="28"/>
        <v>18.181818181818183</v>
      </c>
      <c r="L100" s="115">
        <f t="shared" si="29"/>
        <v>8.581818181818182</v>
      </c>
    </row>
    <row r="101" spans="1:14">
      <c r="A101" s="109" t="s">
        <v>54</v>
      </c>
      <c r="B101" s="124" t="s">
        <v>299</v>
      </c>
      <c r="C101" s="125">
        <v>650</v>
      </c>
      <c r="D101" s="126" t="s">
        <v>48</v>
      </c>
      <c r="E101" s="127">
        <v>600000</v>
      </c>
      <c r="F101" s="128">
        <v>0</v>
      </c>
      <c r="G101" s="129">
        <f t="shared" si="25"/>
        <v>600000</v>
      </c>
      <c r="H101" s="130">
        <f t="shared" si="26"/>
        <v>33000</v>
      </c>
      <c r="I101" s="172">
        <v>3300</v>
      </c>
      <c r="J101" s="131">
        <f t="shared" si="27"/>
        <v>5.5E-2</v>
      </c>
      <c r="K101" s="131">
        <f t="shared" si="28"/>
        <v>18.181818181818183</v>
      </c>
      <c r="L101" s="115">
        <f t="shared" si="29"/>
        <v>8.581818181818182</v>
      </c>
    </row>
    <row r="102" spans="1:14">
      <c r="A102" s="109" t="s">
        <v>54</v>
      </c>
      <c r="B102" s="124" t="s">
        <v>300</v>
      </c>
      <c r="C102" s="125">
        <v>700</v>
      </c>
      <c r="D102" s="126" t="s">
        <v>48</v>
      </c>
      <c r="E102" s="127">
        <v>600000</v>
      </c>
      <c r="F102" s="128">
        <v>0</v>
      </c>
      <c r="G102" s="129">
        <f t="shared" si="25"/>
        <v>600000</v>
      </c>
      <c r="H102" s="130">
        <f t="shared" si="26"/>
        <v>33000</v>
      </c>
      <c r="I102" s="172">
        <v>3300</v>
      </c>
      <c r="J102" s="131">
        <f t="shared" si="27"/>
        <v>5.5E-2</v>
      </c>
      <c r="K102" s="131">
        <f t="shared" si="28"/>
        <v>18.181818181818183</v>
      </c>
      <c r="L102" s="115">
        <f t="shared" si="29"/>
        <v>8.581818181818182</v>
      </c>
    </row>
    <row r="103" spans="1:14">
      <c r="A103" s="109" t="s">
        <v>54</v>
      </c>
      <c r="B103" s="124" t="s">
        <v>301</v>
      </c>
      <c r="C103" s="125">
        <v>750</v>
      </c>
      <c r="D103" s="126" t="s">
        <v>48</v>
      </c>
      <c r="E103" s="127">
        <v>600000</v>
      </c>
      <c r="F103" s="128">
        <v>0</v>
      </c>
      <c r="G103" s="129">
        <f t="shared" si="25"/>
        <v>600000</v>
      </c>
      <c r="H103" s="130">
        <f t="shared" si="26"/>
        <v>33000</v>
      </c>
      <c r="I103" s="172">
        <v>3300</v>
      </c>
      <c r="J103" s="131">
        <f t="shared" si="27"/>
        <v>5.5E-2</v>
      </c>
      <c r="K103" s="131">
        <f t="shared" si="28"/>
        <v>18.181818181818183</v>
      </c>
      <c r="L103" s="115">
        <f t="shared" si="29"/>
        <v>8.581818181818182</v>
      </c>
    </row>
    <row r="104" spans="1:14">
      <c r="A104" s="109" t="s">
        <v>54</v>
      </c>
      <c r="B104" s="124" t="s">
        <v>302</v>
      </c>
      <c r="C104" s="125">
        <v>800</v>
      </c>
      <c r="D104" s="126" t="s">
        <v>48</v>
      </c>
      <c r="E104" s="127">
        <v>600000</v>
      </c>
      <c r="F104" s="128">
        <v>0</v>
      </c>
      <c r="G104" s="129">
        <f t="shared" si="25"/>
        <v>600000</v>
      </c>
      <c r="H104" s="130">
        <f t="shared" si="26"/>
        <v>33000</v>
      </c>
      <c r="I104" s="172">
        <v>3300</v>
      </c>
      <c r="J104" s="131">
        <f t="shared" si="27"/>
        <v>5.5E-2</v>
      </c>
      <c r="K104" s="131">
        <f t="shared" si="28"/>
        <v>18.181818181818183</v>
      </c>
      <c r="L104" s="115">
        <f t="shared" si="29"/>
        <v>8.581818181818182</v>
      </c>
    </row>
    <row r="105" spans="1:14">
      <c r="A105" s="109" t="s">
        <v>54</v>
      </c>
      <c r="B105" s="124" t="s">
        <v>303</v>
      </c>
      <c r="C105" s="125">
        <v>850</v>
      </c>
      <c r="D105" s="126" t="s">
        <v>48</v>
      </c>
      <c r="E105" s="127">
        <v>600000</v>
      </c>
      <c r="F105" s="128">
        <v>0</v>
      </c>
      <c r="G105" s="129">
        <f t="shared" si="25"/>
        <v>600000</v>
      </c>
      <c r="H105" s="130">
        <f t="shared" si="26"/>
        <v>33000</v>
      </c>
      <c r="I105" s="172">
        <v>3300</v>
      </c>
      <c r="J105" s="131">
        <f t="shared" si="27"/>
        <v>5.5E-2</v>
      </c>
      <c r="K105" s="131">
        <f t="shared" si="28"/>
        <v>18.181818181818183</v>
      </c>
      <c r="L105" s="115">
        <f t="shared" si="29"/>
        <v>8.581818181818182</v>
      </c>
    </row>
    <row r="106" spans="1:14">
      <c r="A106" s="109" t="s">
        <v>54</v>
      </c>
      <c r="B106" s="124" t="s">
        <v>304</v>
      </c>
      <c r="C106" s="125">
        <v>900</v>
      </c>
      <c r="D106" s="126" t="s">
        <v>48</v>
      </c>
      <c r="E106" s="127">
        <v>600000</v>
      </c>
      <c r="F106" s="128">
        <v>0</v>
      </c>
      <c r="G106" s="129">
        <f t="shared" si="25"/>
        <v>600000</v>
      </c>
      <c r="H106" s="130">
        <f t="shared" si="26"/>
        <v>33000</v>
      </c>
      <c r="I106" s="172">
        <v>3300</v>
      </c>
      <c r="J106" s="131">
        <f t="shared" si="27"/>
        <v>5.5E-2</v>
      </c>
      <c r="K106" s="131">
        <f t="shared" si="28"/>
        <v>18.181818181818183</v>
      </c>
      <c r="L106" s="115">
        <f t="shared" si="29"/>
        <v>8.581818181818182</v>
      </c>
      <c r="N106" s="136"/>
    </row>
    <row r="107" spans="1:14">
      <c r="A107" s="109" t="s">
        <v>54</v>
      </c>
      <c r="B107" s="124" t="s">
        <v>305</v>
      </c>
      <c r="C107" s="125">
        <v>950</v>
      </c>
      <c r="D107" s="126" t="s">
        <v>48</v>
      </c>
      <c r="E107" s="127">
        <v>600000</v>
      </c>
      <c r="F107" s="128">
        <v>0</v>
      </c>
      <c r="G107" s="129">
        <f t="shared" si="25"/>
        <v>600000</v>
      </c>
      <c r="H107" s="130">
        <f t="shared" si="26"/>
        <v>33000</v>
      </c>
      <c r="I107" s="172">
        <v>3300</v>
      </c>
      <c r="J107" s="131">
        <f t="shared" si="27"/>
        <v>5.5E-2</v>
      </c>
      <c r="K107" s="131">
        <f t="shared" si="28"/>
        <v>18.181818181818183</v>
      </c>
      <c r="L107" s="115">
        <f t="shared" si="29"/>
        <v>8.581818181818182</v>
      </c>
      <c r="N107" s="136"/>
    </row>
    <row r="108" spans="1:14">
      <c r="A108" s="109" t="s">
        <v>54</v>
      </c>
      <c r="B108" s="124" t="s">
        <v>306</v>
      </c>
      <c r="C108" s="125">
        <v>1000</v>
      </c>
      <c r="D108" s="126" t="s">
        <v>48</v>
      </c>
      <c r="E108" s="127">
        <v>600000</v>
      </c>
      <c r="F108" s="128">
        <v>0</v>
      </c>
      <c r="G108" s="129">
        <f t="shared" si="25"/>
        <v>600000</v>
      </c>
      <c r="H108" s="130">
        <f t="shared" si="26"/>
        <v>33000</v>
      </c>
      <c r="I108" s="172">
        <v>3300</v>
      </c>
      <c r="J108" s="131">
        <f t="shared" si="27"/>
        <v>5.5E-2</v>
      </c>
      <c r="K108" s="131">
        <f t="shared" si="28"/>
        <v>18.181818181818183</v>
      </c>
      <c r="L108" s="115">
        <f t="shared" si="29"/>
        <v>8.581818181818182</v>
      </c>
      <c r="N108" s="136"/>
    </row>
    <row r="109" spans="1:14">
      <c r="A109" s="109" t="s">
        <v>54</v>
      </c>
      <c r="B109" s="124" t="s">
        <v>307</v>
      </c>
      <c r="C109" s="125">
        <v>1050</v>
      </c>
      <c r="D109" s="126" t="s">
        <v>48</v>
      </c>
      <c r="E109" s="127">
        <v>600000</v>
      </c>
      <c r="F109" s="128">
        <v>0</v>
      </c>
      <c r="G109" s="129">
        <f t="shared" si="25"/>
        <v>600000</v>
      </c>
      <c r="H109" s="130">
        <f t="shared" si="26"/>
        <v>33000</v>
      </c>
      <c r="I109" s="172">
        <v>3300</v>
      </c>
      <c r="J109" s="131">
        <f t="shared" si="27"/>
        <v>5.5E-2</v>
      </c>
      <c r="K109" s="131">
        <f t="shared" si="28"/>
        <v>18.181818181818183</v>
      </c>
      <c r="L109" s="115">
        <f t="shared" si="29"/>
        <v>8.581818181818182</v>
      </c>
      <c r="N109" s="136"/>
    </row>
    <row r="110" spans="1:14">
      <c r="A110" s="109" t="s">
        <v>54</v>
      </c>
      <c r="B110" s="124" t="s">
        <v>308</v>
      </c>
      <c r="C110" s="125">
        <v>1100</v>
      </c>
      <c r="D110" s="126" t="s">
        <v>48</v>
      </c>
      <c r="E110" s="127">
        <v>600000</v>
      </c>
      <c r="F110" s="128">
        <v>0</v>
      </c>
      <c r="G110" s="129">
        <f t="shared" si="25"/>
        <v>600000</v>
      </c>
      <c r="H110" s="130">
        <f t="shared" si="26"/>
        <v>33000</v>
      </c>
      <c r="I110" s="172">
        <v>3300</v>
      </c>
      <c r="J110" s="131">
        <f t="shared" si="27"/>
        <v>5.5E-2</v>
      </c>
      <c r="K110" s="131">
        <f t="shared" si="28"/>
        <v>18.181818181818183</v>
      </c>
      <c r="L110" s="115">
        <f t="shared" si="29"/>
        <v>8.581818181818182</v>
      </c>
      <c r="N110" s="136"/>
    </row>
    <row r="111" spans="1:14">
      <c r="A111" s="109" t="s">
        <v>54</v>
      </c>
      <c r="B111" s="124" t="s">
        <v>309</v>
      </c>
      <c r="C111" s="125">
        <v>1150</v>
      </c>
      <c r="D111" s="126" t="s">
        <v>48</v>
      </c>
      <c r="E111" s="127">
        <v>600000</v>
      </c>
      <c r="F111" s="128">
        <v>0</v>
      </c>
      <c r="G111" s="129">
        <f t="shared" si="25"/>
        <v>600000</v>
      </c>
      <c r="H111" s="130">
        <f t="shared" si="26"/>
        <v>33000</v>
      </c>
      <c r="I111" s="172">
        <v>3300</v>
      </c>
      <c r="J111" s="131">
        <f t="shared" si="27"/>
        <v>5.5E-2</v>
      </c>
      <c r="K111" s="131">
        <f t="shared" si="28"/>
        <v>18.181818181818183</v>
      </c>
      <c r="L111" s="115">
        <f t="shared" si="29"/>
        <v>8.581818181818182</v>
      </c>
      <c r="N111" s="136"/>
    </row>
    <row r="112" spans="1:14">
      <c r="A112" s="109" t="s">
        <v>54</v>
      </c>
      <c r="B112" s="124" t="s">
        <v>310</v>
      </c>
      <c r="C112" s="125">
        <v>1200</v>
      </c>
      <c r="D112" s="126" t="s">
        <v>48</v>
      </c>
      <c r="E112" s="127">
        <v>600000</v>
      </c>
      <c r="F112" s="128">
        <v>0</v>
      </c>
      <c r="G112" s="129">
        <f t="shared" si="25"/>
        <v>600000</v>
      </c>
      <c r="H112" s="130">
        <f t="shared" si="26"/>
        <v>33000</v>
      </c>
      <c r="I112" s="172">
        <v>3300</v>
      </c>
      <c r="J112" s="131">
        <f t="shared" si="27"/>
        <v>5.5E-2</v>
      </c>
      <c r="K112" s="131">
        <f t="shared" si="28"/>
        <v>18.181818181818183</v>
      </c>
      <c r="L112" s="115">
        <f t="shared" si="29"/>
        <v>8.581818181818182</v>
      </c>
      <c r="N112" s="136"/>
    </row>
    <row r="113" spans="1:14">
      <c r="A113" s="109" t="s">
        <v>54</v>
      </c>
      <c r="B113" s="124" t="s">
        <v>311</v>
      </c>
      <c r="C113" s="125">
        <v>1250</v>
      </c>
      <c r="D113" s="126" t="s">
        <v>48</v>
      </c>
      <c r="E113" s="127">
        <v>600000</v>
      </c>
      <c r="F113" s="128">
        <v>0</v>
      </c>
      <c r="G113" s="129">
        <f t="shared" si="25"/>
        <v>600000</v>
      </c>
      <c r="H113" s="130">
        <f t="shared" si="26"/>
        <v>33000</v>
      </c>
      <c r="I113" s="172">
        <v>3300</v>
      </c>
      <c r="J113" s="131">
        <f t="shared" si="27"/>
        <v>5.5E-2</v>
      </c>
      <c r="K113" s="131">
        <f t="shared" si="28"/>
        <v>18.181818181818183</v>
      </c>
      <c r="L113" s="115">
        <f t="shared" si="29"/>
        <v>8.581818181818182</v>
      </c>
      <c r="N113" s="136"/>
    </row>
    <row r="114" spans="1:14">
      <c r="A114" s="109" t="s">
        <v>54</v>
      </c>
      <c r="B114" s="124" t="s">
        <v>312</v>
      </c>
      <c r="C114" s="125">
        <v>1300</v>
      </c>
      <c r="D114" s="126" t="s">
        <v>48</v>
      </c>
      <c r="E114" s="127">
        <v>600000</v>
      </c>
      <c r="F114" s="128">
        <v>0</v>
      </c>
      <c r="G114" s="129">
        <f t="shared" si="25"/>
        <v>600000</v>
      </c>
      <c r="H114" s="130">
        <f t="shared" si="26"/>
        <v>33000</v>
      </c>
      <c r="I114" s="172">
        <v>3300</v>
      </c>
      <c r="J114" s="131">
        <f t="shared" si="27"/>
        <v>5.5E-2</v>
      </c>
      <c r="K114" s="131">
        <f t="shared" si="28"/>
        <v>18.181818181818183</v>
      </c>
      <c r="L114" s="115">
        <f t="shared" si="29"/>
        <v>8.581818181818182</v>
      </c>
      <c r="N114" s="136"/>
    </row>
    <row r="115" spans="1:14">
      <c r="A115" s="109" t="s">
        <v>54</v>
      </c>
      <c r="B115" s="124" t="s">
        <v>313</v>
      </c>
      <c r="C115" s="125">
        <v>1350</v>
      </c>
      <c r="D115" s="126" t="s">
        <v>48</v>
      </c>
      <c r="E115" s="127">
        <v>600000</v>
      </c>
      <c r="F115" s="128">
        <v>0</v>
      </c>
      <c r="G115" s="129">
        <f t="shared" si="25"/>
        <v>600000</v>
      </c>
      <c r="H115" s="130">
        <f t="shared" si="26"/>
        <v>33000</v>
      </c>
      <c r="I115" s="172">
        <v>3300</v>
      </c>
      <c r="J115" s="131">
        <f t="shared" si="27"/>
        <v>5.5E-2</v>
      </c>
      <c r="K115" s="131">
        <f t="shared" si="28"/>
        <v>18.181818181818183</v>
      </c>
      <c r="L115" s="115">
        <f t="shared" si="29"/>
        <v>8.581818181818182</v>
      </c>
      <c r="N115" s="136"/>
    </row>
    <row r="116" spans="1:14">
      <c r="A116" s="109" t="s">
        <v>54</v>
      </c>
      <c r="B116" s="124" t="s">
        <v>314</v>
      </c>
      <c r="C116" s="125">
        <v>1400</v>
      </c>
      <c r="D116" s="126" t="s">
        <v>48</v>
      </c>
      <c r="E116" s="127">
        <v>600000</v>
      </c>
      <c r="F116" s="128">
        <v>0</v>
      </c>
      <c r="G116" s="129">
        <f t="shared" si="25"/>
        <v>600000</v>
      </c>
      <c r="H116" s="130">
        <f>I116*10</f>
        <v>33000</v>
      </c>
      <c r="I116" s="172">
        <v>3300</v>
      </c>
      <c r="J116" s="131">
        <f>H116/G116</f>
        <v>5.5E-2</v>
      </c>
      <c r="K116" s="131">
        <f>G116/H116</f>
        <v>18.181818181818183</v>
      </c>
      <c r="L116" s="115">
        <f>K116/K$2</f>
        <v>8.581818181818182</v>
      </c>
      <c r="N116" s="136"/>
    </row>
    <row r="117" spans="1:14">
      <c r="A117" s="109" t="s">
        <v>54</v>
      </c>
      <c r="B117" s="124" t="s">
        <v>315</v>
      </c>
      <c r="C117" s="125">
        <v>1450</v>
      </c>
      <c r="D117" s="126" t="s">
        <v>48</v>
      </c>
      <c r="E117" s="127">
        <v>600000</v>
      </c>
      <c r="F117" s="128">
        <v>0</v>
      </c>
      <c r="G117" s="129">
        <f t="shared" si="25"/>
        <v>600000</v>
      </c>
      <c r="H117" s="130">
        <f t="shared" si="26"/>
        <v>33000</v>
      </c>
      <c r="I117" s="172">
        <v>3300</v>
      </c>
      <c r="J117" s="131">
        <f t="shared" ref="J117:J118" si="30">H117/G117</f>
        <v>5.5E-2</v>
      </c>
      <c r="K117" s="131">
        <f t="shared" ref="K117:K118" si="31">G117/H117</f>
        <v>18.181818181818183</v>
      </c>
      <c r="L117" s="115">
        <f t="shared" si="29"/>
        <v>8.581818181818182</v>
      </c>
      <c r="N117" s="136"/>
    </row>
    <row r="118" spans="1:14">
      <c r="A118" s="109" t="s">
        <v>54</v>
      </c>
      <c r="B118" s="124" t="s">
        <v>316</v>
      </c>
      <c r="C118" s="125">
        <v>1500</v>
      </c>
      <c r="D118" s="126" t="s">
        <v>48</v>
      </c>
      <c r="E118" s="127">
        <v>600000</v>
      </c>
      <c r="F118" s="128">
        <v>0</v>
      </c>
      <c r="G118" s="129">
        <f t="shared" si="25"/>
        <v>600000</v>
      </c>
      <c r="H118" s="130">
        <f t="shared" si="26"/>
        <v>33000</v>
      </c>
      <c r="I118" s="172">
        <v>3300</v>
      </c>
      <c r="J118" s="131">
        <f t="shared" si="30"/>
        <v>5.5E-2</v>
      </c>
      <c r="K118" s="131">
        <f t="shared" si="31"/>
        <v>18.181818181818183</v>
      </c>
      <c r="L118" s="115">
        <f t="shared" si="29"/>
        <v>8.581818181818182</v>
      </c>
      <c r="N118" s="136"/>
    </row>
    <row r="119" spans="1:14">
      <c r="N119" s="136"/>
    </row>
    <row r="120" spans="1:14">
      <c r="B120" s="123" t="s">
        <v>369</v>
      </c>
      <c r="C120" s="110"/>
      <c r="D120" s="109" t="s">
        <v>370</v>
      </c>
      <c r="E120" s="111"/>
      <c r="F120" s="112" t="s">
        <v>372</v>
      </c>
      <c r="G120" s="113"/>
      <c r="L120" s="115"/>
      <c r="N120" s="136"/>
    </row>
    <row r="121" spans="1:14">
      <c r="A121" s="109" t="s">
        <v>54</v>
      </c>
      <c r="B121" s="124" t="s">
        <v>376</v>
      </c>
      <c r="C121" s="125">
        <v>4</v>
      </c>
      <c r="D121" s="126" t="s">
        <v>371</v>
      </c>
      <c r="E121" s="127">
        <v>20000</v>
      </c>
      <c r="F121" s="128"/>
      <c r="G121" s="129">
        <f>E121+(F121*0.15)</f>
        <v>20000</v>
      </c>
      <c r="H121" s="130">
        <f>I121*10</f>
        <v>9900</v>
      </c>
      <c r="I121" s="172">
        <v>990</v>
      </c>
      <c r="J121" s="131">
        <f>H121/G121</f>
        <v>0.495</v>
      </c>
      <c r="K121" s="131">
        <f>G121/H121</f>
        <v>2.0202020202020203</v>
      </c>
      <c r="L121" s="115">
        <f>K121/K$2</f>
        <v>0.95353535353535357</v>
      </c>
    </row>
    <row r="122" spans="1:14">
      <c r="A122" s="109" t="s">
        <v>54</v>
      </c>
      <c r="B122" s="124" t="s">
        <v>377</v>
      </c>
      <c r="C122" s="125">
        <v>10</v>
      </c>
      <c r="D122" s="126" t="s">
        <v>371</v>
      </c>
      <c r="E122" s="127">
        <v>20000</v>
      </c>
      <c r="F122" s="128"/>
      <c r="G122" s="129">
        <f t="shared" ref="G122:G150" si="32">E122+(F122*0.15)</f>
        <v>20000</v>
      </c>
      <c r="H122" s="130">
        <f t="shared" ref="H122:H150" si="33">I122*10</f>
        <v>9900</v>
      </c>
      <c r="I122" s="172">
        <v>990</v>
      </c>
      <c r="J122" s="131">
        <f t="shared" ref="J122:J142" si="34">H122/G122</f>
        <v>0.495</v>
      </c>
      <c r="K122" s="131">
        <f t="shared" ref="K122:K142" si="35">G122/H122</f>
        <v>2.0202020202020203</v>
      </c>
      <c r="L122" s="115">
        <f t="shared" ref="L122:L150" si="36">K122/K$2</f>
        <v>0.95353535353535357</v>
      </c>
    </row>
    <row r="123" spans="1:14">
      <c r="A123" s="109" t="s">
        <v>54</v>
      </c>
      <c r="B123" s="124" t="s">
        <v>378</v>
      </c>
      <c r="C123" s="125">
        <v>16</v>
      </c>
      <c r="D123" s="126" t="s">
        <v>371</v>
      </c>
      <c r="E123" s="127">
        <v>20000</v>
      </c>
      <c r="F123" s="128"/>
      <c r="G123" s="129">
        <f t="shared" si="32"/>
        <v>20000</v>
      </c>
      <c r="H123" s="130">
        <f t="shared" si="33"/>
        <v>9900</v>
      </c>
      <c r="I123" s="172">
        <v>990</v>
      </c>
      <c r="J123" s="131">
        <f t="shared" si="34"/>
        <v>0.495</v>
      </c>
      <c r="K123" s="131">
        <f t="shared" si="35"/>
        <v>2.0202020202020203</v>
      </c>
      <c r="L123" s="115">
        <f t="shared" si="36"/>
        <v>0.95353535353535357</v>
      </c>
    </row>
    <row r="124" spans="1:14">
      <c r="A124" s="109" t="s">
        <v>54</v>
      </c>
      <c r="B124" s="124" t="s">
        <v>379</v>
      </c>
      <c r="C124" s="125">
        <v>22</v>
      </c>
      <c r="D124" s="126" t="s">
        <v>371</v>
      </c>
      <c r="E124" s="127">
        <v>20000</v>
      </c>
      <c r="F124" s="128"/>
      <c r="G124" s="129">
        <f t="shared" si="32"/>
        <v>20000</v>
      </c>
      <c r="H124" s="130">
        <f t="shared" si="33"/>
        <v>9900</v>
      </c>
      <c r="I124" s="172">
        <v>990</v>
      </c>
      <c r="J124" s="131">
        <f t="shared" si="34"/>
        <v>0.495</v>
      </c>
      <c r="K124" s="131">
        <f t="shared" si="35"/>
        <v>2.0202020202020203</v>
      </c>
      <c r="L124" s="115">
        <f t="shared" si="36"/>
        <v>0.95353535353535357</v>
      </c>
    </row>
    <row r="125" spans="1:14">
      <c r="A125" s="109" t="s">
        <v>54</v>
      </c>
      <c r="B125" s="124" t="s">
        <v>380</v>
      </c>
      <c r="C125" s="125">
        <v>28</v>
      </c>
      <c r="D125" s="126" t="s">
        <v>371</v>
      </c>
      <c r="E125" s="127">
        <v>20000</v>
      </c>
      <c r="F125" s="128"/>
      <c r="G125" s="129">
        <f t="shared" si="32"/>
        <v>20000</v>
      </c>
      <c r="H125" s="130">
        <f t="shared" si="33"/>
        <v>9900</v>
      </c>
      <c r="I125" s="172">
        <v>990</v>
      </c>
      <c r="J125" s="131">
        <f t="shared" si="34"/>
        <v>0.495</v>
      </c>
      <c r="K125" s="131">
        <f t="shared" si="35"/>
        <v>2.0202020202020203</v>
      </c>
      <c r="L125" s="115">
        <f t="shared" si="36"/>
        <v>0.95353535353535357</v>
      </c>
    </row>
    <row r="126" spans="1:14">
      <c r="A126" s="109" t="s">
        <v>54</v>
      </c>
      <c r="B126" s="124" t="s">
        <v>381</v>
      </c>
      <c r="C126" s="125">
        <v>34</v>
      </c>
      <c r="D126" s="126" t="s">
        <v>371</v>
      </c>
      <c r="E126" s="127">
        <v>20000</v>
      </c>
      <c r="F126" s="128"/>
      <c r="G126" s="129">
        <f t="shared" si="32"/>
        <v>20000</v>
      </c>
      <c r="H126" s="130">
        <f t="shared" si="33"/>
        <v>9900</v>
      </c>
      <c r="I126" s="172">
        <v>990</v>
      </c>
      <c r="J126" s="131">
        <f t="shared" si="34"/>
        <v>0.495</v>
      </c>
      <c r="K126" s="131">
        <f t="shared" si="35"/>
        <v>2.0202020202020203</v>
      </c>
      <c r="L126" s="115">
        <f t="shared" si="36"/>
        <v>0.95353535353535357</v>
      </c>
    </row>
    <row r="127" spans="1:14">
      <c r="A127" s="109" t="s">
        <v>54</v>
      </c>
      <c r="B127" s="124" t="s">
        <v>382</v>
      </c>
      <c r="C127" s="125">
        <v>40</v>
      </c>
      <c r="D127" s="126" t="s">
        <v>371</v>
      </c>
      <c r="E127" s="127">
        <v>20000</v>
      </c>
      <c r="F127" s="128"/>
      <c r="G127" s="129">
        <f t="shared" si="32"/>
        <v>20000</v>
      </c>
      <c r="H127" s="130">
        <f t="shared" si="33"/>
        <v>9900</v>
      </c>
      <c r="I127" s="172">
        <v>990</v>
      </c>
      <c r="J127" s="131">
        <f t="shared" si="34"/>
        <v>0.495</v>
      </c>
      <c r="K127" s="131">
        <f t="shared" si="35"/>
        <v>2.0202020202020203</v>
      </c>
      <c r="L127" s="115">
        <f t="shared" si="36"/>
        <v>0.95353535353535357</v>
      </c>
    </row>
    <row r="128" spans="1:14">
      <c r="A128" s="109" t="s">
        <v>54</v>
      </c>
      <c r="B128" s="124" t="s">
        <v>383</v>
      </c>
      <c r="C128" s="125">
        <v>45</v>
      </c>
      <c r="D128" s="126" t="s">
        <v>371</v>
      </c>
      <c r="E128" s="127">
        <v>20000</v>
      </c>
      <c r="F128" s="128"/>
      <c r="G128" s="129">
        <f t="shared" si="32"/>
        <v>20000</v>
      </c>
      <c r="H128" s="130">
        <f t="shared" si="33"/>
        <v>9900</v>
      </c>
      <c r="I128" s="172">
        <v>990</v>
      </c>
      <c r="J128" s="131">
        <f t="shared" si="34"/>
        <v>0.495</v>
      </c>
      <c r="K128" s="131">
        <f t="shared" si="35"/>
        <v>2.0202020202020203</v>
      </c>
      <c r="L128" s="115">
        <f t="shared" si="36"/>
        <v>0.95353535353535357</v>
      </c>
    </row>
    <row r="129" spans="1:12">
      <c r="A129" s="109" t="s">
        <v>54</v>
      </c>
      <c r="B129" s="124" t="s">
        <v>384</v>
      </c>
      <c r="C129" s="125">
        <v>50</v>
      </c>
      <c r="D129" s="126" t="s">
        <v>371</v>
      </c>
      <c r="E129" s="127">
        <v>20000</v>
      </c>
      <c r="F129" s="128"/>
      <c r="G129" s="129">
        <f t="shared" si="32"/>
        <v>20000</v>
      </c>
      <c r="H129" s="130">
        <f t="shared" si="33"/>
        <v>9900</v>
      </c>
      <c r="I129" s="172">
        <v>990</v>
      </c>
      <c r="J129" s="131">
        <f t="shared" si="34"/>
        <v>0.495</v>
      </c>
      <c r="K129" s="131">
        <f t="shared" si="35"/>
        <v>2.0202020202020203</v>
      </c>
      <c r="L129" s="115">
        <f t="shared" si="36"/>
        <v>0.95353535353535357</v>
      </c>
    </row>
    <row r="130" spans="1:12">
      <c r="A130" s="109" t="s">
        <v>54</v>
      </c>
      <c r="B130" s="124" t="s">
        <v>385</v>
      </c>
      <c r="C130" s="125">
        <v>55</v>
      </c>
      <c r="D130" s="126" t="s">
        <v>371</v>
      </c>
      <c r="E130" s="127">
        <v>20000</v>
      </c>
      <c r="F130" s="128"/>
      <c r="G130" s="129">
        <f t="shared" si="32"/>
        <v>20000</v>
      </c>
      <c r="H130" s="130">
        <f t="shared" si="33"/>
        <v>9900</v>
      </c>
      <c r="I130" s="172">
        <v>990</v>
      </c>
      <c r="J130" s="131">
        <f t="shared" si="34"/>
        <v>0.495</v>
      </c>
      <c r="K130" s="131">
        <f t="shared" si="35"/>
        <v>2.0202020202020203</v>
      </c>
      <c r="L130" s="115">
        <f t="shared" si="36"/>
        <v>0.95353535353535357</v>
      </c>
    </row>
    <row r="131" spans="1:12">
      <c r="A131" s="109" t="s">
        <v>54</v>
      </c>
      <c r="B131" s="124" t="s">
        <v>386</v>
      </c>
      <c r="C131" s="125">
        <v>60</v>
      </c>
      <c r="D131" s="126" t="s">
        <v>371</v>
      </c>
      <c r="E131" s="127">
        <v>20000</v>
      </c>
      <c r="F131" s="128"/>
      <c r="G131" s="129">
        <f t="shared" si="32"/>
        <v>20000</v>
      </c>
      <c r="H131" s="130">
        <f t="shared" si="33"/>
        <v>9900</v>
      </c>
      <c r="I131" s="172">
        <v>990</v>
      </c>
      <c r="J131" s="131">
        <f t="shared" si="34"/>
        <v>0.495</v>
      </c>
      <c r="K131" s="131">
        <f t="shared" si="35"/>
        <v>2.0202020202020203</v>
      </c>
      <c r="L131" s="115">
        <f t="shared" si="36"/>
        <v>0.95353535353535357</v>
      </c>
    </row>
    <row r="132" spans="1:12">
      <c r="A132" s="109" t="s">
        <v>54</v>
      </c>
      <c r="B132" s="124" t="s">
        <v>387</v>
      </c>
      <c r="C132" s="125">
        <v>65</v>
      </c>
      <c r="D132" s="126" t="s">
        <v>371</v>
      </c>
      <c r="E132" s="127">
        <v>20000</v>
      </c>
      <c r="F132" s="128"/>
      <c r="G132" s="129">
        <f t="shared" si="32"/>
        <v>20000</v>
      </c>
      <c r="H132" s="130">
        <f t="shared" si="33"/>
        <v>9900</v>
      </c>
      <c r="I132" s="172">
        <v>990</v>
      </c>
      <c r="J132" s="131">
        <f t="shared" si="34"/>
        <v>0.495</v>
      </c>
      <c r="K132" s="131">
        <f t="shared" si="35"/>
        <v>2.0202020202020203</v>
      </c>
      <c r="L132" s="115">
        <f t="shared" si="36"/>
        <v>0.95353535353535357</v>
      </c>
    </row>
    <row r="133" spans="1:12">
      <c r="A133" s="109" t="s">
        <v>54</v>
      </c>
      <c r="B133" s="124" t="s">
        <v>388</v>
      </c>
      <c r="C133" s="125">
        <v>70</v>
      </c>
      <c r="D133" s="126" t="s">
        <v>371</v>
      </c>
      <c r="E133" s="127">
        <v>20000</v>
      </c>
      <c r="F133" s="128"/>
      <c r="G133" s="129">
        <f t="shared" si="32"/>
        <v>20000</v>
      </c>
      <c r="H133" s="130">
        <f t="shared" si="33"/>
        <v>9900</v>
      </c>
      <c r="I133" s="172">
        <v>990</v>
      </c>
      <c r="J133" s="131">
        <f t="shared" si="34"/>
        <v>0.495</v>
      </c>
      <c r="K133" s="131">
        <f t="shared" si="35"/>
        <v>2.0202020202020203</v>
      </c>
      <c r="L133" s="115">
        <f t="shared" si="36"/>
        <v>0.95353535353535357</v>
      </c>
    </row>
    <row r="134" spans="1:12">
      <c r="A134" s="109" t="s">
        <v>54</v>
      </c>
      <c r="B134" s="124" t="s">
        <v>389</v>
      </c>
      <c r="C134" s="125">
        <v>75</v>
      </c>
      <c r="D134" s="126" t="s">
        <v>371</v>
      </c>
      <c r="E134" s="127">
        <v>20000</v>
      </c>
      <c r="F134" s="128"/>
      <c r="G134" s="129">
        <f t="shared" si="32"/>
        <v>20000</v>
      </c>
      <c r="H134" s="130">
        <f t="shared" si="33"/>
        <v>9900</v>
      </c>
      <c r="I134" s="172">
        <v>990</v>
      </c>
      <c r="J134" s="131">
        <f t="shared" si="34"/>
        <v>0.495</v>
      </c>
      <c r="K134" s="131">
        <f t="shared" si="35"/>
        <v>2.0202020202020203</v>
      </c>
      <c r="L134" s="115">
        <f t="shared" si="36"/>
        <v>0.95353535353535357</v>
      </c>
    </row>
    <row r="135" spans="1:12">
      <c r="A135" s="109" t="s">
        <v>54</v>
      </c>
      <c r="B135" s="124" t="s">
        <v>390</v>
      </c>
      <c r="C135" s="125">
        <v>80</v>
      </c>
      <c r="D135" s="126" t="s">
        <v>371</v>
      </c>
      <c r="E135" s="127">
        <v>20000</v>
      </c>
      <c r="F135" s="128"/>
      <c r="G135" s="129">
        <f t="shared" si="32"/>
        <v>20000</v>
      </c>
      <c r="H135" s="130">
        <f t="shared" si="33"/>
        <v>9900</v>
      </c>
      <c r="I135" s="172">
        <v>990</v>
      </c>
      <c r="J135" s="131">
        <f t="shared" si="34"/>
        <v>0.495</v>
      </c>
      <c r="K135" s="131">
        <f t="shared" si="35"/>
        <v>2.0202020202020203</v>
      </c>
      <c r="L135" s="115">
        <f t="shared" si="36"/>
        <v>0.95353535353535357</v>
      </c>
    </row>
    <row r="136" spans="1:12">
      <c r="A136" s="109" t="s">
        <v>54</v>
      </c>
      <c r="B136" s="124" t="s">
        <v>391</v>
      </c>
      <c r="C136" s="125">
        <v>85</v>
      </c>
      <c r="D136" s="126" t="s">
        <v>371</v>
      </c>
      <c r="E136" s="127">
        <v>20000</v>
      </c>
      <c r="F136" s="128"/>
      <c r="G136" s="129">
        <f t="shared" si="32"/>
        <v>20000</v>
      </c>
      <c r="H136" s="130">
        <f t="shared" si="33"/>
        <v>9900</v>
      </c>
      <c r="I136" s="172">
        <v>990</v>
      </c>
      <c r="J136" s="131">
        <f t="shared" si="34"/>
        <v>0.495</v>
      </c>
      <c r="K136" s="131">
        <f t="shared" si="35"/>
        <v>2.0202020202020203</v>
      </c>
      <c r="L136" s="115">
        <f t="shared" si="36"/>
        <v>0.95353535353535357</v>
      </c>
    </row>
    <row r="137" spans="1:12">
      <c r="A137" s="109" t="s">
        <v>54</v>
      </c>
      <c r="B137" s="124" t="s">
        <v>392</v>
      </c>
      <c r="C137" s="125">
        <v>90</v>
      </c>
      <c r="D137" s="126" t="s">
        <v>371</v>
      </c>
      <c r="E137" s="127">
        <v>20000</v>
      </c>
      <c r="F137" s="128"/>
      <c r="G137" s="129">
        <f t="shared" si="32"/>
        <v>20000</v>
      </c>
      <c r="H137" s="130">
        <f t="shared" si="33"/>
        <v>9900</v>
      </c>
      <c r="I137" s="172">
        <v>990</v>
      </c>
      <c r="J137" s="131">
        <f t="shared" si="34"/>
        <v>0.495</v>
      </c>
      <c r="K137" s="131">
        <f t="shared" si="35"/>
        <v>2.0202020202020203</v>
      </c>
      <c r="L137" s="115">
        <f t="shared" si="36"/>
        <v>0.95353535353535357</v>
      </c>
    </row>
    <row r="138" spans="1:12">
      <c r="A138" s="109" t="s">
        <v>54</v>
      </c>
      <c r="B138" s="124" t="s">
        <v>393</v>
      </c>
      <c r="C138" s="125">
        <v>95</v>
      </c>
      <c r="D138" s="126" t="s">
        <v>371</v>
      </c>
      <c r="E138" s="127">
        <v>20000</v>
      </c>
      <c r="F138" s="128"/>
      <c r="G138" s="129">
        <f t="shared" si="32"/>
        <v>20000</v>
      </c>
      <c r="H138" s="130">
        <f t="shared" si="33"/>
        <v>9900</v>
      </c>
      <c r="I138" s="172">
        <v>990</v>
      </c>
      <c r="J138" s="131">
        <f t="shared" si="34"/>
        <v>0.495</v>
      </c>
      <c r="K138" s="131">
        <f t="shared" si="35"/>
        <v>2.0202020202020203</v>
      </c>
      <c r="L138" s="115">
        <f t="shared" si="36"/>
        <v>0.95353535353535357</v>
      </c>
    </row>
    <row r="139" spans="1:12">
      <c r="A139" s="109" t="s">
        <v>54</v>
      </c>
      <c r="B139" s="124" t="s">
        <v>394</v>
      </c>
      <c r="C139" s="125">
        <v>100</v>
      </c>
      <c r="D139" s="126" t="s">
        <v>371</v>
      </c>
      <c r="E139" s="127">
        <v>20000</v>
      </c>
      <c r="F139" s="128"/>
      <c r="G139" s="129">
        <f t="shared" si="32"/>
        <v>20000</v>
      </c>
      <c r="H139" s="130">
        <f t="shared" si="33"/>
        <v>9900</v>
      </c>
      <c r="I139" s="172">
        <v>990</v>
      </c>
      <c r="J139" s="131">
        <f t="shared" si="34"/>
        <v>0.495</v>
      </c>
      <c r="K139" s="131">
        <f t="shared" si="35"/>
        <v>2.0202020202020203</v>
      </c>
      <c r="L139" s="115">
        <f t="shared" si="36"/>
        <v>0.95353535353535357</v>
      </c>
    </row>
    <row r="140" spans="1:12">
      <c r="A140" s="109" t="s">
        <v>54</v>
      </c>
      <c r="B140" s="124" t="s">
        <v>395</v>
      </c>
      <c r="C140" s="125">
        <v>105</v>
      </c>
      <c r="D140" s="126" t="s">
        <v>371</v>
      </c>
      <c r="E140" s="127">
        <v>20000</v>
      </c>
      <c r="F140" s="128"/>
      <c r="G140" s="129">
        <f t="shared" si="32"/>
        <v>20000</v>
      </c>
      <c r="H140" s="130">
        <f t="shared" si="33"/>
        <v>9900</v>
      </c>
      <c r="I140" s="172">
        <v>990</v>
      </c>
      <c r="J140" s="131">
        <f t="shared" si="34"/>
        <v>0.495</v>
      </c>
      <c r="K140" s="131">
        <f t="shared" si="35"/>
        <v>2.0202020202020203</v>
      </c>
      <c r="L140" s="115">
        <f t="shared" si="36"/>
        <v>0.95353535353535357</v>
      </c>
    </row>
    <row r="141" spans="1:12">
      <c r="A141" s="109" t="s">
        <v>54</v>
      </c>
      <c r="B141" s="124" t="s">
        <v>396</v>
      </c>
      <c r="C141" s="125">
        <v>110</v>
      </c>
      <c r="D141" s="126" t="s">
        <v>371</v>
      </c>
      <c r="E141" s="127">
        <v>20000</v>
      </c>
      <c r="F141" s="128"/>
      <c r="G141" s="129">
        <f t="shared" si="32"/>
        <v>20000</v>
      </c>
      <c r="H141" s="130">
        <f t="shared" si="33"/>
        <v>9900</v>
      </c>
      <c r="I141" s="172">
        <v>990</v>
      </c>
      <c r="J141" s="131">
        <f t="shared" si="34"/>
        <v>0.495</v>
      </c>
      <c r="K141" s="131">
        <f t="shared" si="35"/>
        <v>2.0202020202020203</v>
      </c>
      <c r="L141" s="115">
        <f t="shared" si="36"/>
        <v>0.95353535353535357</v>
      </c>
    </row>
    <row r="142" spans="1:12">
      <c r="A142" s="109" t="s">
        <v>54</v>
      </c>
      <c r="B142" s="124" t="s">
        <v>397</v>
      </c>
      <c r="C142" s="125">
        <v>115</v>
      </c>
      <c r="D142" s="126" t="s">
        <v>371</v>
      </c>
      <c r="E142" s="127">
        <v>20000</v>
      </c>
      <c r="F142" s="128"/>
      <c r="G142" s="129">
        <f t="shared" si="32"/>
        <v>20000</v>
      </c>
      <c r="H142" s="130">
        <f t="shared" si="33"/>
        <v>9900</v>
      </c>
      <c r="I142" s="172">
        <v>990</v>
      </c>
      <c r="J142" s="131">
        <f t="shared" si="34"/>
        <v>0.495</v>
      </c>
      <c r="K142" s="131">
        <f t="shared" si="35"/>
        <v>2.0202020202020203</v>
      </c>
      <c r="L142" s="115">
        <f t="shared" si="36"/>
        <v>0.95353535353535357</v>
      </c>
    </row>
    <row r="143" spans="1:12">
      <c r="A143" s="109" t="s">
        <v>54</v>
      </c>
      <c r="B143" s="124" t="s">
        <v>398</v>
      </c>
      <c r="C143" s="125">
        <v>120</v>
      </c>
      <c r="D143" s="126" t="s">
        <v>371</v>
      </c>
      <c r="E143" s="127">
        <v>20000</v>
      </c>
      <c r="F143" s="128"/>
      <c r="G143" s="129">
        <f t="shared" si="32"/>
        <v>20000</v>
      </c>
      <c r="H143" s="130">
        <f>I143*10</f>
        <v>9900</v>
      </c>
      <c r="I143" s="172">
        <v>990</v>
      </c>
      <c r="J143" s="131">
        <f>H143/G143</f>
        <v>0.495</v>
      </c>
      <c r="K143" s="131">
        <f>G143/H143</f>
        <v>2.0202020202020203</v>
      </c>
      <c r="L143" s="115">
        <f>K143/K$2</f>
        <v>0.95353535353535357</v>
      </c>
    </row>
    <row r="144" spans="1:12">
      <c r="A144" s="109" t="s">
        <v>54</v>
      </c>
      <c r="B144" s="124" t="s">
        <v>399</v>
      </c>
      <c r="C144" s="125">
        <v>125</v>
      </c>
      <c r="D144" s="126" t="s">
        <v>371</v>
      </c>
      <c r="E144" s="127">
        <v>20000</v>
      </c>
      <c r="F144" s="128"/>
      <c r="G144" s="129">
        <f t="shared" si="32"/>
        <v>20000</v>
      </c>
      <c r="H144" s="130">
        <f t="shared" si="33"/>
        <v>9900</v>
      </c>
      <c r="I144" s="172">
        <v>990</v>
      </c>
      <c r="J144" s="131">
        <f t="shared" ref="J144:J147" si="37">H144/G144</f>
        <v>0.495</v>
      </c>
      <c r="K144" s="131">
        <f t="shared" ref="K144:K147" si="38">G144/H144</f>
        <v>2.0202020202020203</v>
      </c>
      <c r="L144" s="115">
        <f t="shared" si="36"/>
        <v>0.95353535353535357</v>
      </c>
    </row>
    <row r="145" spans="1:14">
      <c r="A145" s="109" t="s">
        <v>54</v>
      </c>
      <c r="B145" s="124" t="s">
        <v>400</v>
      </c>
      <c r="C145" s="125">
        <v>130</v>
      </c>
      <c r="D145" s="126" t="s">
        <v>371</v>
      </c>
      <c r="E145" s="127">
        <v>20000</v>
      </c>
      <c r="F145" s="128"/>
      <c r="G145" s="129">
        <f t="shared" si="32"/>
        <v>20000</v>
      </c>
      <c r="H145" s="130">
        <f t="shared" si="33"/>
        <v>9900</v>
      </c>
      <c r="I145" s="172">
        <v>990</v>
      </c>
      <c r="J145" s="131">
        <f t="shared" si="37"/>
        <v>0.495</v>
      </c>
      <c r="K145" s="131">
        <f t="shared" si="38"/>
        <v>2.0202020202020203</v>
      </c>
      <c r="L145" s="115">
        <f t="shared" si="36"/>
        <v>0.95353535353535357</v>
      </c>
    </row>
    <row r="146" spans="1:14">
      <c r="A146" s="109" t="s">
        <v>54</v>
      </c>
      <c r="B146" s="124" t="s">
        <v>401</v>
      </c>
      <c r="C146" s="125">
        <v>135</v>
      </c>
      <c r="D146" s="126" t="s">
        <v>371</v>
      </c>
      <c r="E146" s="127">
        <v>20000</v>
      </c>
      <c r="F146" s="128"/>
      <c r="G146" s="129">
        <f t="shared" si="32"/>
        <v>20000</v>
      </c>
      <c r="H146" s="130">
        <f t="shared" si="33"/>
        <v>9900</v>
      </c>
      <c r="I146" s="172">
        <v>990</v>
      </c>
      <c r="J146" s="131">
        <f t="shared" si="37"/>
        <v>0.495</v>
      </c>
      <c r="K146" s="131">
        <f t="shared" si="38"/>
        <v>2.0202020202020203</v>
      </c>
      <c r="L146" s="115">
        <f t="shared" si="36"/>
        <v>0.95353535353535357</v>
      </c>
    </row>
    <row r="147" spans="1:14">
      <c r="A147" s="109" t="s">
        <v>54</v>
      </c>
      <c r="B147" s="124" t="s">
        <v>402</v>
      </c>
      <c r="C147" s="125">
        <v>140</v>
      </c>
      <c r="D147" s="126" t="s">
        <v>371</v>
      </c>
      <c r="E147" s="127">
        <v>20000</v>
      </c>
      <c r="F147" s="128"/>
      <c r="G147" s="129">
        <f t="shared" si="32"/>
        <v>20000</v>
      </c>
      <c r="H147" s="130">
        <f t="shared" si="33"/>
        <v>9900</v>
      </c>
      <c r="I147" s="172">
        <v>990</v>
      </c>
      <c r="J147" s="131">
        <f t="shared" si="37"/>
        <v>0.495</v>
      </c>
      <c r="K147" s="131">
        <f t="shared" si="38"/>
        <v>2.0202020202020203</v>
      </c>
      <c r="L147" s="115">
        <f t="shared" si="36"/>
        <v>0.95353535353535357</v>
      </c>
    </row>
    <row r="148" spans="1:14">
      <c r="A148" s="109" t="s">
        <v>54</v>
      </c>
      <c r="B148" s="124" t="s">
        <v>403</v>
      </c>
      <c r="C148" s="125">
        <v>145</v>
      </c>
      <c r="D148" s="126" t="s">
        <v>371</v>
      </c>
      <c r="E148" s="127">
        <v>20000</v>
      </c>
      <c r="F148" s="128"/>
      <c r="G148" s="129">
        <f t="shared" si="32"/>
        <v>20000</v>
      </c>
      <c r="H148" s="130">
        <f>I148*10</f>
        <v>9900</v>
      </c>
      <c r="I148" s="172">
        <v>990</v>
      </c>
      <c r="J148" s="131">
        <f>H148/G148</f>
        <v>0.495</v>
      </c>
      <c r="K148" s="131">
        <f>G148/H148</f>
        <v>2.0202020202020203</v>
      </c>
      <c r="L148" s="115">
        <f>K148/K$2</f>
        <v>0.95353535353535357</v>
      </c>
    </row>
    <row r="149" spans="1:14">
      <c r="A149" s="109" t="s">
        <v>54</v>
      </c>
      <c r="B149" s="124" t="s">
        <v>404</v>
      </c>
      <c r="C149" s="125">
        <v>150</v>
      </c>
      <c r="D149" s="126" t="s">
        <v>371</v>
      </c>
      <c r="E149" s="127">
        <v>20000</v>
      </c>
      <c r="F149" s="128"/>
      <c r="G149" s="129">
        <f t="shared" si="32"/>
        <v>20000</v>
      </c>
      <c r="H149" s="130">
        <f t="shared" si="33"/>
        <v>9900</v>
      </c>
      <c r="I149" s="172">
        <v>990</v>
      </c>
      <c r="J149" s="131">
        <f t="shared" ref="J149:J150" si="39">H149/G149</f>
        <v>0.495</v>
      </c>
      <c r="K149" s="131">
        <f t="shared" ref="K149:K150" si="40">G149/H149</f>
        <v>2.0202020202020203</v>
      </c>
      <c r="L149" s="115">
        <f t="shared" si="36"/>
        <v>0.95353535353535357</v>
      </c>
    </row>
    <row r="150" spans="1:14">
      <c r="A150" s="109" t="s">
        <v>54</v>
      </c>
      <c r="B150" s="124" t="s">
        <v>405</v>
      </c>
      <c r="C150" s="125">
        <v>9999999</v>
      </c>
      <c r="D150" s="126" t="s">
        <v>371</v>
      </c>
      <c r="E150" s="127">
        <v>20000</v>
      </c>
      <c r="F150" s="128">
        <v>0</v>
      </c>
      <c r="G150" s="129">
        <f t="shared" si="32"/>
        <v>20000</v>
      </c>
      <c r="H150" s="130">
        <f t="shared" si="33"/>
        <v>9900</v>
      </c>
      <c r="I150" s="172">
        <v>990</v>
      </c>
      <c r="J150" s="131">
        <f t="shared" si="39"/>
        <v>0.495</v>
      </c>
      <c r="K150" s="131">
        <f t="shared" si="40"/>
        <v>2.0202020202020203</v>
      </c>
      <c r="L150" s="115">
        <f t="shared" si="36"/>
        <v>0.95353535353535357</v>
      </c>
    </row>
    <row r="152" spans="1:14">
      <c r="B152" s="123" t="s">
        <v>373</v>
      </c>
      <c r="C152" s="110"/>
      <c r="D152" s="109" t="s">
        <v>374</v>
      </c>
      <c r="E152" s="111"/>
      <c r="F152" s="112" t="s">
        <v>375</v>
      </c>
      <c r="G152" s="113"/>
      <c r="L152" s="115"/>
    </row>
    <row r="153" spans="1:14">
      <c r="A153" s="109" t="s">
        <v>54</v>
      </c>
      <c r="B153" s="124" t="s">
        <v>406</v>
      </c>
      <c r="C153" s="125">
        <v>10</v>
      </c>
      <c r="D153" s="126" t="s">
        <v>407</v>
      </c>
      <c r="E153" s="127">
        <v>10000</v>
      </c>
      <c r="F153" s="128"/>
      <c r="G153" s="129">
        <f>E153+(F153*0.85)</f>
        <v>10000</v>
      </c>
      <c r="H153" s="130">
        <f>I153*10</f>
        <v>9900</v>
      </c>
      <c r="I153" s="172">
        <v>990</v>
      </c>
      <c r="J153" s="131">
        <f>H153/G153</f>
        <v>0.99</v>
      </c>
      <c r="K153" s="131">
        <f>G153/H153</f>
        <v>1.0101010101010102</v>
      </c>
      <c r="L153" s="115">
        <f>K153/K$2</f>
        <v>0.47676767676767678</v>
      </c>
    </row>
    <row r="154" spans="1:14">
      <c r="A154" s="109" t="s">
        <v>54</v>
      </c>
      <c r="B154" s="124" t="s">
        <v>408</v>
      </c>
      <c r="C154" s="125">
        <v>30</v>
      </c>
      <c r="D154" s="126" t="s">
        <v>407</v>
      </c>
      <c r="E154" s="127">
        <v>10000</v>
      </c>
      <c r="F154" s="128"/>
      <c r="G154" s="129">
        <f t="shared" ref="G154:G182" si="41">E154+(F154*0.85)</f>
        <v>10000</v>
      </c>
      <c r="H154" s="130">
        <f t="shared" ref="H154:H182" si="42">I154*10</f>
        <v>9900</v>
      </c>
      <c r="I154" s="172">
        <v>990</v>
      </c>
      <c r="J154" s="131">
        <f t="shared" ref="J154:J176" si="43">H154/G154</f>
        <v>0.99</v>
      </c>
      <c r="K154" s="131">
        <f t="shared" ref="K154:K176" si="44">G154/H154</f>
        <v>1.0101010101010102</v>
      </c>
      <c r="L154" s="115">
        <f t="shared" ref="L154:L182" si="45">K154/K$2</f>
        <v>0.47676767676767678</v>
      </c>
    </row>
    <row r="155" spans="1:14">
      <c r="A155" s="109" t="s">
        <v>54</v>
      </c>
      <c r="B155" s="124" t="s">
        <v>409</v>
      </c>
      <c r="C155" s="125">
        <v>50</v>
      </c>
      <c r="D155" s="126" t="s">
        <v>407</v>
      </c>
      <c r="E155" s="127">
        <v>10000</v>
      </c>
      <c r="F155" s="128"/>
      <c r="G155" s="129">
        <f t="shared" si="41"/>
        <v>10000</v>
      </c>
      <c r="H155" s="130">
        <f t="shared" si="42"/>
        <v>9900</v>
      </c>
      <c r="I155" s="172">
        <v>990</v>
      </c>
      <c r="J155" s="131">
        <f t="shared" si="43"/>
        <v>0.99</v>
      </c>
      <c r="K155" s="131">
        <f t="shared" si="44"/>
        <v>1.0101010101010102</v>
      </c>
      <c r="L155" s="115">
        <f t="shared" si="45"/>
        <v>0.47676767676767678</v>
      </c>
    </row>
    <row r="156" spans="1:14">
      <c r="A156" s="109" t="s">
        <v>54</v>
      </c>
      <c r="B156" s="124" t="s">
        <v>410</v>
      </c>
      <c r="C156" s="125">
        <v>70</v>
      </c>
      <c r="D156" s="126" t="s">
        <v>407</v>
      </c>
      <c r="E156" s="127">
        <v>10000</v>
      </c>
      <c r="F156" s="128"/>
      <c r="G156" s="129">
        <f t="shared" si="41"/>
        <v>10000</v>
      </c>
      <c r="H156" s="130">
        <f t="shared" si="42"/>
        <v>9900</v>
      </c>
      <c r="I156" s="172">
        <v>990</v>
      </c>
      <c r="J156" s="131">
        <f t="shared" si="43"/>
        <v>0.99</v>
      </c>
      <c r="K156" s="131">
        <f t="shared" si="44"/>
        <v>1.0101010101010102</v>
      </c>
      <c r="L156" s="115">
        <f t="shared" si="45"/>
        <v>0.47676767676767678</v>
      </c>
    </row>
    <row r="157" spans="1:14">
      <c r="A157" s="109" t="s">
        <v>54</v>
      </c>
      <c r="B157" s="124" t="s">
        <v>411</v>
      </c>
      <c r="C157" s="125">
        <v>90</v>
      </c>
      <c r="D157" s="126" t="s">
        <v>407</v>
      </c>
      <c r="E157" s="127">
        <v>10000</v>
      </c>
      <c r="F157" s="128"/>
      <c r="G157" s="129">
        <f t="shared" si="41"/>
        <v>10000</v>
      </c>
      <c r="H157" s="130">
        <f t="shared" si="42"/>
        <v>9900</v>
      </c>
      <c r="I157" s="172">
        <v>990</v>
      </c>
      <c r="J157" s="131">
        <f t="shared" si="43"/>
        <v>0.99</v>
      </c>
      <c r="K157" s="131">
        <f t="shared" si="44"/>
        <v>1.0101010101010102</v>
      </c>
      <c r="L157" s="115">
        <f t="shared" si="45"/>
        <v>0.47676767676767678</v>
      </c>
    </row>
    <row r="158" spans="1:14">
      <c r="A158" s="109" t="s">
        <v>54</v>
      </c>
      <c r="B158" s="124" t="s">
        <v>412</v>
      </c>
      <c r="C158" s="125">
        <v>100</v>
      </c>
      <c r="D158" s="126" t="s">
        <v>407</v>
      </c>
      <c r="E158" s="127">
        <v>10000</v>
      </c>
      <c r="F158" s="128"/>
      <c r="G158" s="129">
        <f t="shared" si="41"/>
        <v>10000</v>
      </c>
      <c r="H158" s="130">
        <f t="shared" si="42"/>
        <v>9900</v>
      </c>
      <c r="I158" s="172">
        <v>990</v>
      </c>
      <c r="J158" s="131">
        <f t="shared" si="43"/>
        <v>0.99</v>
      </c>
      <c r="K158" s="131">
        <f t="shared" si="44"/>
        <v>1.0101010101010102</v>
      </c>
      <c r="L158" s="115">
        <f t="shared" si="45"/>
        <v>0.47676767676767678</v>
      </c>
    </row>
    <row r="159" spans="1:14">
      <c r="A159" s="109" t="s">
        <v>54</v>
      </c>
      <c r="B159" s="124" t="s">
        <v>413</v>
      </c>
      <c r="C159" s="125">
        <v>110</v>
      </c>
      <c r="D159" s="126" t="s">
        <v>407</v>
      </c>
      <c r="E159" s="127">
        <v>10000</v>
      </c>
      <c r="F159" s="128"/>
      <c r="G159" s="129">
        <f t="shared" si="41"/>
        <v>10000</v>
      </c>
      <c r="H159" s="130">
        <f t="shared" si="42"/>
        <v>9900</v>
      </c>
      <c r="I159" s="172">
        <v>990</v>
      </c>
      <c r="J159" s="131">
        <f t="shared" si="43"/>
        <v>0.99</v>
      </c>
      <c r="K159" s="131">
        <f t="shared" si="44"/>
        <v>1.0101010101010102</v>
      </c>
      <c r="L159" s="115">
        <f t="shared" si="45"/>
        <v>0.47676767676767678</v>
      </c>
      <c r="N159" s="136"/>
    </row>
    <row r="160" spans="1:14">
      <c r="A160" s="109" t="s">
        <v>54</v>
      </c>
      <c r="B160" s="124" t="s">
        <v>414</v>
      </c>
      <c r="C160" s="125">
        <v>120</v>
      </c>
      <c r="D160" s="126" t="s">
        <v>407</v>
      </c>
      <c r="E160" s="127">
        <v>10000</v>
      </c>
      <c r="F160" s="128"/>
      <c r="G160" s="129">
        <f t="shared" si="41"/>
        <v>10000</v>
      </c>
      <c r="H160" s="130">
        <f t="shared" si="42"/>
        <v>9900</v>
      </c>
      <c r="I160" s="172">
        <v>990</v>
      </c>
      <c r="J160" s="131">
        <f t="shared" si="43"/>
        <v>0.99</v>
      </c>
      <c r="K160" s="131">
        <f t="shared" si="44"/>
        <v>1.0101010101010102</v>
      </c>
      <c r="L160" s="115">
        <f t="shared" si="45"/>
        <v>0.47676767676767678</v>
      </c>
      <c r="N160" s="136"/>
    </row>
    <row r="161" spans="1:14">
      <c r="A161" s="109" t="s">
        <v>54</v>
      </c>
      <c r="B161" s="124" t="s">
        <v>415</v>
      </c>
      <c r="C161" s="125">
        <v>130</v>
      </c>
      <c r="D161" s="126" t="s">
        <v>407</v>
      </c>
      <c r="E161" s="127">
        <v>10000</v>
      </c>
      <c r="F161" s="128"/>
      <c r="G161" s="129">
        <f t="shared" si="41"/>
        <v>10000</v>
      </c>
      <c r="H161" s="130">
        <f t="shared" si="42"/>
        <v>9900</v>
      </c>
      <c r="I161" s="172">
        <v>990</v>
      </c>
      <c r="J161" s="131">
        <f t="shared" si="43"/>
        <v>0.99</v>
      </c>
      <c r="K161" s="131">
        <f t="shared" si="44"/>
        <v>1.0101010101010102</v>
      </c>
      <c r="L161" s="115">
        <f t="shared" si="45"/>
        <v>0.47676767676767678</v>
      </c>
      <c r="N161" s="136"/>
    </row>
    <row r="162" spans="1:14">
      <c r="A162" s="109" t="s">
        <v>54</v>
      </c>
      <c r="B162" s="124" t="s">
        <v>416</v>
      </c>
      <c r="C162" s="125">
        <v>140</v>
      </c>
      <c r="D162" s="126" t="s">
        <v>407</v>
      </c>
      <c r="E162" s="127">
        <v>10000</v>
      </c>
      <c r="F162" s="128"/>
      <c r="G162" s="129">
        <f t="shared" si="41"/>
        <v>10000</v>
      </c>
      <c r="H162" s="130">
        <f t="shared" si="42"/>
        <v>9900</v>
      </c>
      <c r="I162" s="172">
        <v>990</v>
      </c>
      <c r="J162" s="131">
        <f t="shared" si="43"/>
        <v>0.99</v>
      </c>
      <c r="K162" s="131">
        <f t="shared" si="44"/>
        <v>1.0101010101010102</v>
      </c>
      <c r="L162" s="115">
        <f t="shared" si="45"/>
        <v>0.47676767676767678</v>
      </c>
      <c r="N162" s="136"/>
    </row>
    <row r="163" spans="1:14">
      <c r="A163" s="109" t="s">
        <v>54</v>
      </c>
      <c r="B163" s="124" t="s">
        <v>417</v>
      </c>
      <c r="C163" s="125">
        <v>150</v>
      </c>
      <c r="D163" s="126" t="s">
        <v>407</v>
      </c>
      <c r="E163" s="127">
        <v>10000</v>
      </c>
      <c r="F163" s="128"/>
      <c r="G163" s="129">
        <f t="shared" si="41"/>
        <v>10000</v>
      </c>
      <c r="H163" s="130">
        <f t="shared" si="42"/>
        <v>9900</v>
      </c>
      <c r="I163" s="172">
        <v>990</v>
      </c>
      <c r="J163" s="131">
        <f t="shared" si="43"/>
        <v>0.99</v>
      </c>
      <c r="K163" s="131">
        <f t="shared" si="44"/>
        <v>1.0101010101010102</v>
      </c>
      <c r="L163" s="115">
        <f t="shared" si="45"/>
        <v>0.47676767676767678</v>
      </c>
      <c r="N163" s="136"/>
    </row>
    <row r="164" spans="1:14">
      <c r="A164" s="109" t="s">
        <v>54</v>
      </c>
      <c r="B164" s="124" t="s">
        <v>418</v>
      </c>
      <c r="C164" s="125">
        <v>160</v>
      </c>
      <c r="D164" s="126" t="s">
        <v>407</v>
      </c>
      <c r="E164" s="127">
        <v>10000</v>
      </c>
      <c r="F164" s="128"/>
      <c r="G164" s="129">
        <f t="shared" si="41"/>
        <v>10000</v>
      </c>
      <c r="H164" s="130">
        <f t="shared" si="42"/>
        <v>9900</v>
      </c>
      <c r="I164" s="172">
        <v>990</v>
      </c>
      <c r="J164" s="131">
        <f t="shared" si="43"/>
        <v>0.99</v>
      </c>
      <c r="K164" s="131">
        <f t="shared" si="44"/>
        <v>1.0101010101010102</v>
      </c>
      <c r="L164" s="115">
        <f t="shared" si="45"/>
        <v>0.47676767676767678</v>
      </c>
      <c r="N164" s="136"/>
    </row>
    <row r="165" spans="1:14">
      <c r="A165" s="109" t="s">
        <v>54</v>
      </c>
      <c r="B165" s="124" t="s">
        <v>419</v>
      </c>
      <c r="C165" s="125">
        <v>170</v>
      </c>
      <c r="D165" s="126" t="s">
        <v>407</v>
      </c>
      <c r="E165" s="127">
        <v>10000</v>
      </c>
      <c r="F165" s="128"/>
      <c r="G165" s="129">
        <f t="shared" si="41"/>
        <v>10000</v>
      </c>
      <c r="H165" s="130">
        <f t="shared" si="42"/>
        <v>9900</v>
      </c>
      <c r="I165" s="172">
        <v>990</v>
      </c>
      <c r="J165" s="131">
        <f t="shared" si="43"/>
        <v>0.99</v>
      </c>
      <c r="K165" s="131">
        <f t="shared" si="44"/>
        <v>1.0101010101010102</v>
      </c>
      <c r="L165" s="115">
        <f t="shared" si="45"/>
        <v>0.47676767676767678</v>
      </c>
      <c r="N165" s="136"/>
    </row>
    <row r="166" spans="1:14">
      <c r="A166" s="109" t="s">
        <v>54</v>
      </c>
      <c r="B166" s="124" t="s">
        <v>420</v>
      </c>
      <c r="C166" s="125">
        <v>180</v>
      </c>
      <c r="D166" s="126" t="s">
        <v>407</v>
      </c>
      <c r="E166" s="127">
        <v>10000</v>
      </c>
      <c r="F166" s="128"/>
      <c r="G166" s="129">
        <f t="shared" si="41"/>
        <v>10000</v>
      </c>
      <c r="H166" s="130">
        <f t="shared" si="42"/>
        <v>9900</v>
      </c>
      <c r="I166" s="172">
        <v>990</v>
      </c>
      <c r="J166" s="131">
        <f t="shared" si="43"/>
        <v>0.99</v>
      </c>
      <c r="K166" s="131">
        <f t="shared" si="44"/>
        <v>1.0101010101010102</v>
      </c>
      <c r="L166" s="115">
        <f t="shared" si="45"/>
        <v>0.47676767676767678</v>
      </c>
      <c r="N166" s="136"/>
    </row>
    <row r="167" spans="1:14">
      <c r="A167" s="109" t="s">
        <v>54</v>
      </c>
      <c r="B167" s="124" t="s">
        <v>421</v>
      </c>
      <c r="C167" s="125">
        <v>190</v>
      </c>
      <c r="D167" s="126" t="s">
        <v>407</v>
      </c>
      <c r="E167" s="127">
        <v>10000</v>
      </c>
      <c r="F167" s="128"/>
      <c r="G167" s="129">
        <f t="shared" si="41"/>
        <v>10000</v>
      </c>
      <c r="H167" s="130">
        <f t="shared" si="42"/>
        <v>9900</v>
      </c>
      <c r="I167" s="172">
        <v>990</v>
      </c>
      <c r="J167" s="131">
        <f t="shared" si="43"/>
        <v>0.99</v>
      </c>
      <c r="K167" s="131">
        <f t="shared" si="44"/>
        <v>1.0101010101010102</v>
      </c>
      <c r="L167" s="115">
        <f t="shared" si="45"/>
        <v>0.47676767676767678</v>
      </c>
      <c r="N167" s="136"/>
    </row>
    <row r="168" spans="1:14">
      <c r="A168" s="109" t="s">
        <v>54</v>
      </c>
      <c r="B168" s="124" t="s">
        <v>422</v>
      </c>
      <c r="C168" s="125">
        <v>200</v>
      </c>
      <c r="D168" s="126" t="s">
        <v>407</v>
      </c>
      <c r="E168" s="127">
        <v>10000</v>
      </c>
      <c r="F168" s="128"/>
      <c r="G168" s="129">
        <f t="shared" si="41"/>
        <v>10000</v>
      </c>
      <c r="H168" s="130">
        <f t="shared" si="42"/>
        <v>9900</v>
      </c>
      <c r="I168" s="172">
        <v>990</v>
      </c>
      <c r="J168" s="131">
        <f t="shared" si="43"/>
        <v>0.99</v>
      </c>
      <c r="K168" s="131">
        <f t="shared" si="44"/>
        <v>1.0101010101010102</v>
      </c>
      <c r="L168" s="115">
        <f t="shared" si="45"/>
        <v>0.47676767676767678</v>
      </c>
      <c r="N168" s="136"/>
    </row>
    <row r="169" spans="1:14">
      <c r="A169" s="109" t="s">
        <v>54</v>
      </c>
      <c r="B169" s="124" t="s">
        <v>423</v>
      </c>
      <c r="C169" s="125">
        <v>210</v>
      </c>
      <c r="D169" s="126" t="s">
        <v>407</v>
      </c>
      <c r="E169" s="127">
        <v>10000</v>
      </c>
      <c r="F169" s="128"/>
      <c r="G169" s="129">
        <f t="shared" si="41"/>
        <v>10000</v>
      </c>
      <c r="H169" s="130">
        <f t="shared" si="42"/>
        <v>9900</v>
      </c>
      <c r="I169" s="172">
        <v>990</v>
      </c>
      <c r="J169" s="131">
        <f t="shared" si="43"/>
        <v>0.99</v>
      </c>
      <c r="K169" s="131">
        <f t="shared" si="44"/>
        <v>1.0101010101010102</v>
      </c>
      <c r="L169" s="115">
        <f t="shared" si="45"/>
        <v>0.47676767676767678</v>
      </c>
    </row>
    <row r="170" spans="1:14">
      <c r="A170" s="109" t="s">
        <v>54</v>
      </c>
      <c r="B170" s="124" t="s">
        <v>424</v>
      </c>
      <c r="C170" s="125">
        <v>220</v>
      </c>
      <c r="D170" s="126" t="s">
        <v>407</v>
      </c>
      <c r="E170" s="127">
        <v>10000</v>
      </c>
      <c r="F170" s="128"/>
      <c r="G170" s="129">
        <f t="shared" si="41"/>
        <v>10000</v>
      </c>
      <c r="H170" s="130">
        <f t="shared" si="42"/>
        <v>9900</v>
      </c>
      <c r="I170" s="172">
        <v>990</v>
      </c>
      <c r="J170" s="131">
        <f t="shared" si="43"/>
        <v>0.99</v>
      </c>
      <c r="K170" s="131">
        <f t="shared" si="44"/>
        <v>1.0101010101010102</v>
      </c>
      <c r="L170" s="115">
        <f t="shared" si="45"/>
        <v>0.47676767676767678</v>
      </c>
    </row>
    <row r="171" spans="1:14">
      <c r="A171" s="109" t="s">
        <v>54</v>
      </c>
      <c r="B171" s="124" t="s">
        <v>425</v>
      </c>
      <c r="C171" s="125">
        <v>230</v>
      </c>
      <c r="D171" s="126" t="s">
        <v>407</v>
      </c>
      <c r="E171" s="127">
        <v>10000</v>
      </c>
      <c r="F171" s="128"/>
      <c r="G171" s="129">
        <f t="shared" si="41"/>
        <v>10000</v>
      </c>
      <c r="H171" s="130">
        <f t="shared" si="42"/>
        <v>9900</v>
      </c>
      <c r="I171" s="172">
        <v>990</v>
      </c>
      <c r="J171" s="131">
        <f t="shared" si="43"/>
        <v>0.99</v>
      </c>
      <c r="K171" s="131">
        <f t="shared" si="44"/>
        <v>1.0101010101010102</v>
      </c>
      <c r="L171" s="115">
        <f t="shared" si="45"/>
        <v>0.47676767676767678</v>
      </c>
    </row>
    <row r="172" spans="1:14">
      <c r="A172" s="109" t="s">
        <v>54</v>
      </c>
      <c r="B172" s="124" t="s">
        <v>426</v>
      </c>
      <c r="C172" s="125">
        <v>240</v>
      </c>
      <c r="D172" s="126" t="s">
        <v>407</v>
      </c>
      <c r="E172" s="127">
        <v>10000</v>
      </c>
      <c r="F172" s="128"/>
      <c r="G172" s="129">
        <f t="shared" si="41"/>
        <v>10000</v>
      </c>
      <c r="H172" s="130">
        <f t="shared" si="42"/>
        <v>9900</v>
      </c>
      <c r="I172" s="172">
        <v>990</v>
      </c>
      <c r="J172" s="131">
        <f t="shared" si="43"/>
        <v>0.99</v>
      </c>
      <c r="K172" s="131">
        <f t="shared" si="44"/>
        <v>1.0101010101010102</v>
      </c>
      <c r="L172" s="115">
        <f t="shared" si="45"/>
        <v>0.47676767676767678</v>
      </c>
    </row>
    <row r="173" spans="1:14">
      <c r="A173" s="109" t="s">
        <v>54</v>
      </c>
      <c r="B173" s="124" t="s">
        <v>427</v>
      </c>
      <c r="C173" s="125">
        <v>250</v>
      </c>
      <c r="D173" s="126" t="s">
        <v>407</v>
      </c>
      <c r="E173" s="127">
        <v>10000</v>
      </c>
      <c r="F173" s="128"/>
      <c r="G173" s="129">
        <f t="shared" si="41"/>
        <v>10000</v>
      </c>
      <c r="H173" s="130">
        <f t="shared" si="42"/>
        <v>9900</v>
      </c>
      <c r="I173" s="172">
        <v>990</v>
      </c>
      <c r="J173" s="131">
        <f t="shared" si="43"/>
        <v>0.99</v>
      </c>
      <c r="K173" s="131">
        <f t="shared" si="44"/>
        <v>1.0101010101010102</v>
      </c>
      <c r="L173" s="115">
        <f t="shared" si="45"/>
        <v>0.47676767676767678</v>
      </c>
    </row>
    <row r="174" spans="1:14">
      <c r="A174" s="109" t="s">
        <v>54</v>
      </c>
      <c r="B174" s="124" t="s">
        <v>428</v>
      </c>
      <c r="C174" s="125">
        <v>260</v>
      </c>
      <c r="D174" s="126" t="s">
        <v>407</v>
      </c>
      <c r="E174" s="127">
        <v>10000</v>
      </c>
      <c r="F174" s="128"/>
      <c r="G174" s="129">
        <f t="shared" si="41"/>
        <v>10000</v>
      </c>
      <c r="H174" s="130">
        <f t="shared" si="42"/>
        <v>9900</v>
      </c>
      <c r="I174" s="172">
        <v>990</v>
      </c>
      <c r="J174" s="131">
        <f t="shared" si="43"/>
        <v>0.99</v>
      </c>
      <c r="K174" s="131">
        <f t="shared" si="44"/>
        <v>1.0101010101010102</v>
      </c>
      <c r="L174" s="115">
        <f t="shared" si="45"/>
        <v>0.47676767676767678</v>
      </c>
    </row>
    <row r="175" spans="1:14">
      <c r="A175" s="109" t="s">
        <v>54</v>
      </c>
      <c r="B175" s="124" t="s">
        <v>429</v>
      </c>
      <c r="C175" s="125">
        <v>270</v>
      </c>
      <c r="D175" s="126" t="s">
        <v>407</v>
      </c>
      <c r="E175" s="127">
        <v>10000</v>
      </c>
      <c r="F175" s="128"/>
      <c r="G175" s="129">
        <f t="shared" si="41"/>
        <v>10000</v>
      </c>
      <c r="H175" s="130">
        <f t="shared" si="42"/>
        <v>9900</v>
      </c>
      <c r="I175" s="172">
        <v>990</v>
      </c>
      <c r="J175" s="131">
        <f t="shared" si="43"/>
        <v>0.99</v>
      </c>
      <c r="K175" s="131">
        <f t="shared" si="44"/>
        <v>1.0101010101010102</v>
      </c>
      <c r="L175" s="115">
        <f t="shared" si="45"/>
        <v>0.47676767676767678</v>
      </c>
    </row>
    <row r="176" spans="1:14">
      <c r="A176" s="109" t="s">
        <v>54</v>
      </c>
      <c r="B176" s="124" t="s">
        <v>430</v>
      </c>
      <c r="C176" s="125">
        <v>280</v>
      </c>
      <c r="D176" s="126" t="s">
        <v>407</v>
      </c>
      <c r="E176" s="127">
        <v>10000</v>
      </c>
      <c r="F176" s="128"/>
      <c r="G176" s="129">
        <f t="shared" si="41"/>
        <v>10000</v>
      </c>
      <c r="H176" s="130">
        <f t="shared" si="42"/>
        <v>9900</v>
      </c>
      <c r="I176" s="172">
        <v>990</v>
      </c>
      <c r="J176" s="131">
        <f t="shared" si="43"/>
        <v>0.99</v>
      </c>
      <c r="K176" s="131">
        <f t="shared" si="44"/>
        <v>1.0101010101010102</v>
      </c>
      <c r="L176" s="115">
        <f t="shared" si="45"/>
        <v>0.47676767676767678</v>
      </c>
    </row>
    <row r="177" spans="1:12">
      <c r="A177" s="109" t="s">
        <v>54</v>
      </c>
      <c r="B177" s="124" t="s">
        <v>431</v>
      </c>
      <c r="C177" s="125">
        <v>290</v>
      </c>
      <c r="D177" s="126" t="s">
        <v>407</v>
      </c>
      <c r="E177" s="127">
        <v>10000</v>
      </c>
      <c r="F177" s="128"/>
      <c r="G177" s="129">
        <f t="shared" si="41"/>
        <v>10000</v>
      </c>
      <c r="H177" s="130">
        <f>I177*10</f>
        <v>9900</v>
      </c>
      <c r="I177" s="172">
        <v>990</v>
      </c>
      <c r="J177" s="131">
        <f>H177/G177</f>
        <v>0.99</v>
      </c>
      <c r="K177" s="131">
        <f>G177/H177</f>
        <v>1.0101010101010102</v>
      </c>
      <c r="L177" s="115">
        <f>K177/K$2</f>
        <v>0.47676767676767678</v>
      </c>
    </row>
    <row r="178" spans="1:12">
      <c r="A178" s="109" t="s">
        <v>54</v>
      </c>
      <c r="B178" s="124" t="s">
        <v>432</v>
      </c>
      <c r="C178" s="125">
        <v>300</v>
      </c>
      <c r="D178" s="126" t="s">
        <v>407</v>
      </c>
      <c r="E178" s="127">
        <v>10000</v>
      </c>
      <c r="F178" s="128"/>
      <c r="G178" s="129">
        <f t="shared" si="41"/>
        <v>10000</v>
      </c>
      <c r="H178" s="130">
        <f t="shared" si="42"/>
        <v>9900</v>
      </c>
      <c r="I178" s="172">
        <v>990</v>
      </c>
      <c r="J178" s="131">
        <f t="shared" ref="J178:J180" si="46">H178/G178</f>
        <v>0.99</v>
      </c>
      <c r="K178" s="131">
        <f t="shared" ref="K178:K180" si="47">G178/H178</f>
        <v>1.0101010101010102</v>
      </c>
      <c r="L178" s="115">
        <f t="shared" si="45"/>
        <v>0.47676767676767678</v>
      </c>
    </row>
    <row r="179" spans="1:12">
      <c r="A179" s="109" t="s">
        <v>54</v>
      </c>
      <c r="B179" s="124" t="s">
        <v>433</v>
      </c>
      <c r="C179" s="125">
        <v>310</v>
      </c>
      <c r="D179" s="126" t="s">
        <v>407</v>
      </c>
      <c r="E179" s="127">
        <v>10000</v>
      </c>
      <c r="F179" s="128"/>
      <c r="G179" s="129">
        <f t="shared" si="41"/>
        <v>10000</v>
      </c>
      <c r="H179" s="130">
        <f t="shared" si="42"/>
        <v>9900</v>
      </c>
      <c r="I179" s="172">
        <v>990</v>
      </c>
      <c r="J179" s="131">
        <f t="shared" si="46"/>
        <v>0.99</v>
      </c>
      <c r="K179" s="131">
        <f t="shared" si="47"/>
        <v>1.0101010101010102</v>
      </c>
      <c r="L179" s="115">
        <f t="shared" si="45"/>
        <v>0.47676767676767678</v>
      </c>
    </row>
    <row r="180" spans="1:12">
      <c r="A180" s="109" t="s">
        <v>54</v>
      </c>
      <c r="B180" s="124" t="s">
        <v>434</v>
      </c>
      <c r="C180" s="125">
        <v>320</v>
      </c>
      <c r="D180" s="126" t="s">
        <v>407</v>
      </c>
      <c r="E180" s="127">
        <v>10000</v>
      </c>
      <c r="F180" s="128"/>
      <c r="G180" s="129">
        <f t="shared" si="41"/>
        <v>10000</v>
      </c>
      <c r="H180" s="130">
        <f t="shared" si="42"/>
        <v>9900</v>
      </c>
      <c r="I180" s="172">
        <v>990</v>
      </c>
      <c r="J180" s="131">
        <f t="shared" si="46"/>
        <v>0.99</v>
      </c>
      <c r="K180" s="131">
        <f t="shared" si="47"/>
        <v>1.0101010101010102</v>
      </c>
      <c r="L180" s="115">
        <f t="shared" si="45"/>
        <v>0.47676767676767678</v>
      </c>
    </row>
    <row r="181" spans="1:12">
      <c r="A181" s="109" t="s">
        <v>54</v>
      </c>
      <c r="B181" s="124" t="s">
        <v>435</v>
      </c>
      <c r="C181" s="125">
        <v>330</v>
      </c>
      <c r="D181" s="126" t="s">
        <v>407</v>
      </c>
      <c r="E181" s="127">
        <v>10000</v>
      </c>
      <c r="F181" s="128"/>
      <c r="G181" s="129">
        <f t="shared" si="41"/>
        <v>10000</v>
      </c>
      <c r="H181" s="130">
        <f>I181*10</f>
        <v>9900</v>
      </c>
      <c r="I181" s="172">
        <v>990</v>
      </c>
      <c r="J181" s="131">
        <f>H181/G181</f>
        <v>0.99</v>
      </c>
      <c r="K181" s="131">
        <f>G181/H181</f>
        <v>1.0101010101010102</v>
      </c>
      <c r="L181" s="115">
        <f>K181/K$2</f>
        <v>0.47676767676767678</v>
      </c>
    </row>
    <row r="182" spans="1:12">
      <c r="A182" s="109" t="s">
        <v>54</v>
      </c>
      <c r="B182" s="124" t="s">
        <v>436</v>
      </c>
      <c r="C182" s="125">
        <v>999999</v>
      </c>
      <c r="D182" s="126" t="s">
        <v>407</v>
      </c>
      <c r="E182" s="127">
        <v>10000</v>
      </c>
      <c r="F182" s="128"/>
      <c r="G182" s="129">
        <f t="shared" si="41"/>
        <v>10000</v>
      </c>
      <c r="H182" s="130">
        <f t="shared" si="42"/>
        <v>9900</v>
      </c>
      <c r="I182" s="172">
        <v>990</v>
      </c>
      <c r="J182" s="131">
        <f t="shared" ref="J182" si="48">H182/G182</f>
        <v>0.99</v>
      </c>
      <c r="K182" s="131">
        <f t="shared" ref="K182" si="49">G182/H182</f>
        <v>1.0101010101010102</v>
      </c>
      <c r="L182" s="115">
        <f t="shared" si="45"/>
        <v>0.47676767676767678</v>
      </c>
    </row>
    <row r="184" spans="1:12">
      <c r="B184" s="123" t="s">
        <v>438</v>
      </c>
      <c r="C184" s="110"/>
      <c r="D184" s="109" t="s">
        <v>437</v>
      </c>
      <c r="E184" s="111"/>
      <c r="F184" s="112" t="s">
        <v>439</v>
      </c>
      <c r="G184" s="113"/>
      <c r="L184" s="115"/>
    </row>
    <row r="185" spans="1:12">
      <c r="A185" s="109" t="s">
        <v>54</v>
      </c>
      <c r="B185" s="124" t="s">
        <v>441</v>
      </c>
      <c r="C185" s="125">
        <v>5</v>
      </c>
      <c r="D185" s="126" t="s">
        <v>440</v>
      </c>
      <c r="E185" s="127">
        <v>10000</v>
      </c>
      <c r="F185" s="128"/>
      <c r="G185" s="129">
        <f>E185+(F185*0.029)</f>
        <v>10000</v>
      </c>
      <c r="H185" s="130">
        <f>I185*10</f>
        <v>9900</v>
      </c>
      <c r="I185" s="172">
        <v>990</v>
      </c>
      <c r="J185" s="131">
        <f>H185/G185</f>
        <v>0.99</v>
      </c>
      <c r="K185" s="131">
        <f>G185/H185</f>
        <v>1.0101010101010102</v>
      </c>
      <c r="L185" s="115">
        <f>K185/K$2</f>
        <v>0.47676767676767678</v>
      </c>
    </row>
    <row r="186" spans="1:12">
      <c r="A186" s="109" t="s">
        <v>54</v>
      </c>
      <c r="B186" s="124" t="s">
        <v>442</v>
      </c>
      <c r="C186" s="125">
        <v>20</v>
      </c>
      <c r="D186" s="126" t="s">
        <v>440</v>
      </c>
      <c r="E186" s="127">
        <v>10000</v>
      </c>
      <c r="F186" s="128"/>
      <c r="G186" s="129">
        <f t="shared" ref="G186:G214" si="50">E186+(F186*0.029)</f>
        <v>10000</v>
      </c>
      <c r="H186" s="130">
        <f t="shared" ref="H186:H214" si="51">I186*10</f>
        <v>9900</v>
      </c>
      <c r="I186" s="172">
        <v>990</v>
      </c>
      <c r="J186" s="131">
        <f t="shared" ref="J186:J204" si="52">H186/G186</f>
        <v>0.99</v>
      </c>
      <c r="K186" s="131">
        <f t="shared" ref="K186:K204" si="53">G186/H186</f>
        <v>1.0101010101010102</v>
      </c>
      <c r="L186" s="115">
        <f t="shared" ref="L186:L214" si="54">K186/K$2</f>
        <v>0.47676767676767678</v>
      </c>
    </row>
    <row r="187" spans="1:12">
      <c r="A187" s="109" t="s">
        <v>54</v>
      </c>
      <c r="B187" s="124" t="s">
        <v>443</v>
      </c>
      <c r="C187" s="125">
        <v>35</v>
      </c>
      <c r="D187" s="126" t="s">
        <v>440</v>
      </c>
      <c r="E187" s="127">
        <v>10000</v>
      </c>
      <c r="F187" s="128"/>
      <c r="G187" s="129">
        <f t="shared" si="50"/>
        <v>10000</v>
      </c>
      <c r="H187" s="130">
        <f t="shared" si="51"/>
        <v>9900</v>
      </c>
      <c r="I187" s="172">
        <v>990</v>
      </c>
      <c r="J187" s="131">
        <f t="shared" si="52"/>
        <v>0.99</v>
      </c>
      <c r="K187" s="131">
        <f t="shared" si="53"/>
        <v>1.0101010101010102</v>
      </c>
      <c r="L187" s="115">
        <f t="shared" si="54"/>
        <v>0.47676767676767678</v>
      </c>
    </row>
    <row r="188" spans="1:12">
      <c r="A188" s="109" t="s">
        <v>54</v>
      </c>
      <c r="B188" s="124" t="s">
        <v>444</v>
      </c>
      <c r="C188" s="125">
        <v>50</v>
      </c>
      <c r="D188" s="126" t="s">
        <v>440</v>
      </c>
      <c r="E188" s="127">
        <v>10000</v>
      </c>
      <c r="F188" s="128"/>
      <c r="G188" s="129">
        <f t="shared" si="50"/>
        <v>10000</v>
      </c>
      <c r="H188" s="130">
        <f t="shared" si="51"/>
        <v>9900</v>
      </c>
      <c r="I188" s="172">
        <v>990</v>
      </c>
      <c r="J188" s="131">
        <f t="shared" si="52"/>
        <v>0.99</v>
      </c>
      <c r="K188" s="131">
        <f t="shared" si="53"/>
        <v>1.0101010101010102</v>
      </c>
      <c r="L188" s="115">
        <f t="shared" si="54"/>
        <v>0.47676767676767678</v>
      </c>
    </row>
    <row r="189" spans="1:12">
      <c r="A189" s="109" t="s">
        <v>54</v>
      </c>
      <c r="B189" s="124" t="s">
        <v>445</v>
      </c>
      <c r="C189" s="125">
        <v>65</v>
      </c>
      <c r="D189" s="126" t="s">
        <v>440</v>
      </c>
      <c r="E189" s="127">
        <v>10000</v>
      </c>
      <c r="F189" s="128"/>
      <c r="G189" s="129">
        <f t="shared" si="50"/>
        <v>10000</v>
      </c>
      <c r="H189" s="130">
        <f t="shared" si="51"/>
        <v>9900</v>
      </c>
      <c r="I189" s="172">
        <v>990</v>
      </c>
      <c r="J189" s="131">
        <f t="shared" si="52"/>
        <v>0.99</v>
      </c>
      <c r="K189" s="131">
        <f t="shared" si="53"/>
        <v>1.0101010101010102</v>
      </c>
      <c r="L189" s="115">
        <f t="shared" si="54"/>
        <v>0.47676767676767678</v>
      </c>
    </row>
    <row r="190" spans="1:12">
      <c r="A190" s="109" t="s">
        <v>54</v>
      </c>
      <c r="B190" s="124" t="s">
        <v>446</v>
      </c>
      <c r="C190" s="125">
        <v>80</v>
      </c>
      <c r="D190" s="126" t="s">
        <v>440</v>
      </c>
      <c r="E190" s="127">
        <v>10000</v>
      </c>
      <c r="F190" s="128"/>
      <c r="G190" s="129">
        <f t="shared" si="50"/>
        <v>10000</v>
      </c>
      <c r="H190" s="130">
        <f t="shared" si="51"/>
        <v>9900</v>
      </c>
      <c r="I190" s="172">
        <v>990</v>
      </c>
      <c r="J190" s="131">
        <f t="shared" si="52"/>
        <v>0.99</v>
      </c>
      <c r="K190" s="131">
        <f t="shared" si="53"/>
        <v>1.0101010101010102</v>
      </c>
      <c r="L190" s="115">
        <f t="shared" si="54"/>
        <v>0.47676767676767678</v>
      </c>
    </row>
    <row r="191" spans="1:12">
      <c r="A191" s="109" t="s">
        <v>54</v>
      </c>
      <c r="B191" s="124" t="s">
        <v>447</v>
      </c>
      <c r="C191" s="125">
        <v>95</v>
      </c>
      <c r="D191" s="126" t="s">
        <v>440</v>
      </c>
      <c r="E191" s="127">
        <v>10000</v>
      </c>
      <c r="F191" s="128"/>
      <c r="G191" s="129">
        <f t="shared" si="50"/>
        <v>10000</v>
      </c>
      <c r="H191" s="130">
        <f t="shared" si="51"/>
        <v>9900</v>
      </c>
      <c r="I191" s="172">
        <v>990</v>
      </c>
      <c r="J191" s="131">
        <f t="shared" si="52"/>
        <v>0.99</v>
      </c>
      <c r="K191" s="131">
        <f t="shared" si="53"/>
        <v>1.0101010101010102</v>
      </c>
      <c r="L191" s="115">
        <f t="shared" si="54"/>
        <v>0.47676767676767678</v>
      </c>
    </row>
    <row r="192" spans="1:12">
      <c r="A192" s="109" t="s">
        <v>54</v>
      </c>
      <c r="B192" s="124" t="s">
        <v>448</v>
      </c>
      <c r="C192" s="125">
        <v>110</v>
      </c>
      <c r="D192" s="126" t="s">
        <v>440</v>
      </c>
      <c r="E192" s="127">
        <v>10000</v>
      </c>
      <c r="F192" s="128"/>
      <c r="G192" s="129">
        <f t="shared" si="50"/>
        <v>10000</v>
      </c>
      <c r="H192" s="130">
        <f t="shared" si="51"/>
        <v>9900</v>
      </c>
      <c r="I192" s="172">
        <v>990</v>
      </c>
      <c r="J192" s="131">
        <f t="shared" si="52"/>
        <v>0.99</v>
      </c>
      <c r="K192" s="131">
        <f t="shared" si="53"/>
        <v>1.0101010101010102</v>
      </c>
      <c r="L192" s="115">
        <f t="shared" si="54"/>
        <v>0.47676767676767678</v>
      </c>
    </row>
    <row r="193" spans="1:12">
      <c r="A193" s="109" t="s">
        <v>54</v>
      </c>
      <c r="B193" s="124" t="s">
        <v>449</v>
      </c>
      <c r="C193" s="125">
        <v>125</v>
      </c>
      <c r="D193" s="126" t="s">
        <v>440</v>
      </c>
      <c r="E193" s="127">
        <v>10000</v>
      </c>
      <c r="F193" s="128"/>
      <c r="G193" s="129">
        <f t="shared" si="50"/>
        <v>10000</v>
      </c>
      <c r="H193" s="130">
        <f t="shared" si="51"/>
        <v>9900</v>
      </c>
      <c r="I193" s="172">
        <v>990</v>
      </c>
      <c r="J193" s="131">
        <f t="shared" si="52"/>
        <v>0.99</v>
      </c>
      <c r="K193" s="131">
        <f t="shared" si="53"/>
        <v>1.0101010101010102</v>
      </c>
      <c r="L193" s="115">
        <f t="shared" si="54"/>
        <v>0.47676767676767678</v>
      </c>
    </row>
    <row r="194" spans="1:12">
      <c r="A194" s="109" t="s">
        <v>54</v>
      </c>
      <c r="B194" s="124" t="s">
        <v>450</v>
      </c>
      <c r="C194" s="125">
        <v>140</v>
      </c>
      <c r="D194" s="126" t="s">
        <v>440</v>
      </c>
      <c r="E194" s="127">
        <v>10000</v>
      </c>
      <c r="F194" s="128"/>
      <c r="G194" s="129">
        <f t="shared" si="50"/>
        <v>10000</v>
      </c>
      <c r="H194" s="130">
        <f t="shared" si="51"/>
        <v>9900</v>
      </c>
      <c r="I194" s="172">
        <v>990</v>
      </c>
      <c r="J194" s="131">
        <f t="shared" si="52"/>
        <v>0.99</v>
      </c>
      <c r="K194" s="131">
        <f t="shared" si="53"/>
        <v>1.0101010101010102</v>
      </c>
      <c r="L194" s="115">
        <f t="shared" si="54"/>
        <v>0.47676767676767678</v>
      </c>
    </row>
    <row r="195" spans="1:12">
      <c r="A195" s="109" t="s">
        <v>54</v>
      </c>
      <c r="B195" s="124" t="s">
        <v>451</v>
      </c>
      <c r="C195" s="125">
        <v>155</v>
      </c>
      <c r="D195" s="126" t="s">
        <v>440</v>
      </c>
      <c r="E195" s="127">
        <v>10000</v>
      </c>
      <c r="F195" s="128"/>
      <c r="G195" s="129">
        <f t="shared" si="50"/>
        <v>10000</v>
      </c>
      <c r="H195" s="130">
        <f t="shared" si="51"/>
        <v>9900</v>
      </c>
      <c r="I195" s="172">
        <v>990</v>
      </c>
      <c r="J195" s="131">
        <f t="shared" si="52"/>
        <v>0.99</v>
      </c>
      <c r="K195" s="131">
        <f t="shared" si="53"/>
        <v>1.0101010101010102</v>
      </c>
      <c r="L195" s="115">
        <f t="shared" si="54"/>
        <v>0.47676767676767678</v>
      </c>
    </row>
    <row r="196" spans="1:12">
      <c r="A196" s="109" t="s">
        <v>54</v>
      </c>
      <c r="B196" s="124" t="s">
        <v>452</v>
      </c>
      <c r="C196" s="125">
        <v>170</v>
      </c>
      <c r="D196" s="126" t="s">
        <v>440</v>
      </c>
      <c r="E196" s="127">
        <v>10000</v>
      </c>
      <c r="F196" s="128"/>
      <c r="G196" s="129">
        <f t="shared" si="50"/>
        <v>10000</v>
      </c>
      <c r="H196" s="130">
        <f t="shared" si="51"/>
        <v>9900</v>
      </c>
      <c r="I196" s="172">
        <v>990</v>
      </c>
      <c r="J196" s="131">
        <f t="shared" si="52"/>
        <v>0.99</v>
      </c>
      <c r="K196" s="131">
        <f t="shared" si="53"/>
        <v>1.0101010101010102</v>
      </c>
      <c r="L196" s="115">
        <f t="shared" si="54"/>
        <v>0.47676767676767678</v>
      </c>
    </row>
    <row r="197" spans="1:12">
      <c r="A197" s="109" t="s">
        <v>54</v>
      </c>
      <c r="B197" s="124" t="s">
        <v>453</v>
      </c>
      <c r="C197" s="125">
        <v>185</v>
      </c>
      <c r="D197" s="126" t="s">
        <v>440</v>
      </c>
      <c r="E197" s="127">
        <v>10000</v>
      </c>
      <c r="F197" s="128"/>
      <c r="G197" s="129">
        <f t="shared" si="50"/>
        <v>10000</v>
      </c>
      <c r="H197" s="130">
        <f t="shared" si="51"/>
        <v>9900</v>
      </c>
      <c r="I197" s="172">
        <v>990</v>
      </c>
      <c r="J197" s="131">
        <f t="shared" si="52"/>
        <v>0.99</v>
      </c>
      <c r="K197" s="131">
        <f t="shared" si="53"/>
        <v>1.0101010101010102</v>
      </c>
      <c r="L197" s="115">
        <f t="shared" si="54"/>
        <v>0.47676767676767678</v>
      </c>
    </row>
    <row r="198" spans="1:12">
      <c r="A198" s="109" t="s">
        <v>54</v>
      </c>
      <c r="B198" s="124" t="s">
        <v>454</v>
      </c>
      <c r="C198" s="125">
        <v>200</v>
      </c>
      <c r="D198" s="126" t="s">
        <v>440</v>
      </c>
      <c r="E198" s="127">
        <v>10000</v>
      </c>
      <c r="F198" s="128"/>
      <c r="G198" s="129">
        <f t="shared" si="50"/>
        <v>10000</v>
      </c>
      <c r="H198" s="130">
        <f t="shared" si="51"/>
        <v>9900</v>
      </c>
      <c r="I198" s="172">
        <v>990</v>
      </c>
      <c r="J198" s="131">
        <f t="shared" si="52"/>
        <v>0.99</v>
      </c>
      <c r="K198" s="131">
        <f t="shared" si="53"/>
        <v>1.0101010101010102</v>
      </c>
      <c r="L198" s="115">
        <f t="shared" si="54"/>
        <v>0.47676767676767678</v>
      </c>
    </row>
    <row r="199" spans="1:12">
      <c r="A199" s="109" t="s">
        <v>54</v>
      </c>
      <c r="B199" s="124" t="s">
        <v>455</v>
      </c>
      <c r="C199" s="125">
        <v>215</v>
      </c>
      <c r="D199" s="126" t="s">
        <v>440</v>
      </c>
      <c r="E199" s="127">
        <v>10000</v>
      </c>
      <c r="F199" s="128"/>
      <c r="G199" s="129">
        <f t="shared" si="50"/>
        <v>10000</v>
      </c>
      <c r="H199" s="130">
        <f t="shared" si="51"/>
        <v>9900</v>
      </c>
      <c r="I199" s="172">
        <v>990</v>
      </c>
      <c r="J199" s="131">
        <f t="shared" si="52"/>
        <v>0.99</v>
      </c>
      <c r="K199" s="131">
        <f t="shared" si="53"/>
        <v>1.0101010101010102</v>
      </c>
      <c r="L199" s="115">
        <f t="shared" si="54"/>
        <v>0.47676767676767678</v>
      </c>
    </row>
    <row r="200" spans="1:12">
      <c r="A200" s="109" t="s">
        <v>54</v>
      </c>
      <c r="B200" s="124" t="s">
        <v>456</v>
      </c>
      <c r="C200" s="125">
        <v>230</v>
      </c>
      <c r="D200" s="126" t="s">
        <v>440</v>
      </c>
      <c r="E200" s="127">
        <v>10000</v>
      </c>
      <c r="F200" s="128"/>
      <c r="G200" s="129">
        <f t="shared" si="50"/>
        <v>10000</v>
      </c>
      <c r="H200" s="130">
        <f t="shared" si="51"/>
        <v>9900</v>
      </c>
      <c r="I200" s="172">
        <v>990</v>
      </c>
      <c r="J200" s="131">
        <f t="shared" si="52"/>
        <v>0.99</v>
      </c>
      <c r="K200" s="131">
        <f t="shared" si="53"/>
        <v>1.0101010101010102</v>
      </c>
      <c r="L200" s="115">
        <f t="shared" si="54"/>
        <v>0.47676767676767678</v>
      </c>
    </row>
    <row r="201" spans="1:12">
      <c r="A201" s="109" t="s">
        <v>54</v>
      </c>
      <c r="B201" s="124" t="s">
        <v>457</v>
      </c>
      <c r="C201" s="125">
        <v>245</v>
      </c>
      <c r="D201" s="126" t="s">
        <v>440</v>
      </c>
      <c r="E201" s="127">
        <v>10000</v>
      </c>
      <c r="F201" s="128"/>
      <c r="G201" s="129">
        <f t="shared" si="50"/>
        <v>10000</v>
      </c>
      <c r="H201" s="130">
        <f t="shared" si="51"/>
        <v>9900</v>
      </c>
      <c r="I201" s="172">
        <v>990</v>
      </c>
      <c r="J201" s="131">
        <f t="shared" si="52"/>
        <v>0.99</v>
      </c>
      <c r="K201" s="131">
        <f t="shared" si="53"/>
        <v>1.0101010101010102</v>
      </c>
      <c r="L201" s="115">
        <f t="shared" si="54"/>
        <v>0.47676767676767678</v>
      </c>
    </row>
    <row r="202" spans="1:12">
      <c r="A202" s="109" t="s">
        <v>54</v>
      </c>
      <c r="B202" s="124" t="s">
        <v>458</v>
      </c>
      <c r="C202" s="125">
        <v>260</v>
      </c>
      <c r="D202" s="126" t="s">
        <v>440</v>
      </c>
      <c r="E202" s="127">
        <v>10000</v>
      </c>
      <c r="F202" s="128"/>
      <c r="G202" s="129">
        <f t="shared" si="50"/>
        <v>10000</v>
      </c>
      <c r="H202" s="130">
        <f t="shared" si="51"/>
        <v>9900</v>
      </c>
      <c r="I202" s="172">
        <v>990</v>
      </c>
      <c r="J202" s="131">
        <f t="shared" si="52"/>
        <v>0.99</v>
      </c>
      <c r="K202" s="131">
        <f t="shared" si="53"/>
        <v>1.0101010101010102</v>
      </c>
      <c r="L202" s="115">
        <f t="shared" si="54"/>
        <v>0.47676767676767678</v>
      </c>
    </row>
    <row r="203" spans="1:12">
      <c r="A203" s="109" t="s">
        <v>54</v>
      </c>
      <c r="B203" s="124" t="s">
        <v>459</v>
      </c>
      <c r="C203" s="125">
        <v>275</v>
      </c>
      <c r="D203" s="126" t="s">
        <v>440</v>
      </c>
      <c r="E203" s="127">
        <v>10000</v>
      </c>
      <c r="F203" s="128"/>
      <c r="G203" s="129">
        <f t="shared" si="50"/>
        <v>10000</v>
      </c>
      <c r="H203" s="130">
        <f t="shared" si="51"/>
        <v>9900</v>
      </c>
      <c r="I203" s="172">
        <v>990</v>
      </c>
      <c r="J203" s="131">
        <f t="shared" si="52"/>
        <v>0.99</v>
      </c>
      <c r="K203" s="131">
        <f t="shared" si="53"/>
        <v>1.0101010101010102</v>
      </c>
      <c r="L203" s="115">
        <f t="shared" si="54"/>
        <v>0.47676767676767678</v>
      </c>
    </row>
    <row r="204" spans="1:12">
      <c r="A204" s="109" t="s">
        <v>54</v>
      </c>
      <c r="B204" s="124" t="s">
        <v>460</v>
      </c>
      <c r="C204" s="125">
        <v>290</v>
      </c>
      <c r="D204" s="126" t="s">
        <v>440</v>
      </c>
      <c r="E204" s="127">
        <v>10000</v>
      </c>
      <c r="F204" s="128"/>
      <c r="G204" s="129">
        <f t="shared" si="50"/>
        <v>10000</v>
      </c>
      <c r="H204" s="130">
        <f t="shared" si="51"/>
        <v>9900</v>
      </c>
      <c r="I204" s="172">
        <v>990</v>
      </c>
      <c r="J204" s="131">
        <f t="shared" si="52"/>
        <v>0.99</v>
      </c>
      <c r="K204" s="131">
        <f t="shared" si="53"/>
        <v>1.0101010101010102</v>
      </c>
      <c r="L204" s="115">
        <f t="shared" si="54"/>
        <v>0.47676767676767678</v>
      </c>
    </row>
    <row r="205" spans="1:12">
      <c r="A205" s="109" t="s">
        <v>54</v>
      </c>
      <c r="B205" s="124" t="s">
        <v>461</v>
      </c>
      <c r="C205" s="125">
        <v>305</v>
      </c>
      <c r="D205" s="126" t="s">
        <v>440</v>
      </c>
      <c r="E205" s="127">
        <v>10000</v>
      </c>
      <c r="F205" s="128"/>
      <c r="G205" s="129">
        <f t="shared" si="50"/>
        <v>10000</v>
      </c>
      <c r="H205" s="130">
        <f>I205*10</f>
        <v>9900</v>
      </c>
      <c r="I205" s="172">
        <v>990</v>
      </c>
      <c r="J205" s="131">
        <f>H205/G205</f>
        <v>0.99</v>
      </c>
      <c r="K205" s="131">
        <f>G205/H205</f>
        <v>1.0101010101010102</v>
      </c>
      <c r="L205" s="115">
        <f>K205/K$2</f>
        <v>0.47676767676767678</v>
      </c>
    </row>
    <row r="206" spans="1:12">
      <c r="A206" s="109" t="s">
        <v>54</v>
      </c>
      <c r="B206" s="124" t="s">
        <v>462</v>
      </c>
      <c r="C206" s="125">
        <v>320</v>
      </c>
      <c r="D206" s="126" t="s">
        <v>440</v>
      </c>
      <c r="E206" s="127">
        <v>10000</v>
      </c>
      <c r="F206" s="128"/>
      <c r="G206" s="129">
        <f t="shared" si="50"/>
        <v>10000</v>
      </c>
      <c r="H206" s="130">
        <f t="shared" si="51"/>
        <v>9900</v>
      </c>
      <c r="I206" s="172">
        <v>990</v>
      </c>
      <c r="J206" s="131">
        <f t="shared" ref="J206:J214" si="55">H206/G206</f>
        <v>0.99</v>
      </c>
      <c r="K206" s="131">
        <f t="shared" ref="K206:K214" si="56">G206/H206</f>
        <v>1.0101010101010102</v>
      </c>
      <c r="L206" s="115">
        <f t="shared" si="54"/>
        <v>0.47676767676767678</v>
      </c>
    </row>
    <row r="207" spans="1:12">
      <c r="A207" s="109" t="s">
        <v>54</v>
      </c>
      <c r="B207" s="124" t="s">
        <v>463</v>
      </c>
      <c r="C207" s="125">
        <v>335</v>
      </c>
      <c r="D207" s="126" t="s">
        <v>440</v>
      </c>
      <c r="E207" s="127">
        <v>10000</v>
      </c>
      <c r="F207" s="128"/>
      <c r="G207" s="129">
        <f t="shared" si="50"/>
        <v>10000</v>
      </c>
      <c r="H207" s="130">
        <f t="shared" si="51"/>
        <v>9900</v>
      </c>
      <c r="I207" s="172">
        <v>990</v>
      </c>
      <c r="J207" s="131">
        <f t="shared" si="55"/>
        <v>0.99</v>
      </c>
      <c r="K207" s="131">
        <f t="shared" si="56"/>
        <v>1.0101010101010102</v>
      </c>
      <c r="L207" s="115">
        <f t="shared" si="54"/>
        <v>0.47676767676767678</v>
      </c>
    </row>
    <row r="208" spans="1:12">
      <c r="A208" s="109" t="s">
        <v>54</v>
      </c>
      <c r="B208" s="124" t="s">
        <v>464</v>
      </c>
      <c r="C208" s="125">
        <v>350</v>
      </c>
      <c r="D208" s="126" t="s">
        <v>440</v>
      </c>
      <c r="E208" s="127">
        <v>10000</v>
      </c>
      <c r="F208" s="128"/>
      <c r="G208" s="129">
        <f t="shared" si="50"/>
        <v>10000</v>
      </c>
      <c r="H208" s="130">
        <f t="shared" si="51"/>
        <v>9900</v>
      </c>
      <c r="I208" s="172">
        <v>990</v>
      </c>
      <c r="J208" s="131">
        <f t="shared" si="55"/>
        <v>0.99</v>
      </c>
      <c r="K208" s="131">
        <f t="shared" si="56"/>
        <v>1.0101010101010102</v>
      </c>
      <c r="L208" s="115">
        <f t="shared" si="54"/>
        <v>0.47676767676767678</v>
      </c>
    </row>
    <row r="209" spans="1:17">
      <c r="A209" s="109" t="s">
        <v>54</v>
      </c>
      <c r="B209" s="124" t="s">
        <v>465</v>
      </c>
      <c r="C209" s="125">
        <v>365</v>
      </c>
      <c r="D209" s="126" t="s">
        <v>440</v>
      </c>
      <c r="E209" s="127">
        <v>10000</v>
      </c>
      <c r="F209" s="128"/>
      <c r="G209" s="129">
        <f t="shared" si="50"/>
        <v>10000</v>
      </c>
      <c r="H209" s="130">
        <f t="shared" si="51"/>
        <v>9900</v>
      </c>
      <c r="I209" s="172">
        <v>990</v>
      </c>
      <c r="J209" s="131">
        <f t="shared" si="55"/>
        <v>0.99</v>
      </c>
      <c r="K209" s="131">
        <f t="shared" si="56"/>
        <v>1.0101010101010102</v>
      </c>
      <c r="L209" s="115">
        <f t="shared" si="54"/>
        <v>0.47676767676767678</v>
      </c>
    </row>
    <row r="210" spans="1:17">
      <c r="A210" s="109" t="s">
        <v>54</v>
      </c>
      <c r="B210" s="124" t="s">
        <v>466</v>
      </c>
      <c r="C210" s="125">
        <v>380</v>
      </c>
      <c r="D210" s="126" t="s">
        <v>440</v>
      </c>
      <c r="E210" s="127">
        <v>10000</v>
      </c>
      <c r="F210" s="128"/>
      <c r="G210" s="129">
        <f t="shared" si="50"/>
        <v>10000</v>
      </c>
      <c r="H210" s="130">
        <f t="shared" si="51"/>
        <v>9900</v>
      </c>
      <c r="I210" s="172">
        <v>990</v>
      </c>
      <c r="J210" s="131">
        <f t="shared" si="55"/>
        <v>0.99</v>
      </c>
      <c r="K210" s="131">
        <f t="shared" si="56"/>
        <v>1.0101010101010102</v>
      </c>
      <c r="L210" s="115">
        <f t="shared" si="54"/>
        <v>0.47676767676767678</v>
      </c>
    </row>
    <row r="211" spans="1:17">
      <c r="A211" s="109" t="s">
        <v>54</v>
      </c>
      <c r="B211" s="124" t="s">
        <v>467</v>
      </c>
      <c r="C211" s="125">
        <v>395</v>
      </c>
      <c r="D211" s="126" t="s">
        <v>440</v>
      </c>
      <c r="E211" s="127">
        <v>10000</v>
      </c>
      <c r="F211" s="128"/>
      <c r="G211" s="129">
        <f t="shared" si="50"/>
        <v>10000</v>
      </c>
      <c r="H211" s="130">
        <f t="shared" si="51"/>
        <v>9900</v>
      </c>
      <c r="I211" s="172">
        <v>990</v>
      </c>
      <c r="J211" s="131">
        <f t="shared" si="55"/>
        <v>0.99</v>
      </c>
      <c r="K211" s="131">
        <f t="shared" si="56"/>
        <v>1.0101010101010102</v>
      </c>
      <c r="L211" s="115">
        <f t="shared" si="54"/>
        <v>0.47676767676767678</v>
      </c>
    </row>
    <row r="212" spans="1:17">
      <c r="A212" s="109" t="s">
        <v>54</v>
      </c>
      <c r="B212" s="124" t="s">
        <v>468</v>
      </c>
      <c r="C212" s="125">
        <v>410</v>
      </c>
      <c r="D212" s="126" t="s">
        <v>440</v>
      </c>
      <c r="E212" s="127">
        <v>10000</v>
      </c>
      <c r="F212" s="128"/>
      <c r="G212" s="129">
        <f t="shared" si="50"/>
        <v>10000</v>
      </c>
      <c r="H212" s="130">
        <f t="shared" si="51"/>
        <v>9900</v>
      </c>
      <c r="I212" s="172">
        <v>990</v>
      </c>
      <c r="J212" s="131">
        <f t="shared" si="55"/>
        <v>0.99</v>
      </c>
      <c r="K212" s="131">
        <f t="shared" si="56"/>
        <v>1.0101010101010102</v>
      </c>
      <c r="L212" s="115">
        <f t="shared" si="54"/>
        <v>0.47676767676767678</v>
      </c>
    </row>
    <row r="213" spans="1:17">
      <c r="A213" s="109" t="s">
        <v>54</v>
      </c>
      <c r="B213" s="124" t="s">
        <v>469</v>
      </c>
      <c r="C213" s="125">
        <v>425</v>
      </c>
      <c r="D213" s="126" t="s">
        <v>440</v>
      </c>
      <c r="E213" s="127">
        <v>10000</v>
      </c>
      <c r="F213" s="128"/>
      <c r="G213" s="129">
        <f t="shared" si="50"/>
        <v>10000</v>
      </c>
      <c r="H213" s="130">
        <f t="shared" si="51"/>
        <v>9900</v>
      </c>
      <c r="I213" s="172">
        <v>990</v>
      </c>
      <c r="J213" s="131">
        <f t="shared" si="55"/>
        <v>0.99</v>
      </c>
      <c r="K213" s="131">
        <f t="shared" si="56"/>
        <v>1.0101010101010102</v>
      </c>
      <c r="L213" s="115">
        <f t="shared" si="54"/>
        <v>0.47676767676767678</v>
      </c>
      <c r="N213" s="109" t="s">
        <v>279</v>
      </c>
      <c r="O213" s="109" t="s">
        <v>277</v>
      </c>
      <c r="P213" s="109" t="s">
        <v>268</v>
      </c>
    </row>
    <row r="214" spans="1:17">
      <c r="A214" s="109" t="s">
        <v>54</v>
      </c>
      <c r="B214" s="124" t="s">
        <v>470</v>
      </c>
      <c r="C214" s="125">
        <v>999999</v>
      </c>
      <c r="D214" s="126" t="s">
        <v>440</v>
      </c>
      <c r="E214" s="127">
        <v>10000</v>
      </c>
      <c r="F214" s="128"/>
      <c r="G214" s="129">
        <f t="shared" si="50"/>
        <v>10000</v>
      </c>
      <c r="H214" s="130">
        <f t="shared" si="51"/>
        <v>9900</v>
      </c>
      <c r="I214" s="172">
        <v>990</v>
      </c>
      <c r="J214" s="131">
        <f t="shared" si="55"/>
        <v>0.99</v>
      </c>
      <c r="K214" s="131">
        <f t="shared" si="56"/>
        <v>1.0101010101010102</v>
      </c>
      <c r="L214" s="115">
        <f t="shared" si="54"/>
        <v>0.47676767676767678</v>
      </c>
      <c r="N214" s="109" t="s">
        <v>278</v>
      </c>
      <c r="O214" s="137">
        <v>200</v>
      </c>
      <c r="P214" s="109">
        <v>200</v>
      </c>
    </row>
    <row r="215" spans="1:17">
      <c r="N215" s="109" t="s">
        <v>269</v>
      </c>
      <c r="O215" s="137">
        <v>300</v>
      </c>
      <c r="P215" s="109">
        <f>O214+O215</f>
        <v>500</v>
      </c>
      <c r="Q215" s="109">
        <f t="shared" ref="Q215:Q223" si="57">P215*600</f>
        <v>300000</v>
      </c>
    </row>
    <row r="216" spans="1:17">
      <c r="B216" s="123" t="s">
        <v>472</v>
      </c>
      <c r="C216" s="110"/>
      <c r="D216" s="109" t="s">
        <v>471</v>
      </c>
      <c r="E216" s="111"/>
      <c r="F216" s="112" t="s">
        <v>12</v>
      </c>
      <c r="G216" s="113"/>
      <c r="L216" s="115"/>
      <c r="N216" s="109" t="s">
        <v>270</v>
      </c>
      <c r="O216" s="137">
        <v>500</v>
      </c>
      <c r="P216" s="109">
        <f t="shared" ref="P216:P223" si="58">P215+O216</f>
        <v>1000</v>
      </c>
      <c r="Q216" s="109">
        <f t="shared" si="57"/>
        <v>600000</v>
      </c>
    </row>
    <row r="217" spans="1:17">
      <c r="A217" s="109" t="s">
        <v>54</v>
      </c>
      <c r="B217" s="124" t="s">
        <v>473</v>
      </c>
      <c r="C217" s="125">
        <v>100</v>
      </c>
      <c r="D217" s="126" t="s">
        <v>474</v>
      </c>
      <c r="E217" s="127">
        <v>1000</v>
      </c>
      <c r="F217" s="128"/>
      <c r="G217" s="129">
        <f>E217+(F217*5.2)</f>
        <v>1000</v>
      </c>
      <c r="H217" s="130">
        <f>I217*10</f>
        <v>9900</v>
      </c>
      <c r="I217" s="172">
        <v>990</v>
      </c>
      <c r="J217" s="131">
        <f>H217/G217</f>
        <v>9.9</v>
      </c>
      <c r="K217" s="131">
        <f>G217/H217</f>
        <v>0.10101010101010101</v>
      </c>
      <c r="L217" s="115">
        <f>K217/K$2</f>
        <v>4.7676767676767672E-2</v>
      </c>
      <c r="N217" s="109" t="s">
        <v>271</v>
      </c>
      <c r="O217" s="137">
        <v>700</v>
      </c>
      <c r="P217" s="109">
        <f t="shared" si="58"/>
        <v>1700</v>
      </c>
      <c r="Q217" s="109">
        <f t="shared" si="57"/>
        <v>1020000</v>
      </c>
    </row>
    <row r="218" spans="1:17">
      <c r="A218" s="109" t="s">
        <v>54</v>
      </c>
      <c r="B218" s="124" t="s">
        <v>475</v>
      </c>
      <c r="C218" s="125">
        <v>200</v>
      </c>
      <c r="D218" s="126" t="s">
        <v>474</v>
      </c>
      <c r="E218" s="127">
        <v>3000</v>
      </c>
      <c r="F218" s="128"/>
      <c r="G218" s="129">
        <f t="shared" ref="G218:G246" si="59">E218+(F218*5.2)</f>
        <v>3000</v>
      </c>
      <c r="H218" s="130">
        <f t="shared" ref="H218:H246" si="60">I218*10</f>
        <v>9900</v>
      </c>
      <c r="I218" s="172">
        <v>990</v>
      </c>
      <c r="J218" s="131">
        <f t="shared" ref="J218:J242" si="61">H218/G218</f>
        <v>3.3</v>
      </c>
      <c r="K218" s="131">
        <f t="shared" ref="K218:K242" si="62">G218/H218</f>
        <v>0.30303030303030304</v>
      </c>
      <c r="L218" s="115">
        <f t="shared" ref="L218:L246" si="63">K218/K$2</f>
        <v>0.14303030303030304</v>
      </c>
      <c r="N218" s="109" t="s">
        <v>272</v>
      </c>
      <c r="O218" s="137">
        <v>900</v>
      </c>
      <c r="P218" s="109">
        <f t="shared" si="58"/>
        <v>2600</v>
      </c>
      <c r="Q218" s="109">
        <f t="shared" si="57"/>
        <v>1560000</v>
      </c>
    </row>
    <row r="219" spans="1:17">
      <c r="A219" s="109" t="s">
        <v>54</v>
      </c>
      <c r="B219" s="124" t="s">
        <v>476</v>
      </c>
      <c r="C219" s="125">
        <v>400</v>
      </c>
      <c r="D219" s="126" t="s">
        <v>474</v>
      </c>
      <c r="E219" s="127">
        <v>5000</v>
      </c>
      <c r="F219" s="128"/>
      <c r="G219" s="129">
        <f t="shared" si="59"/>
        <v>5000</v>
      </c>
      <c r="H219" s="130">
        <f t="shared" si="60"/>
        <v>9900</v>
      </c>
      <c r="I219" s="172">
        <v>990</v>
      </c>
      <c r="J219" s="131">
        <f t="shared" si="61"/>
        <v>1.98</v>
      </c>
      <c r="K219" s="131">
        <f t="shared" si="62"/>
        <v>0.50505050505050508</v>
      </c>
      <c r="L219" s="115">
        <f t="shared" si="63"/>
        <v>0.23838383838383839</v>
      </c>
      <c r="N219" s="109" t="s">
        <v>273</v>
      </c>
      <c r="O219" s="137">
        <v>1100</v>
      </c>
      <c r="P219" s="109">
        <f t="shared" si="58"/>
        <v>3700</v>
      </c>
      <c r="Q219" s="109">
        <f t="shared" si="57"/>
        <v>2220000</v>
      </c>
    </row>
    <row r="220" spans="1:17">
      <c r="A220" s="109" t="s">
        <v>54</v>
      </c>
      <c r="B220" s="124" t="s">
        <v>477</v>
      </c>
      <c r="C220" s="125">
        <v>600</v>
      </c>
      <c r="D220" s="126" t="s">
        <v>474</v>
      </c>
      <c r="E220" s="127">
        <v>10000</v>
      </c>
      <c r="F220" s="128"/>
      <c r="G220" s="129">
        <f t="shared" si="59"/>
        <v>10000</v>
      </c>
      <c r="H220" s="130">
        <f t="shared" si="60"/>
        <v>9900</v>
      </c>
      <c r="I220" s="172">
        <v>990</v>
      </c>
      <c r="J220" s="131">
        <f t="shared" si="61"/>
        <v>0.99</v>
      </c>
      <c r="K220" s="131">
        <f t="shared" si="62"/>
        <v>1.0101010101010102</v>
      </c>
      <c r="L220" s="115">
        <f t="shared" si="63"/>
        <v>0.47676767676767678</v>
      </c>
      <c r="N220" s="109" t="s">
        <v>274</v>
      </c>
      <c r="O220" s="137">
        <v>1400</v>
      </c>
      <c r="P220" s="109">
        <f t="shared" si="58"/>
        <v>5100</v>
      </c>
      <c r="Q220" s="109">
        <f t="shared" si="57"/>
        <v>3060000</v>
      </c>
    </row>
    <row r="221" spans="1:17">
      <c r="A221" s="109" t="s">
        <v>54</v>
      </c>
      <c r="B221" s="124" t="s">
        <v>478</v>
      </c>
      <c r="C221" s="125">
        <v>800</v>
      </c>
      <c r="D221" s="126" t="s">
        <v>474</v>
      </c>
      <c r="E221" s="127">
        <v>10000</v>
      </c>
      <c r="F221" s="128"/>
      <c r="G221" s="129">
        <f t="shared" si="59"/>
        <v>10000</v>
      </c>
      <c r="H221" s="130">
        <f t="shared" si="60"/>
        <v>9900</v>
      </c>
      <c r="I221" s="172">
        <v>990</v>
      </c>
      <c r="J221" s="131">
        <f t="shared" si="61"/>
        <v>0.99</v>
      </c>
      <c r="K221" s="131">
        <f t="shared" si="62"/>
        <v>1.0101010101010102</v>
      </c>
      <c r="L221" s="115">
        <f t="shared" si="63"/>
        <v>0.47676767676767678</v>
      </c>
      <c r="N221" s="109" t="s">
        <v>275</v>
      </c>
      <c r="O221" s="137">
        <v>1700</v>
      </c>
      <c r="P221" s="109">
        <f t="shared" si="58"/>
        <v>6800</v>
      </c>
      <c r="Q221" s="109">
        <f t="shared" si="57"/>
        <v>4080000</v>
      </c>
    </row>
    <row r="222" spans="1:17">
      <c r="A222" s="109" t="s">
        <v>54</v>
      </c>
      <c r="B222" s="124" t="s">
        <v>479</v>
      </c>
      <c r="C222" s="125">
        <v>1000</v>
      </c>
      <c r="D222" s="126" t="s">
        <v>474</v>
      </c>
      <c r="E222" s="127">
        <v>10000</v>
      </c>
      <c r="F222" s="128"/>
      <c r="G222" s="129">
        <f t="shared" si="59"/>
        <v>10000</v>
      </c>
      <c r="H222" s="130">
        <f t="shared" si="60"/>
        <v>9900</v>
      </c>
      <c r="I222" s="172">
        <v>990</v>
      </c>
      <c r="J222" s="131">
        <f t="shared" si="61"/>
        <v>0.99</v>
      </c>
      <c r="K222" s="131">
        <f t="shared" si="62"/>
        <v>1.0101010101010102</v>
      </c>
      <c r="L222" s="115">
        <f t="shared" si="63"/>
        <v>0.47676767676767678</v>
      </c>
      <c r="N222" s="109" t="s">
        <v>276</v>
      </c>
      <c r="O222" s="137">
        <v>2000</v>
      </c>
      <c r="P222" s="109">
        <f t="shared" si="58"/>
        <v>8800</v>
      </c>
      <c r="Q222" s="109">
        <f t="shared" si="57"/>
        <v>5280000</v>
      </c>
    </row>
    <row r="223" spans="1:17">
      <c r="A223" s="109" t="s">
        <v>54</v>
      </c>
      <c r="B223" s="124" t="s">
        <v>480</v>
      </c>
      <c r="C223" s="125">
        <v>1200</v>
      </c>
      <c r="D223" s="126" t="s">
        <v>474</v>
      </c>
      <c r="E223" s="127">
        <v>10000</v>
      </c>
      <c r="F223" s="128"/>
      <c r="G223" s="129">
        <f t="shared" si="59"/>
        <v>10000</v>
      </c>
      <c r="H223" s="130">
        <f t="shared" si="60"/>
        <v>9900</v>
      </c>
      <c r="I223" s="172">
        <v>990</v>
      </c>
      <c r="J223" s="131">
        <f t="shared" si="61"/>
        <v>0.99</v>
      </c>
      <c r="K223" s="131">
        <f t="shared" si="62"/>
        <v>1.0101010101010102</v>
      </c>
      <c r="L223" s="115">
        <f t="shared" si="63"/>
        <v>0.47676767676767678</v>
      </c>
      <c r="O223" s="137">
        <v>3500</v>
      </c>
      <c r="P223" s="109">
        <f t="shared" si="58"/>
        <v>12300</v>
      </c>
      <c r="Q223" s="109">
        <f t="shared" si="57"/>
        <v>7380000</v>
      </c>
    </row>
    <row r="224" spans="1:17">
      <c r="A224" s="109" t="s">
        <v>54</v>
      </c>
      <c r="B224" s="124" t="s">
        <v>481</v>
      </c>
      <c r="C224" s="125">
        <v>1400</v>
      </c>
      <c r="D224" s="126" t="s">
        <v>474</v>
      </c>
      <c r="E224" s="127">
        <v>10000</v>
      </c>
      <c r="F224" s="128"/>
      <c r="G224" s="129">
        <f t="shared" si="59"/>
        <v>10000</v>
      </c>
      <c r="H224" s="130">
        <f t="shared" si="60"/>
        <v>9900</v>
      </c>
      <c r="I224" s="172">
        <v>990</v>
      </c>
      <c r="J224" s="131">
        <f t="shared" si="61"/>
        <v>0.99</v>
      </c>
      <c r="K224" s="131">
        <f t="shared" si="62"/>
        <v>1.0101010101010102</v>
      </c>
      <c r="L224" s="115">
        <f t="shared" si="63"/>
        <v>0.47676767676767678</v>
      </c>
    </row>
    <row r="225" spans="1:12">
      <c r="A225" s="109" t="s">
        <v>54</v>
      </c>
      <c r="B225" s="124" t="s">
        <v>482</v>
      </c>
      <c r="C225" s="125">
        <v>1600</v>
      </c>
      <c r="D225" s="126" t="s">
        <v>474</v>
      </c>
      <c r="E225" s="127">
        <v>10000</v>
      </c>
      <c r="F225" s="128"/>
      <c r="G225" s="129">
        <f t="shared" si="59"/>
        <v>10000</v>
      </c>
      <c r="H225" s="130">
        <f t="shared" si="60"/>
        <v>9900</v>
      </c>
      <c r="I225" s="172">
        <v>990</v>
      </c>
      <c r="J225" s="131">
        <f t="shared" si="61"/>
        <v>0.99</v>
      </c>
      <c r="K225" s="131">
        <f t="shared" si="62"/>
        <v>1.0101010101010102</v>
      </c>
      <c r="L225" s="115">
        <f t="shared" si="63"/>
        <v>0.47676767676767678</v>
      </c>
    </row>
    <row r="226" spans="1:12">
      <c r="A226" s="109" t="s">
        <v>54</v>
      </c>
      <c r="B226" s="124" t="s">
        <v>483</v>
      </c>
      <c r="C226" s="125">
        <v>1800</v>
      </c>
      <c r="D226" s="126" t="s">
        <v>474</v>
      </c>
      <c r="E226" s="127">
        <v>10000</v>
      </c>
      <c r="F226" s="128"/>
      <c r="G226" s="129">
        <f t="shared" si="59"/>
        <v>10000</v>
      </c>
      <c r="H226" s="130">
        <f t="shared" si="60"/>
        <v>9900</v>
      </c>
      <c r="I226" s="172">
        <v>990</v>
      </c>
      <c r="J226" s="131">
        <f t="shared" si="61"/>
        <v>0.99</v>
      </c>
      <c r="K226" s="131">
        <f t="shared" si="62"/>
        <v>1.0101010101010102</v>
      </c>
      <c r="L226" s="115">
        <f t="shared" si="63"/>
        <v>0.47676767676767678</v>
      </c>
    </row>
    <row r="227" spans="1:12">
      <c r="A227" s="109" t="s">
        <v>54</v>
      </c>
      <c r="B227" s="124" t="s">
        <v>484</v>
      </c>
      <c r="C227" s="125">
        <v>2000</v>
      </c>
      <c r="D227" s="126" t="s">
        <v>474</v>
      </c>
      <c r="E227" s="127">
        <v>10000</v>
      </c>
      <c r="F227" s="128"/>
      <c r="G227" s="129">
        <f t="shared" si="59"/>
        <v>10000</v>
      </c>
      <c r="H227" s="130">
        <f t="shared" si="60"/>
        <v>9900</v>
      </c>
      <c r="I227" s="172">
        <v>990</v>
      </c>
      <c r="J227" s="131">
        <f t="shared" si="61"/>
        <v>0.99</v>
      </c>
      <c r="K227" s="131">
        <f t="shared" si="62"/>
        <v>1.0101010101010102</v>
      </c>
      <c r="L227" s="115">
        <f t="shared" si="63"/>
        <v>0.47676767676767678</v>
      </c>
    </row>
    <row r="228" spans="1:12">
      <c r="A228" s="109" t="s">
        <v>54</v>
      </c>
      <c r="B228" s="124" t="s">
        <v>485</v>
      </c>
      <c r="C228" s="125">
        <v>2200</v>
      </c>
      <c r="D228" s="126" t="s">
        <v>474</v>
      </c>
      <c r="E228" s="127">
        <v>10000</v>
      </c>
      <c r="F228" s="128"/>
      <c r="G228" s="129">
        <f t="shared" si="59"/>
        <v>10000</v>
      </c>
      <c r="H228" s="130">
        <f t="shared" si="60"/>
        <v>9900</v>
      </c>
      <c r="I228" s="172">
        <v>990</v>
      </c>
      <c r="J228" s="131">
        <f t="shared" si="61"/>
        <v>0.99</v>
      </c>
      <c r="K228" s="131">
        <f t="shared" si="62"/>
        <v>1.0101010101010102</v>
      </c>
      <c r="L228" s="115">
        <f t="shared" si="63"/>
        <v>0.47676767676767678</v>
      </c>
    </row>
    <row r="229" spans="1:12">
      <c r="A229" s="109" t="s">
        <v>54</v>
      </c>
      <c r="B229" s="124" t="s">
        <v>486</v>
      </c>
      <c r="C229" s="125">
        <v>2400</v>
      </c>
      <c r="D229" s="126" t="s">
        <v>474</v>
      </c>
      <c r="E229" s="127">
        <v>10000</v>
      </c>
      <c r="F229" s="128"/>
      <c r="G229" s="129">
        <f t="shared" si="59"/>
        <v>10000</v>
      </c>
      <c r="H229" s="130">
        <f t="shared" si="60"/>
        <v>9900</v>
      </c>
      <c r="I229" s="172">
        <v>990</v>
      </c>
      <c r="J229" s="131">
        <f t="shared" si="61"/>
        <v>0.99</v>
      </c>
      <c r="K229" s="131">
        <f t="shared" si="62"/>
        <v>1.0101010101010102</v>
      </c>
      <c r="L229" s="115">
        <f t="shared" si="63"/>
        <v>0.47676767676767678</v>
      </c>
    </row>
    <row r="230" spans="1:12">
      <c r="A230" s="109" t="s">
        <v>54</v>
      </c>
      <c r="B230" s="124" t="s">
        <v>487</v>
      </c>
      <c r="C230" s="125">
        <v>2600</v>
      </c>
      <c r="D230" s="126" t="s">
        <v>474</v>
      </c>
      <c r="E230" s="127">
        <v>10000</v>
      </c>
      <c r="F230" s="128"/>
      <c r="G230" s="129">
        <f t="shared" si="59"/>
        <v>10000</v>
      </c>
      <c r="H230" s="130">
        <f t="shared" si="60"/>
        <v>9900</v>
      </c>
      <c r="I230" s="172">
        <v>990</v>
      </c>
      <c r="J230" s="131">
        <f t="shared" si="61"/>
        <v>0.99</v>
      </c>
      <c r="K230" s="131">
        <f t="shared" si="62"/>
        <v>1.0101010101010102</v>
      </c>
      <c r="L230" s="115">
        <f t="shared" si="63"/>
        <v>0.47676767676767678</v>
      </c>
    </row>
    <row r="231" spans="1:12">
      <c r="A231" s="109" t="s">
        <v>54</v>
      </c>
      <c r="B231" s="124" t="s">
        <v>488</v>
      </c>
      <c r="C231" s="125">
        <v>2800</v>
      </c>
      <c r="D231" s="126" t="s">
        <v>474</v>
      </c>
      <c r="E231" s="127">
        <v>10000</v>
      </c>
      <c r="F231" s="128"/>
      <c r="G231" s="129">
        <f t="shared" si="59"/>
        <v>10000</v>
      </c>
      <c r="H231" s="130">
        <f t="shared" si="60"/>
        <v>9900</v>
      </c>
      <c r="I231" s="172">
        <v>990</v>
      </c>
      <c r="J231" s="131">
        <f t="shared" si="61"/>
        <v>0.99</v>
      </c>
      <c r="K231" s="131">
        <f t="shared" si="62"/>
        <v>1.0101010101010102</v>
      </c>
      <c r="L231" s="115">
        <f t="shared" si="63"/>
        <v>0.47676767676767678</v>
      </c>
    </row>
    <row r="232" spans="1:12">
      <c r="A232" s="109" t="s">
        <v>54</v>
      </c>
      <c r="B232" s="124" t="s">
        <v>489</v>
      </c>
      <c r="C232" s="125">
        <v>3000</v>
      </c>
      <c r="D232" s="126" t="s">
        <v>474</v>
      </c>
      <c r="E232" s="127">
        <v>10000</v>
      </c>
      <c r="F232" s="128"/>
      <c r="G232" s="129">
        <f t="shared" si="59"/>
        <v>10000</v>
      </c>
      <c r="H232" s="130">
        <f t="shared" si="60"/>
        <v>9900</v>
      </c>
      <c r="I232" s="172">
        <v>990</v>
      </c>
      <c r="J232" s="131">
        <f t="shared" si="61"/>
        <v>0.99</v>
      </c>
      <c r="K232" s="131">
        <f t="shared" si="62"/>
        <v>1.0101010101010102</v>
      </c>
      <c r="L232" s="115">
        <f t="shared" si="63"/>
        <v>0.47676767676767678</v>
      </c>
    </row>
    <row r="233" spans="1:12">
      <c r="A233" s="109" t="s">
        <v>54</v>
      </c>
      <c r="B233" s="124" t="s">
        <v>490</v>
      </c>
      <c r="C233" s="125">
        <v>3200</v>
      </c>
      <c r="D233" s="126" t="s">
        <v>474</v>
      </c>
      <c r="E233" s="127">
        <v>10000</v>
      </c>
      <c r="F233" s="128"/>
      <c r="G233" s="129">
        <f t="shared" si="59"/>
        <v>10000</v>
      </c>
      <c r="H233" s="130">
        <f t="shared" si="60"/>
        <v>9900</v>
      </c>
      <c r="I233" s="172">
        <v>990</v>
      </c>
      <c r="J233" s="131">
        <f t="shared" si="61"/>
        <v>0.99</v>
      </c>
      <c r="K233" s="131">
        <f t="shared" si="62"/>
        <v>1.0101010101010102</v>
      </c>
      <c r="L233" s="115">
        <f t="shared" si="63"/>
        <v>0.47676767676767678</v>
      </c>
    </row>
    <row r="234" spans="1:12">
      <c r="A234" s="109" t="s">
        <v>54</v>
      </c>
      <c r="B234" s="124" t="s">
        <v>491</v>
      </c>
      <c r="C234" s="125">
        <v>3400</v>
      </c>
      <c r="D234" s="126" t="s">
        <v>474</v>
      </c>
      <c r="E234" s="127">
        <v>10000</v>
      </c>
      <c r="F234" s="128"/>
      <c r="G234" s="129">
        <f t="shared" si="59"/>
        <v>10000</v>
      </c>
      <c r="H234" s="130">
        <f t="shared" si="60"/>
        <v>9900</v>
      </c>
      <c r="I234" s="172">
        <v>990</v>
      </c>
      <c r="J234" s="131">
        <f t="shared" si="61"/>
        <v>0.99</v>
      </c>
      <c r="K234" s="131">
        <f t="shared" si="62"/>
        <v>1.0101010101010102</v>
      </c>
      <c r="L234" s="115">
        <f t="shared" si="63"/>
        <v>0.47676767676767678</v>
      </c>
    </row>
    <row r="235" spans="1:12">
      <c r="A235" s="109" t="s">
        <v>54</v>
      </c>
      <c r="B235" s="124" t="s">
        <v>492</v>
      </c>
      <c r="C235" s="125">
        <v>3600</v>
      </c>
      <c r="D235" s="126" t="s">
        <v>474</v>
      </c>
      <c r="E235" s="127">
        <v>10000</v>
      </c>
      <c r="F235" s="128"/>
      <c r="G235" s="129">
        <f t="shared" si="59"/>
        <v>10000</v>
      </c>
      <c r="H235" s="130">
        <f t="shared" si="60"/>
        <v>9900</v>
      </c>
      <c r="I235" s="172">
        <v>990</v>
      </c>
      <c r="J235" s="131">
        <f t="shared" si="61"/>
        <v>0.99</v>
      </c>
      <c r="K235" s="131">
        <f t="shared" si="62"/>
        <v>1.0101010101010102</v>
      </c>
      <c r="L235" s="115">
        <f t="shared" si="63"/>
        <v>0.47676767676767678</v>
      </c>
    </row>
    <row r="236" spans="1:12">
      <c r="A236" s="109" t="s">
        <v>54</v>
      </c>
      <c r="B236" s="124" t="s">
        <v>493</v>
      </c>
      <c r="C236" s="125">
        <v>3800</v>
      </c>
      <c r="D236" s="126" t="s">
        <v>474</v>
      </c>
      <c r="E236" s="127">
        <v>10000</v>
      </c>
      <c r="F236" s="128"/>
      <c r="G236" s="129">
        <f t="shared" si="59"/>
        <v>10000</v>
      </c>
      <c r="H236" s="130">
        <f t="shared" si="60"/>
        <v>9900</v>
      </c>
      <c r="I236" s="172">
        <v>990</v>
      </c>
      <c r="J236" s="131">
        <f t="shared" si="61"/>
        <v>0.99</v>
      </c>
      <c r="K236" s="131">
        <f t="shared" si="62"/>
        <v>1.0101010101010102</v>
      </c>
      <c r="L236" s="115">
        <f t="shared" si="63"/>
        <v>0.47676767676767678</v>
      </c>
    </row>
    <row r="237" spans="1:12">
      <c r="A237" s="109" t="s">
        <v>54</v>
      </c>
      <c r="B237" s="124" t="s">
        <v>494</v>
      </c>
      <c r="C237" s="125">
        <v>4000</v>
      </c>
      <c r="D237" s="126" t="s">
        <v>474</v>
      </c>
      <c r="E237" s="127">
        <v>10000</v>
      </c>
      <c r="F237" s="128"/>
      <c r="G237" s="129">
        <f t="shared" si="59"/>
        <v>10000</v>
      </c>
      <c r="H237" s="130">
        <f t="shared" si="60"/>
        <v>9900</v>
      </c>
      <c r="I237" s="172">
        <v>990</v>
      </c>
      <c r="J237" s="131">
        <f t="shared" si="61"/>
        <v>0.99</v>
      </c>
      <c r="K237" s="131">
        <f t="shared" si="62"/>
        <v>1.0101010101010102</v>
      </c>
      <c r="L237" s="115">
        <f t="shared" si="63"/>
        <v>0.47676767676767678</v>
      </c>
    </row>
    <row r="238" spans="1:12">
      <c r="A238" s="109" t="s">
        <v>54</v>
      </c>
      <c r="B238" s="124" t="s">
        <v>495</v>
      </c>
      <c r="C238" s="125">
        <v>4200</v>
      </c>
      <c r="D238" s="126" t="s">
        <v>474</v>
      </c>
      <c r="E238" s="127">
        <v>10000</v>
      </c>
      <c r="F238" s="128"/>
      <c r="G238" s="129">
        <f t="shared" si="59"/>
        <v>10000</v>
      </c>
      <c r="H238" s="130">
        <f t="shared" si="60"/>
        <v>9900</v>
      </c>
      <c r="I238" s="172">
        <v>990</v>
      </c>
      <c r="J238" s="131">
        <f t="shared" si="61"/>
        <v>0.99</v>
      </c>
      <c r="K238" s="131">
        <f t="shared" si="62"/>
        <v>1.0101010101010102</v>
      </c>
      <c r="L238" s="115">
        <f t="shared" si="63"/>
        <v>0.47676767676767678</v>
      </c>
    </row>
    <row r="239" spans="1:12">
      <c r="A239" s="109" t="s">
        <v>54</v>
      </c>
      <c r="B239" s="124" t="s">
        <v>496</v>
      </c>
      <c r="C239" s="125">
        <v>4400</v>
      </c>
      <c r="D239" s="126" t="s">
        <v>474</v>
      </c>
      <c r="E239" s="127">
        <v>10000</v>
      </c>
      <c r="F239" s="128"/>
      <c r="G239" s="129">
        <f t="shared" si="59"/>
        <v>10000</v>
      </c>
      <c r="H239" s="130">
        <f t="shared" si="60"/>
        <v>9900</v>
      </c>
      <c r="I239" s="172">
        <v>990</v>
      </c>
      <c r="J239" s="131">
        <f t="shared" si="61"/>
        <v>0.99</v>
      </c>
      <c r="K239" s="131">
        <f t="shared" si="62"/>
        <v>1.0101010101010102</v>
      </c>
      <c r="L239" s="115">
        <f t="shared" si="63"/>
        <v>0.47676767676767678</v>
      </c>
    </row>
    <row r="240" spans="1:12">
      <c r="A240" s="109" t="s">
        <v>54</v>
      </c>
      <c r="B240" s="124" t="s">
        <v>497</v>
      </c>
      <c r="C240" s="125">
        <v>4600</v>
      </c>
      <c r="D240" s="126" t="s">
        <v>474</v>
      </c>
      <c r="E240" s="127">
        <v>10000</v>
      </c>
      <c r="F240" s="128"/>
      <c r="G240" s="129">
        <f t="shared" si="59"/>
        <v>10000</v>
      </c>
      <c r="H240" s="130">
        <f t="shared" si="60"/>
        <v>9900</v>
      </c>
      <c r="I240" s="172">
        <v>990</v>
      </c>
      <c r="J240" s="131">
        <f t="shared" si="61"/>
        <v>0.99</v>
      </c>
      <c r="K240" s="131">
        <f t="shared" si="62"/>
        <v>1.0101010101010102</v>
      </c>
      <c r="L240" s="115">
        <f t="shared" si="63"/>
        <v>0.47676767676767678</v>
      </c>
    </row>
    <row r="241" spans="1:12">
      <c r="A241" s="109" t="s">
        <v>54</v>
      </c>
      <c r="B241" s="124" t="s">
        <v>498</v>
      </c>
      <c r="C241" s="125">
        <v>4800</v>
      </c>
      <c r="D241" s="126" t="s">
        <v>474</v>
      </c>
      <c r="E241" s="127">
        <v>10000</v>
      </c>
      <c r="F241" s="128"/>
      <c r="G241" s="129">
        <f t="shared" si="59"/>
        <v>10000</v>
      </c>
      <c r="H241" s="130">
        <f t="shared" si="60"/>
        <v>9900</v>
      </c>
      <c r="I241" s="172">
        <v>990</v>
      </c>
      <c r="J241" s="131">
        <f t="shared" si="61"/>
        <v>0.99</v>
      </c>
      <c r="K241" s="131">
        <f t="shared" si="62"/>
        <v>1.0101010101010102</v>
      </c>
      <c r="L241" s="115">
        <f t="shared" si="63"/>
        <v>0.47676767676767678</v>
      </c>
    </row>
    <row r="242" spans="1:12">
      <c r="A242" s="109" t="s">
        <v>54</v>
      </c>
      <c r="B242" s="124" t="s">
        <v>499</v>
      </c>
      <c r="C242" s="125">
        <v>5000</v>
      </c>
      <c r="D242" s="126" t="s">
        <v>474</v>
      </c>
      <c r="E242" s="127">
        <v>10000</v>
      </c>
      <c r="F242" s="128"/>
      <c r="G242" s="129">
        <f t="shared" si="59"/>
        <v>10000</v>
      </c>
      <c r="H242" s="130">
        <f t="shared" si="60"/>
        <v>9900</v>
      </c>
      <c r="I242" s="172">
        <v>990</v>
      </c>
      <c r="J242" s="131">
        <f t="shared" si="61"/>
        <v>0.99</v>
      </c>
      <c r="K242" s="131">
        <f t="shared" si="62"/>
        <v>1.0101010101010102</v>
      </c>
      <c r="L242" s="115">
        <f t="shared" si="63"/>
        <v>0.47676767676767678</v>
      </c>
    </row>
    <row r="243" spans="1:12">
      <c r="A243" s="109" t="s">
        <v>54</v>
      </c>
      <c r="B243" s="124" t="s">
        <v>500</v>
      </c>
      <c r="C243" s="125">
        <v>5200</v>
      </c>
      <c r="D243" s="126" t="s">
        <v>474</v>
      </c>
      <c r="E243" s="127">
        <v>10000</v>
      </c>
      <c r="F243" s="128"/>
      <c r="G243" s="129">
        <f t="shared" si="59"/>
        <v>10000</v>
      </c>
      <c r="H243" s="130">
        <f>I243*10</f>
        <v>9900</v>
      </c>
      <c r="I243" s="172">
        <v>990</v>
      </c>
      <c r="J243" s="131">
        <f>H243/G243</f>
        <v>0.99</v>
      </c>
      <c r="K243" s="131">
        <f>G243/H243</f>
        <v>1.0101010101010102</v>
      </c>
      <c r="L243" s="115">
        <f>K243/K$2</f>
        <v>0.47676767676767678</v>
      </c>
    </row>
    <row r="244" spans="1:12">
      <c r="A244" s="109" t="s">
        <v>54</v>
      </c>
      <c r="B244" s="124" t="s">
        <v>501</v>
      </c>
      <c r="C244" s="125">
        <v>5400</v>
      </c>
      <c r="D244" s="126" t="s">
        <v>474</v>
      </c>
      <c r="E244" s="127">
        <v>10000</v>
      </c>
      <c r="F244" s="128"/>
      <c r="G244" s="129">
        <f t="shared" si="59"/>
        <v>10000</v>
      </c>
      <c r="H244" s="130">
        <f t="shared" si="60"/>
        <v>9900</v>
      </c>
      <c r="I244" s="172">
        <v>990</v>
      </c>
      <c r="J244" s="131">
        <f t="shared" ref="J244:J246" si="64">H244/G244</f>
        <v>0.99</v>
      </c>
      <c r="K244" s="131">
        <f t="shared" ref="K244:K246" si="65">G244/H244</f>
        <v>1.0101010101010102</v>
      </c>
      <c r="L244" s="115">
        <f t="shared" si="63"/>
        <v>0.47676767676767678</v>
      </c>
    </row>
    <row r="245" spans="1:12">
      <c r="A245" s="109" t="s">
        <v>54</v>
      </c>
      <c r="B245" s="124" t="s">
        <v>502</v>
      </c>
      <c r="C245" s="125">
        <v>5600</v>
      </c>
      <c r="D245" s="126" t="s">
        <v>474</v>
      </c>
      <c r="E245" s="127">
        <v>10000</v>
      </c>
      <c r="F245" s="128"/>
      <c r="G245" s="129">
        <f t="shared" si="59"/>
        <v>10000</v>
      </c>
      <c r="H245" s="130">
        <f t="shared" si="60"/>
        <v>9900</v>
      </c>
      <c r="I245" s="172">
        <v>990</v>
      </c>
      <c r="J245" s="131">
        <f t="shared" si="64"/>
        <v>0.99</v>
      </c>
      <c r="K245" s="131">
        <f t="shared" si="65"/>
        <v>1.0101010101010102</v>
      </c>
      <c r="L245" s="115">
        <f t="shared" si="63"/>
        <v>0.47676767676767678</v>
      </c>
    </row>
    <row r="246" spans="1:12">
      <c r="A246" s="109" t="s">
        <v>54</v>
      </c>
      <c r="B246" s="124" t="s">
        <v>503</v>
      </c>
      <c r="C246" s="125">
        <v>99999</v>
      </c>
      <c r="D246" s="126" t="s">
        <v>474</v>
      </c>
      <c r="E246" s="127">
        <v>10000</v>
      </c>
      <c r="F246" s="128"/>
      <c r="G246" s="129">
        <f t="shared" si="59"/>
        <v>10000</v>
      </c>
      <c r="H246" s="130">
        <f t="shared" si="60"/>
        <v>9900</v>
      </c>
      <c r="I246" s="172">
        <v>990</v>
      </c>
      <c r="J246" s="131">
        <f t="shared" si="64"/>
        <v>0.99</v>
      </c>
      <c r="K246" s="131">
        <f t="shared" si="65"/>
        <v>1.0101010101010102</v>
      </c>
      <c r="L246" s="115">
        <f t="shared" si="63"/>
        <v>0.47676767676767678</v>
      </c>
    </row>
    <row r="248" spans="1:12">
      <c r="B248" s="123" t="s">
        <v>824</v>
      </c>
      <c r="C248" s="110"/>
      <c r="D248" s="109" t="s">
        <v>504</v>
      </c>
      <c r="E248" s="111"/>
      <c r="F248" s="112" t="s">
        <v>505</v>
      </c>
      <c r="G248" s="113"/>
      <c r="L248" s="115"/>
    </row>
    <row r="249" spans="1:12">
      <c r="A249" s="109" t="s">
        <v>54</v>
      </c>
      <c r="B249" s="124" t="s">
        <v>506</v>
      </c>
      <c r="C249" s="125">
        <v>60</v>
      </c>
      <c r="D249" s="126" t="s">
        <v>536</v>
      </c>
      <c r="E249" s="127">
        <v>0</v>
      </c>
      <c r="F249" s="128">
        <v>300</v>
      </c>
      <c r="G249" s="129">
        <f>E249+(F249*200)</f>
        <v>60000</v>
      </c>
      <c r="H249" s="130">
        <f>I249*10</f>
        <v>3300</v>
      </c>
      <c r="I249" s="172">
        <v>330</v>
      </c>
      <c r="J249" s="131">
        <f>H249/G249</f>
        <v>5.5E-2</v>
      </c>
      <c r="K249" s="131">
        <f>G249/H249</f>
        <v>18.181818181818183</v>
      </c>
      <c r="L249" s="115">
        <f>K249/K$2</f>
        <v>8.581818181818182</v>
      </c>
    </row>
    <row r="250" spans="1:12">
      <c r="A250" s="109" t="s">
        <v>54</v>
      </c>
      <c r="B250" s="124" t="s">
        <v>507</v>
      </c>
      <c r="C250" s="125">
        <v>90</v>
      </c>
      <c r="D250" s="126" t="s">
        <v>536</v>
      </c>
      <c r="E250" s="127">
        <v>0</v>
      </c>
      <c r="F250" s="128">
        <v>500</v>
      </c>
      <c r="G250" s="129">
        <f t="shared" ref="G250:G264" si="66">E250+(F250*200)</f>
        <v>100000</v>
      </c>
      <c r="H250" s="130">
        <f t="shared" ref="H250:H264" si="67">I250*10</f>
        <v>5500</v>
      </c>
      <c r="I250" s="172">
        <v>550</v>
      </c>
      <c r="J250" s="131">
        <f t="shared" ref="J250:J261" si="68">H250/G250</f>
        <v>5.5E-2</v>
      </c>
      <c r="K250" s="131">
        <f t="shared" ref="K250:K261" si="69">G250/H250</f>
        <v>18.181818181818183</v>
      </c>
      <c r="L250" s="115">
        <f t="shared" ref="L250:L264" si="70">K250/K$2</f>
        <v>8.581818181818182</v>
      </c>
    </row>
    <row r="251" spans="1:12">
      <c r="A251" s="109" t="s">
        <v>54</v>
      </c>
      <c r="B251" s="124" t="s">
        <v>508</v>
      </c>
      <c r="C251" s="125">
        <v>120</v>
      </c>
      <c r="D251" s="126" t="s">
        <v>536</v>
      </c>
      <c r="E251" s="127">
        <v>0</v>
      </c>
      <c r="F251" s="128">
        <v>1000</v>
      </c>
      <c r="G251" s="129">
        <f t="shared" si="66"/>
        <v>200000</v>
      </c>
      <c r="H251" s="130">
        <f t="shared" si="67"/>
        <v>11000</v>
      </c>
      <c r="I251" s="172">
        <v>1100</v>
      </c>
      <c r="J251" s="131">
        <f t="shared" si="68"/>
        <v>5.5E-2</v>
      </c>
      <c r="K251" s="131">
        <f t="shared" si="69"/>
        <v>18.181818181818183</v>
      </c>
      <c r="L251" s="115">
        <f t="shared" si="70"/>
        <v>8.581818181818182</v>
      </c>
    </row>
    <row r="252" spans="1:12">
      <c r="A252" s="109" t="s">
        <v>54</v>
      </c>
      <c r="B252" s="124" t="s">
        <v>509</v>
      </c>
      <c r="C252" s="125">
        <v>180</v>
      </c>
      <c r="D252" s="126" t="s">
        <v>536</v>
      </c>
      <c r="E252" s="127">
        <v>0</v>
      </c>
      <c r="F252" s="128">
        <v>1000</v>
      </c>
      <c r="G252" s="129">
        <f t="shared" si="66"/>
        <v>200000</v>
      </c>
      <c r="H252" s="130">
        <f t="shared" si="67"/>
        <v>11000</v>
      </c>
      <c r="I252" s="172">
        <v>1100</v>
      </c>
      <c r="J252" s="131">
        <f t="shared" si="68"/>
        <v>5.5E-2</v>
      </c>
      <c r="K252" s="131">
        <f t="shared" si="69"/>
        <v>18.181818181818183</v>
      </c>
      <c r="L252" s="115">
        <f t="shared" si="70"/>
        <v>8.581818181818182</v>
      </c>
    </row>
    <row r="253" spans="1:12">
      <c r="A253" s="109" t="s">
        <v>54</v>
      </c>
      <c r="B253" s="124" t="s">
        <v>510</v>
      </c>
      <c r="C253" s="125">
        <v>210</v>
      </c>
      <c r="D253" s="126" t="s">
        <v>536</v>
      </c>
      <c r="E253" s="127">
        <v>0</v>
      </c>
      <c r="F253" s="128">
        <v>1000</v>
      </c>
      <c r="G253" s="129">
        <f t="shared" si="66"/>
        <v>200000</v>
      </c>
      <c r="H253" s="130">
        <f t="shared" si="67"/>
        <v>11000</v>
      </c>
      <c r="I253" s="172">
        <v>1100</v>
      </c>
      <c r="J253" s="131">
        <f t="shared" si="68"/>
        <v>5.5E-2</v>
      </c>
      <c r="K253" s="131">
        <f t="shared" si="69"/>
        <v>18.181818181818183</v>
      </c>
      <c r="L253" s="115">
        <f t="shared" si="70"/>
        <v>8.581818181818182</v>
      </c>
    </row>
    <row r="254" spans="1:12">
      <c r="A254" s="109" t="s">
        <v>54</v>
      </c>
      <c r="B254" s="124" t="s">
        <v>511</v>
      </c>
      <c r="C254" s="125">
        <v>240</v>
      </c>
      <c r="D254" s="126" t="s">
        <v>536</v>
      </c>
      <c r="E254" s="127">
        <v>0</v>
      </c>
      <c r="F254" s="128">
        <v>1000</v>
      </c>
      <c r="G254" s="129">
        <f t="shared" si="66"/>
        <v>200000</v>
      </c>
      <c r="H254" s="130">
        <f t="shared" si="67"/>
        <v>11000</v>
      </c>
      <c r="I254" s="172">
        <v>1100</v>
      </c>
      <c r="J254" s="131">
        <f t="shared" si="68"/>
        <v>5.5E-2</v>
      </c>
      <c r="K254" s="131">
        <f t="shared" si="69"/>
        <v>18.181818181818183</v>
      </c>
      <c r="L254" s="115">
        <f t="shared" si="70"/>
        <v>8.581818181818182</v>
      </c>
    </row>
    <row r="255" spans="1:12">
      <c r="A255" s="109" t="s">
        <v>54</v>
      </c>
      <c r="B255" s="124" t="s">
        <v>512</v>
      </c>
      <c r="C255" s="125">
        <v>270</v>
      </c>
      <c r="D255" s="126" t="s">
        <v>536</v>
      </c>
      <c r="E255" s="127">
        <v>0</v>
      </c>
      <c r="F255" s="128">
        <v>3000</v>
      </c>
      <c r="G255" s="129">
        <f t="shared" si="66"/>
        <v>600000</v>
      </c>
      <c r="H255" s="130">
        <f t="shared" si="67"/>
        <v>33000</v>
      </c>
      <c r="I255" s="172">
        <v>3300</v>
      </c>
      <c r="J255" s="131">
        <f t="shared" si="68"/>
        <v>5.5E-2</v>
      </c>
      <c r="K255" s="131">
        <f t="shared" si="69"/>
        <v>18.181818181818183</v>
      </c>
      <c r="L255" s="115">
        <f t="shared" si="70"/>
        <v>8.581818181818182</v>
      </c>
    </row>
    <row r="256" spans="1:12">
      <c r="A256" s="109" t="s">
        <v>54</v>
      </c>
      <c r="B256" s="124" t="s">
        <v>513</v>
      </c>
      <c r="C256" s="125">
        <v>330</v>
      </c>
      <c r="D256" s="126" t="s">
        <v>536</v>
      </c>
      <c r="E256" s="127">
        <v>0</v>
      </c>
      <c r="F256" s="128">
        <v>3000</v>
      </c>
      <c r="G256" s="129">
        <f t="shared" si="66"/>
        <v>600000</v>
      </c>
      <c r="H256" s="130">
        <f t="shared" si="67"/>
        <v>33000</v>
      </c>
      <c r="I256" s="172">
        <v>3300</v>
      </c>
      <c r="J256" s="131">
        <f t="shared" si="68"/>
        <v>5.5E-2</v>
      </c>
      <c r="K256" s="131">
        <f t="shared" si="69"/>
        <v>18.181818181818183</v>
      </c>
      <c r="L256" s="115">
        <f t="shared" si="70"/>
        <v>8.581818181818182</v>
      </c>
    </row>
    <row r="257" spans="1:13">
      <c r="A257" s="109" t="s">
        <v>54</v>
      </c>
      <c r="B257" s="124" t="s">
        <v>514</v>
      </c>
      <c r="C257" s="125">
        <v>360</v>
      </c>
      <c r="D257" s="126" t="s">
        <v>536</v>
      </c>
      <c r="E257" s="127">
        <v>0</v>
      </c>
      <c r="F257" s="128">
        <v>3000</v>
      </c>
      <c r="G257" s="129">
        <f t="shared" si="66"/>
        <v>600000</v>
      </c>
      <c r="H257" s="130">
        <f t="shared" si="67"/>
        <v>33000</v>
      </c>
      <c r="I257" s="172">
        <v>3300</v>
      </c>
      <c r="J257" s="131">
        <f t="shared" si="68"/>
        <v>5.5E-2</v>
      </c>
      <c r="K257" s="131">
        <f t="shared" si="69"/>
        <v>18.181818181818183</v>
      </c>
      <c r="L257" s="115">
        <f t="shared" si="70"/>
        <v>8.581818181818182</v>
      </c>
    </row>
    <row r="258" spans="1:13">
      <c r="A258" s="109" t="s">
        <v>54</v>
      </c>
      <c r="B258" s="124" t="s">
        <v>515</v>
      </c>
      <c r="C258" s="125">
        <v>390</v>
      </c>
      <c r="D258" s="126" t="s">
        <v>536</v>
      </c>
      <c r="E258" s="127">
        <v>0</v>
      </c>
      <c r="F258" s="128">
        <v>3000</v>
      </c>
      <c r="G258" s="129">
        <f t="shared" si="66"/>
        <v>600000</v>
      </c>
      <c r="H258" s="130">
        <f t="shared" si="67"/>
        <v>33000</v>
      </c>
      <c r="I258" s="172">
        <v>3300</v>
      </c>
      <c r="J258" s="131">
        <f t="shared" si="68"/>
        <v>5.5E-2</v>
      </c>
      <c r="K258" s="131">
        <f t="shared" si="69"/>
        <v>18.181818181818183</v>
      </c>
      <c r="L258" s="115">
        <f t="shared" si="70"/>
        <v>8.581818181818182</v>
      </c>
    </row>
    <row r="259" spans="1:13">
      <c r="A259" s="109" t="s">
        <v>54</v>
      </c>
      <c r="B259" s="124" t="s">
        <v>516</v>
      </c>
      <c r="C259" s="125">
        <v>420</v>
      </c>
      <c r="D259" s="126" t="s">
        <v>536</v>
      </c>
      <c r="E259" s="127">
        <v>0</v>
      </c>
      <c r="F259" s="128">
        <v>3000</v>
      </c>
      <c r="G259" s="129">
        <f t="shared" si="66"/>
        <v>600000</v>
      </c>
      <c r="H259" s="130">
        <f t="shared" si="67"/>
        <v>33000</v>
      </c>
      <c r="I259" s="172">
        <v>3300</v>
      </c>
      <c r="J259" s="131">
        <f t="shared" si="68"/>
        <v>5.5E-2</v>
      </c>
      <c r="K259" s="131">
        <f t="shared" si="69"/>
        <v>18.181818181818183</v>
      </c>
      <c r="L259" s="115">
        <f t="shared" si="70"/>
        <v>8.581818181818182</v>
      </c>
    </row>
    <row r="260" spans="1:13">
      <c r="A260" s="109" t="s">
        <v>54</v>
      </c>
      <c r="B260" s="124" t="s">
        <v>517</v>
      </c>
      <c r="C260" s="125">
        <v>480</v>
      </c>
      <c r="D260" s="126" t="s">
        <v>536</v>
      </c>
      <c r="E260" s="127">
        <v>0</v>
      </c>
      <c r="F260" s="128">
        <v>3000</v>
      </c>
      <c r="G260" s="129">
        <f t="shared" si="66"/>
        <v>600000</v>
      </c>
      <c r="H260" s="130">
        <f t="shared" si="67"/>
        <v>33000</v>
      </c>
      <c r="I260" s="172">
        <v>3300</v>
      </c>
      <c r="J260" s="131">
        <f t="shared" si="68"/>
        <v>5.5E-2</v>
      </c>
      <c r="K260" s="131">
        <f t="shared" si="69"/>
        <v>18.181818181818183</v>
      </c>
      <c r="L260" s="115">
        <f t="shared" si="70"/>
        <v>8.581818181818182</v>
      </c>
    </row>
    <row r="261" spans="1:13">
      <c r="A261" s="109" t="s">
        <v>54</v>
      </c>
      <c r="B261" s="124" t="s">
        <v>518</v>
      </c>
      <c r="C261" s="125">
        <v>510</v>
      </c>
      <c r="D261" s="126" t="s">
        <v>536</v>
      </c>
      <c r="E261" s="127">
        <v>0</v>
      </c>
      <c r="F261" s="128">
        <v>3000</v>
      </c>
      <c r="G261" s="129">
        <f t="shared" si="66"/>
        <v>600000</v>
      </c>
      <c r="H261" s="130">
        <f t="shared" si="67"/>
        <v>33000</v>
      </c>
      <c r="I261" s="172">
        <v>3300</v>
      </c>
      <c r="J261" s="131">
        <f t="shared" si="68"/>
        <v>5.5E-2</v>
      </c>
      <c r="K261" s="131">
        <f t="shared" si="69"/>
        <v>18.181818181818183</v>
      </c>
      <c r="L261" s="115">
        <f t="shared" si="70"/>
        <v>8.581818181818182</v>
      </c>
    </row>
    <row r="262" spans="1:13">
      <c r="A262" s="109" t="s">
        <v>54</v>
      </c>
      <c r="B262" s="124" t="s">
        <v>519</v>
      </c>
      <c r="C262" s="125">
        <v>540</v>
      </c>
      <c r="D262" s="126" t="s">
        <v>536</v>
      </c>
      <c r="E262" s="127">
        <v>0</v>
      </c>
      <c r="F262" s="128">
        <v>3000</v>
      </c>
      <c r="G262" s="129">
        <f t="shared" si="66"/>
        <v>600000</v>
      </c>
      <c r="H262" s="130">
        <f>I262*10</f>
        <v>33000</v>
      </c>
      <c r="I262" s="172">
        <v>3300</v>
      </c>
      <c r="J262" s="131">
        <f>H262/G262</f>
        <v>5.5E-2</v>
      </c>
      <c r="K262" s="131">
        <f>G262/H262</f>
        <v>18.181818181818183</v>
      </c>
      <c r="L262" s="115">
        <f>K262/K$2</f>
        <v>8.581818181818182</v>
      </c>
    </row>
    <row r="263" spans="1:13">
      <c r="A263" s="109" t="s">
        <v>54</v>
      </c>
      <c r="B263" s="124" t="s">
        <v>520</v>
      </c>
      <c r="C263" s="125">
        <v>570</v>
      </c>
      <c r="D263" s="126" t="s">
        <v>536</v>
      </c>
      <c r="E263" s="127">
        <v>0</v>
      </c>
      <c r="F263" s="128">
        <v>3000</v>
      </c>
      <c r="G263" s="129">
        <f t="shared" si="66"/>
        <v>600000</v>
      </c>
      <c r="H263" s="130">
        <f t="shared" si="67"/>
        <v>33000</v>
      </c>
      <c r="I263" s="172">
        <v>3300</v>
      </c>
      <c r="J263" s="131">
        <f t="shared" ref="J263:J264" si="71">H263/G263</f>
        <v>5.5E-2</v>
      </c>
      <c r="K263" s="131">
        <f t="shared" ref="K263:K264" si="72">G263/H263</f>
        <v>18.181818181818183</v>
      </c>
      <c r="L263" s="115">
        <f t="shared" si="70"/>
        <v>8.581818181818182</v>
      </c>
    </row>
    <row r="264" spans="1:13">
      <c r="A264" s="109" t="s">
        <v>54</v>
      </c>
      <c r="B264" s="124" t="s">
        <v>521</v>
      </c>
      <c r="C264" s="125">
        <v>999999</v>
      </c>
      <c r="D264" s="126" t="s">
        <v>536</v>
      </c>
      <c r="E264" s="127">
        <v>0</v>
      </c>
      <c r="F264" s="128">
        <v>3000</v>
      </c>
      <c r="G264" s="129">
        <f t="shared" si="66"/>
        <v>600000</v>
      </c>
      <c r="H264" s="130">
        <f t="shared" si="67"/>
        <v>33000</v>
      </c>
      <c r="I264" s="172">
        <v>3300</v>
      </c>
      <c r="J264" s="131">
        <f t="shared" si="71"/>
        <v>5.5E-2</v>
      </c>
      <c r="K264" s="131">
        <f t="shared" si="72"/>
        <v>18.181818181818183</v>
      </c>
      <c r="L264" s="115">
        <f t="shared" si="70"/>
        <v>8.581818181818182</v>
      </c>
    </row>
    <row r="266" spans="1:13">
      <c r="B266" s="123" t="s">
        <v>826</v>
      </c>
      <c r="C266" s="110"/>
      <c r="D266" s="109" t="s">
        <v>537</v>
      </c>
      <c r="E266" s="111"/>
      <c r="F266" s="112" t="s">
        <v>224</v>
      </c>
      <c r="G266" s="113"/>
      <c r="L266" s="115"/>
    </row>
    <row r="267" spans="1:13">
      <c r="A267" s="109" t="s">
        <v>54</v>
      </c>
      <c r="B267" s="124" t="s">
        <v>538</v>
      </c>
      <c r="C267" s="125">
        <v>300</v>
      </c>
      <c r="D267" s="126" t="s">
        <v>267</v>
      </c>
      <c r="E267" s="127">
        <v>10000</v>
      </c>
      <c r="F267" s="128"/>
      <c r="G267" s="129">
        <f>E267+(F267*0.0002)</f>
        <v>10000</v>
      </c>
      <c r="H267" s="130">
        <f>I267*10</f>
        <v>5500</v>
      </c>
      <c r="I267" s="172">
        <v>550</v>
      </c>
      <c r="J267" s="131">
        <f>H267/G267</f>
        <v>0.55000000000000004</v>
      </c>
      <c r="K267" s="131">
        <f>G267/H267</f>
        <v>1.8181818181818181</v>
      </c>
      <c r="L267" s="115">
        <f>K267/K$2</f>
        <v>0.85818181818181816</v>
      </c>
      <c r="M267"/>
    </row>
    <row r="268" spans="1:13">
      <c r="A268" s="109" t="s">
        <v>54</v>
      </c>
      <c r="B268" s="124" t="s">
        <v>539</v>
      </c>
      <c r="C268" s="125">
        <v>1000</v>
      </c>
      <c r="D268" s="126" t="s">
        <v>267</v>
      </c>
      <c r="E268" s="127">
        <v>20000</v>
      </c>
      <c r="F268" s="128"/>
      <c r="G268" s="129">
        <f t="shared" ref="G268:G286" si="73">E268+(F268*0.0002)</f>
        <v>20000</v>
      </c>
      <c r="H268" s="130">
        <f t="shared" ref="H268:H286" si="74">I268*10</f>
        <v>9900</v>
      </c>
      <c r="I268" s="172">
        <v>990</v>
      </c>
      <c r="J268" s="131">
        <f t="shared" ref="J268:J286" si="75">H268/G268</f>
        <v>0.495</v>
      </c>
      <c r="K268" s="131">
        <f t="shared" ref="K268:K286" si="76">G268/H268</f>
        <v>2.0202020202020203</v>
      </c>
      <c r="L268" s="115">
        <f t="shared" ref="L268:L286" si="77">K268/K$2</f>
        <v>0.95353535353535357</v>
      </c>
      <c r="M268"/>
    </row>
    <row r="269" spans="1:13">
      <c r="A269" s="109" t="s">
        <v>54</v>
      </c>
      <c r="B269" s="124" t="s">
        <v>540</v>
      </c>
      <c r="C269" s="125">
        <v>2000</v>
      </c>
      <c r="D269" s="126" t="s">
        <v>267</v>
      </c>
      <c r="E269" s="127">
        <v>20000</v>
      </c>
      <c r="F269" s="128"/>
      <c r="G269" s="129">
        <f t="shared" si="73"/>
        <v>20000</v>
      </c>
      <c r="H269" s="130">
        <f t="shared" si="74"/>
        <v>9900</v>
      </c>
      <c r="I269" s="172">
        <v>990</v>
      </c>
      <c r="J269" s="131">
        <f t="shared" si="75"/>
        <v>0.495</v>
      </c>
      <c r="K269" s="131">
        <f t="shared" si="76"/>
        <v>2.0202020202020203</v>
      </c>
      <c r="L269" s="115">
        <f t="shared" si="77"/>
        <v>0.95353535353535357</v>
      </c>
      <c r="M269"/>
    </row>
    <row r="270" spans="1:13">
      <c r="A270" s="109" t="s">
        <v>54</v>
      </c>
      <c r="B270" s="124" t="s">
        <v>541</v>
      </c>
      <c r="C270" s="125">
        <v>3000</v>
      </c>
      <c r="D270" s="126" t="s">
        <v>267</v>
      </c>
      <c r="E270" s="127">
        <v>20000</v>
      </c>
      <c r="F270" s="128"/>
      <c r="G270" s="129">
        <f t="shared" si="73"/>
        <v>20000</v>
      </c>
      <c r="H270" s="130">
        <f t="shared" si="74"/>
        <v>9900</v>
      </c>
      <c r="I270" s="172">
        <v>990</v>
      </c>
      <c r="J270" s="131">
        <f t="shared" si="75"/>
        <v>0.495</v>
      </c>
      <c r="K270" s="131">
        <f t="shared" si="76"/>
        <v>2.0202020202020203</v>
      </c>
      <c r="L270" s="115">
        <f t="shared" si="77"/>
        <v>0.95353535353535357</v>
      </c>
      <c r="M270"/>
    </row>
    <row r="271" spans="1:13">
      <c r="A271" s="109" t="s">
        <v>54</v>
      </c>
      <c r="B271" s="124" t="s">
        <v>542</v>
      </c>
      <c r="C271" s="125">
        <v>4000</v>
      </c>
      <c r="D271" s="126" t="s">
        <v>267</v>
      </c>
      <c r="E271" s="127">
        <v>20000</v>
      </c>
      <c r="F271" s="128"/>
      <c r="G271" s="129">
        <f t="shared" si="73"/>
        <v>20000</v>
      </c>
      <c r="H271" s="130">
        <f t="shared" si="74"/>
        <v>9900</v>
      </c>
      <c r="I271" s="172">
        <v>990</v>
      </c>
      <c r="J271" s="131">
        <f t="shared" si="75"/>
        <v>0.495</v>
      </c>
      <c r="K271" s="131">
        <f t="shared" si="76"/>
        <v>2.0202020202020203</v>
      </c>
      <c r="L271" s="115">
        <f t="shared" si="77"/>
        <v>0.95353535353535357</v>
      </c>
      <c r="M271"/>
    </row>
    <row r="272" spans="1:13">
      <c r="A272" s="109" t="s">
        <v>54</v>
      </c>
      <c r="B272" s="124" t="s">
        <v>543</v>
      </c>
      <c r="C272" s="125">
        <v>5000</v>
      </c>
      <c r="D272" s="126" t="s">
        <v>267</v>
      </c>
      <c r="E272" s="127">
        <v>20000</v>
      </c>
      <c r="F272" s="128"/>
      <c r="G272" s="129">
        <f t="shared" si="73"/>
        <v>20000</v>
      </c>
      <c r="H272" s="130">
        <f t="shared" si="74"/>
        <v>9900</v>
      </c>
      <c r="I272" s="172">
        <v>990</v>
      </c>
      <c r="J272" s="131">
        <f t="shared" si="75"/>
        <v>0.495</v>
      </c>
      <c r="K272" s="131">
        <f t="shared" si="76"/>
        <v>2.0202020202020203</v>
      </c>
      <c r="L272" s="115">
        <f t="shared" si="77"/>
        <v>0.95353535353535357</v>
      </c>
      <c r="M272"/>
    </row>
    <row r="273" spans="1:13">
      <c r="A273" s="109" t="s">
        <v>54</v>
      </c>
      <c r="B273" s="124" t="s">
        <v>544</v>
      </c>
      <c r="C273" s="125">
        <v>6000</v>
      </c>
      <c r="D273" s="126" t="s">
        <v>267</v>
      </c>
      <c r="E273" s="127">
        <v>20000</v>
      </c>
      <c r="F273" s="128"/>
      <c r="G273" s="129">
        <f t="shared" si="73"/>
        <v>20000</v>
      </c>
      <c r="H273" s="130">
        <f t="shared" si="74"/>
        <v>9900</v>
      </c>
      <c r="I273" s="172">
        <v>990</v>
      </c>
      <c r="J273" s="131">
        <f t="shared" si="75"/>
        <v>0.495</v>
      </c>
      <c r="K273" s="131">
        <f t="shared" si="76"/>
        <v>2.0202020202020203</v>
      </c>
      <c r="L273" s="115">
        <f t="shared" si="77"/>
        <v>0.95353535353535357</v>
      </c>
      <c r="M273"/>
    </row>
    <row r="274" spans="1:13">
      <c r="A274" s="109" t="s">
        <v>54</v>
      </c>
      <c r="B274" s="124" t="s">
        <v>545</v>
      </c>
      <c r="C274" s="125">
        <v>7000</v>
      </c>
      <c r="D274" s="126" t="s">
        <v>267</v>
      </c>
      <c r="E274" s="127">
        <v>20000</v>
      </c>
      <c r="F274" s="128"/>
      <c r="G274" s="129">
        <f t="shared" si="73"/>
        <v>20000</v>
      </c>
      <c r="H274" s="130">
        <f t="shared" si="74"/>
        <v>9900</v>
      </c>
      <c r="I274" s="172">
        <v>990</v>
      </c>
      <c r="J274" s="131">
        <f t="shared" si="75"/>
        <v>0.495</v>
      </c>
      <c r="K274" s="131">
        <f t="shared" si="76"/>
        <v>2.0202020202020203</v>
      </c>
      <c r="L274" s="115">
        <f t="shared" si="77"/>
        <v>0.95353535353535357</v>
      </c>
      <c r="M274"/>
    </row>
    <row r="275" spans="1:13">
      <c r="A275" s="109" t="s">
        <v>54</v>
      </c>
      <c r="B275" s="124" t="s">
        <v>546</v>
      </c>
      <c r="C275" s="125">
        <v>8000</v>
      </c>
      <c r="D275" s="126" t="s">
        <v>267</v>
      </c>
      <c r="E275" s="127">
        <v>20000</v>
      </c>
      <c r="F275" s="128"/>
      <c r="G275" s="129">
        <f t="shared" si="73"/>
        <v>20000</v>
      </c>
      <c r="H275" s="130">
        <f t="shared" si="74"/>
        <v>9900</v>
      </c>
      <c r="I275" s="172">
        <v>990</v>
      </c>
      <c r="J275" s="131">
        <f t="shared" si="75"/>
        <v>0.495</v>
      </c>
      <c r="K275" s="131">
        <f t="shared" si="76"/>
        <v>2.0202020202020203</v>
      </c>
      <c r="L275" s="115">
        <f t="shared" si="77"/>
        <v>0.95353535353535357</v>
      </c>
      <c r="M275"/>
    </row>
    <row r="276" spans="1:13">
      <c r="A276" s="109" t="s">
        <v>54</v>
      </c>
      <c r="B276" s="124" t="s">
        <v>547</v>
      </c>
      <c r="C276" s="125">
        <v>9000</v>
      </c>
      <c r="D276" s="126" t="s">
        <v>267</v>
      </c>
      <c r="E276" s="127">
        <v>20000</v>
      </c>
      <c r="F276" s="128"/>
      <c r="G276" s="129">
        <f t="shared" si="73"/>
        <v>20000</v>
      </c>
      <c r="H276" s="130">
        <f t="shared" si="74"/>
        <v>9900</v>
      </c>
      <c r="I276" s="172">
        <v>990</v>
      </c>
      <c r="J276" s="131">
        <f t="shared" si="75"/>
        <v>0.495</v>
      </c>
      <c r="K276" s="131">
        <f t="shared" si="76"/>
        <v>2.0202020202020203</v>
      </c>
      <c r="L276" s="115">
        <f t="shared" si="77"/>
        <v>0.95353535353535357</v>
      </c>
      <c r="M276"/>
    </row>
    <row r="277" spans="1:13">
      <c r="A277" s="109" t="s">
        <v>54</v>
      </c>
      <c r="B277" s="124" t="s">
        <v>548</v>
      </c>
      <c r="C277" s="125">
        <v>10000</v>
      </c>
      <c r="D277" s="126" t="s">
        <v>267</v>
      </c>
      <c r="E277" s="127">
        <v>20000</v>
      </c>
      <c r="F277" s="128"/>
      <c r="G277" s="129">
        <f t="shared" si="73"/>
        <v>20000</v>
      </c>
      <c r="H277" s="130">
        <f t="shared" si="74"/>
        <v>9900</v>
      </c>
      <c r="I277" s="172">
        <v>990</v>
      </c>
      <c r="J277" s="131">
        <f t="shared" si="75"/>
        <v>0.495</v>
      </c>
      <c r="K277" s="131">
        <f t="shared" si="76"/>
        <v>2.0202020202020203</v>
      </c>
      <c r="L277" s="115">
        <f t="shared" si="77"/>
        <v>0.95353535353535357</v>
      </c>
      <c r="M277"/>
    </row>
    <row r="278" spans="1:13">
      <c r="A278" s="109" t="s">
        <v>54</v>
      </c>
      <c r="B278" s="124" t="s">
        <v>549</v>
      </c>
      <c r="C278" s="125">
        <v>11000</v>
      </c>
      <c r="D278" s="126" t="s">
        <v>267</v>
      </c>
      <c r="E278" s="127">
        <v>20000</v>
      </c>
      <c r="F278" s="128"/>
      <c r="G278" s="129">
        <f t="shared" si="73"/>
        <v>20000</v>
      </c>
      <c r="H278" s="130">
        <f t="shared" si="74"/>
        <v>9900</v>
      </c>
      <c r="I278" s="172">
        <v>990</v>
      </c>
      <c r="J278" s="131">
        <f t="shared" si="75"/>
        <v>0.495</v>
      </c>
      <c r="K278" s="131">
        <f t="shared" si="76"/>
        <v>2.0202020202020203</v>
      </c>
      <c r="L278" s="115">
        <f t="shared" si="77"/>
        <v>0.95353535353535357</v>
      </c>
      <c r="M278"/>
    </row>
    <row r="279" spans="1:13">
      <c r="A279" s="109" t="s">
        <v>54</v>
      </c>
      <c r="B279" s="124" t="s">
        <v>550</v>
      </c>
      <c r="C279" s="125">
        <v>12000</v>
      </c>
      <c r="D279" s="126" t="s">
        <v>267</v>
      </c>
      <c r="E279" s="127">
        <v>20000</v>
      </c>
      <c r="F279" s="128"/>
      <c r="G279" s="129">
        <f t="shared" si="73"/>
        <v>20000</v>
      </c>
      <c r="H279" s="130">
        <f t="shared" si="74"/>
        <v>9900</v>
      </c>
      <c r="I279" s="172">
        <v>990</v>
      </c>
      <c r="J279" s="131">
        <f t="shared" si="75"/>
        <v>0.495</v>
      </c>
      <c r="K279" s="131">
        <f t="shared" si="76"/>
        <v>2.0202020202020203</v>
      </c>
      <c r="L279" s="115">
        <f t="shared" si="77"/>
        <v>0.95353535353535357</v>
      </c>
      <c r="M279"/>
    </row>
    <row r="280" spans="1:13">
      <c r="A280" s="109" t="s">
        <v>54</v>
      </c>
      <c r="B280" s="124" t="s">
        <v>551</v>
      </c>
      <c r="C280" s="125">
        <v>13000</v>
      </c>
      <c r="D280" s="126" t="s">
        <v>267</v>
      </c>
      <c r="E280" s="127">
        <v>20000</v>
      </c>
      <c r="F280" s="128"/>
      <c r="G280" s="129">
        <f t="shared" si="73"/>
        <v>20000</v>
      </c>
      <c r="H280" s="130">
        <f t="shared" si="74"/>
        <v>9900</v>
      </c>
      <c r="I280" s="172">
        <v>990</v>
      </c>
      <c r="J280" s="131">
        <f t="shared" si="75"/>
        <v>0.495</v>
      </c>
      <c r="K280" s="131">
        <f t="shared" si="76"/>
        <v>2.0202020202020203</v>
      </c>
      <c r="L280" s="115">
        <f t="shared" si="77"/>
        <v>0.95353535353535357</v>
      </c>
      <c r="M280"/>
    </row>
    <row r="281" spans="1:13">
      <c r="A281" s="109" t="s">
        <v>54</v>
      </c>
      <c r="B281" s="124" t="s">
        <v>552</v>
      </c>
      <c r="C281" s="125">
        <v>14000</v>
      </c>
      <c r="D281" s="126" t="s">
        <v>267</v>
      </c>
      <c r="E281" s="127">
        <v>20000</v>
      </c>
      <c r="F281" s="128"/>
      <c r="G281" s="129">
        <f t="shared" si="73"/>
        <v>20000</v>
      </c>
      <c r="H281" s="130">
        <f t="shared" si="74"/>
        <v>9900</v>
      </c>
      <c r="I281" s="172">
        <v>990</v>
      </c>
      <c r="J281" s="131">
        <f t="shared" si="75"/>
        <v>0.495</v>
      </c>
      <c r="K281" s="131">
        <f t="shared" si="76"/>
        <v>2.0202020202020203</v>
      </c>
      <c r="L281" s="115">
        <f t="shared" si="77"/>
        <v>0.95353535353535357</v>
      </c>
      <c r="M281"/>
    </row>
    <row r="282" spans="1:13">
      <c r="A282" s="109" t="s">
        <v>54</v>
      </c>
      <c r="B282" s="124" t="s">
        <v>553</v>
      </c>
      <c r="C282" s="125">
        <v>15000</v>
      </c>
      <c r="D282" s="126" t="s">
        <v>267</v>
      </c>
      <c r="E282" s="127">
        <v>20000</v>
      </c>
      <c r="F282" s="128"/>
      <c r="G282" s="129">
        <f t="shared" si="73"/>
        <v>20000</v>
      </c>
      <c r="H282" s="130">
        <f t="shared" si="74"/>
        <v>9900</v>
      </c>
      <c r="I282" s="172">
        <v>990</v>
      </c>
      <c r="J282" s="131">
        <f t="shared" si="75"/>
        <v>0.495</v>
      </c>
      <c r="K282" s="131">
        <f t="shared" si="76"/>
        <v>2.0202020202020203</v>
      </c>
      <c r="L282" s="115">
        <f t="shared" si="77"/>
        <v>0.95353535353535357</v>
      </c>
      <c r="M282"/>
    </row>
    <row r="283" spans="1:13">
      <c r="A283" s="109" t="s">
        <v>54</v>
      </c>
      <c r="B283" s="124" t="s">
        <v>554</v>
      </c>
      <c r="C283" s="125">
        <v>16000</v>
      </c>
      <c r="D283" s="126" t="s">
        <v>267</v>
      </c>
      <c r="E283" s="127">
        <v>20000</v>
      </c>
      <c r="F283" s="128"/>
      <c r="G283" s="129">
        <f t="shared" si="73"/>
        <v>20000</v>
      </c>
      <c r="H283" s="130">
        <f t="shared" si="74"/>
        <v>9900</v>
      </c>
      <c r="I283" s="172">
        <v>990</v>
      </c>
      <c r="J283" s="131">
        <f t="shared" si="75"/>
        <v>0.495</v>
      </c>
      <c r="K283" s="131">
        <f t="shared" si="76"/>
        <v>2.0202020202020203</v>
      </c>
      <c r="L283" s="115">
        <f t="shared" si="77"/>
        <v>0.95353535353535357</v>
      </c>
      <c r="M283"/>
    </row>
    <row r="284" spans="1:13">
      <c r="A284" s="109" t="s">
        <v>54</v>
      </c>
      <c r="B284" s="124" t="s">
        <v>555</v>
      </c>
      <c r="C284" s="125">
        <v>17000</v>
      </c>
      <c r="D284" s="126" t="s">
        <v>267</v>
      </c>
      <c r="E284" s="127">
        <v>20000</v>
      </c>
      <c r="F284" s="128"/>
      <c r="G284" s="129">
        <f t="shared" si="73"/>
        <v>20000</v>
      </c>
      <c r="H284" s="130">
        <f t="shared" si="74"/>
        <v>9900</v>
      </c>
      <c r="I284" s="172">
        <v>990</v>
      </c>
      <c r="J284" s="131">
        <f t="shared" si="75"/>
        <v>0.495</v>
      </c>
      <c r="K284" s="131">
        <f t="shared" si="76"/>
        <v>2.0202020202020203</v>
      </c>
      <c r="L284" s="115">
        <f t="shared" si="77"/>
        <v>0.95353535353535357</v>
      </c>
      <c r="M284"/>
    </row>
    <row r="285" spans="1:13">
      <c r="A285" s="109" t="s">
        <v>54</v>
      </c>
      <c r="B285" s="124" t="s">
        <v>556</v>
      </c>
      <c r="C285" s="125">
        <v>18000</v>
      </c>
      <c r="D285" s="126" t="s">
        <v>267</v>
      </c>
      <c r="E285" s="127">
        <v>20000</v>
      </c>
      <c r="F285" s="128"/>
      <c r="G285" s="129">
        <f t="shared" si="73"/>
        <v>20000</v>
      </c>
      <c r="H285" s="130">
        <f t="shared" si="74"/>
        <v>9900</v>
      </c>
      <c r="I285" s="172">
        <v>990</v>
      </c>
      <c r="J285" s="131">
        <f t="shared" si="75"/>
        <v>0.495</v>
      </c>
      <c r="K285" s="131">
        <f t="shared" si="76"/>
        <v>2.0202020202020203</v>
      </c>
      <c r="L285" s="115">
        <f t="shared" si="77"/>
        <v>0.95353535353535357</v>
      </c>
      <c r="M285"/>
    </row>
    <row r="286" spans="1:13">
      <c r="A286" s="109" t="s">
        <v>54</v>
      </c>
      <c r="B286" s="124" t="s">
        <v>557</v>
      </c>
      <c r="C286" s="125">
        <v>19000</v>
      </c>
      <c r="D286" s="126" t="s">
        <v>267</v>
      </c>
      <c r="E286" s="127">
        <v>20000</v>
      </c>
      <c r="F286" s="128"/>
      <c r="G286" s="129">
        <f t="shared" si="73"/>
        <v>20000</v>
      </c>
      <c r="H286" s="130">
        <f t="shared" si="74"/>
        <v>9900</v>
      </c>
      <c r="I286" s="172">
        <v>990</v>
      </c>
      <c r="J286" s="131">
        <f t="shared" si="75"/>
        <v>0.495</v>
      </c>
      <c r="K286" s="131">
        <f t="shared" si="76"/>
        <v>2.0202020202020203</v>
      </c>
      <c r="L286" s="115">
        <f t="shared" si="77"/>
        <v>0.95353535353535357</v>
      </c>
      <c r="M286"/>
    </row>
    <row r="287" spans="1:13">
      <c r="C287" s="179"/>
      <c r="D287" s="147"/>
      <c r="E287" s="111"/>
      <c r="F287" s="111"/>
      <c r="G287" s="180"/>
      <c r="H287" s="168">
        <f>SUM(H267:H286)</f>
        <v>193600</v>
      </c>
      <c r="I287" s="181"/>
      <c r="J287" s="182"/>
      <c r="K287" s="182"/>
      <c r="L287" s="115"/>
      <c r="M287"/>
    </row>
    <row r="288" spans="1:13">
      <c r="B288" s="123" t="s">
        <v>558</v>
      </c>
      <c r="C288" s="110"/>
      <c r="D288" s="109" t="s">
        <v>560</v>
      </c>
      <c r="E288" s="111"/>
      <c r="F288" s="112" t="s">
        <v>224</v>
      </c>
      <c r="G288" s="113"/>
      <c r="L288" s="115"/>
    </row>
    <row r="289" spans="1:12">
      <c r="A289" s="109" t="s">
        <v>54</v>
      </c>
      <c r="B289" s="124" t="s">
        <v>559</v>
      </c>
      <c r="C289" s="125">
        <v>1</v>
      </c>
      <c r="D289" s="126" t="s">
        <v>267</v>
      </c>
      <c r="E289" s="127">
        <v>50000</v>
      </c>
      <c r="F289" s="128">
        <v>392000000000</v>
      </c>
      <c r="G289" s="129">
        <f>E289+(F289*0.00000056)</f>
        <v>269520</v>
      </c>
      <c r="H289" s="130">
        <f>I289*10</f>
        <v>14900</v>
      </c>
      <c r="I289" s="172">
        <v>1490</v>
      </c>
      <c r="J289" s="131">
        <f>H289/G289</f>
        <v>5.5283466904125854E-2</v>
      </c>
      <c r="K289" s="131">
        <f>G289/H289</f>
        <v>18.088590604026844</v>
      </c>
      <c r="L289" s="115">
        <f>K289/K$2</f>
        <v>8.5378147651006699</v>
      </c>
    </row>
    <row r="290" spans="1:12">
      <c r="A290" s="109" t="s">
        <v>54</v>
      </c>
      <c r="B290" s="124" t="s">
        <v>561</v>
      </c>
      <c r="C290" s="125">
        <v>50</v>
      </c>
      <c r="D290" s="126" t="s">
        <v>267</v>
      </c>
      <c r="E290" s="127">
        <v>50000</v>
      </c>
      <c r="F290" s="128">
        <v>1326000000000</v>
      </c>
      <c r="G290" s="129">
        <f t="shared" ref="G290:G308" si="78">E290+(F290*0.00000056)</f>
        <v>792560</v>
      </c>
      <c r="H290" s="130">
        <f t="shared" ref="H290:H308" si="79">I290*10</f>
        <v>14900</v>
      </c>
      <c r="I290" s="172">
        <v>1490</v>
      </c>
      <c r="J290" s="131">
        <f t="shared" ref="J290:J304" si="80">H290/G290</f>
        <v>1.8799838498031695E-2</v>
      </c>
      <c r="K290" s="131">
        <f t="shared" ref="K290:K304" si="81">G290/H290</f>
        <v>53.19194630872483</v>
      </c>
      <c r="L290" s="115">
        <f t="shared" ref="L290:L308" si="82">K290/K$2</f>
        <v>25.10659865771812</v>
      </c>
    </row>
    <row r="291" spans="1:12">
      <c r="A291" s="109" t="s">
        <v>54</v>
      </c>
      <c r="B291" s="124" t="s">
        <v>562</v>
      </c>
      <c r="C291" s="125">
        <v>100</v>
      </c>
      <c r="D291" s="126" t="s">
        <v>267</v>
      </c>
      <c r="E291" s="127">
        <v>50000</v>
      </c>
      <c r="F291" s="128">
        <v>2802000000000</v>
      </c>
      <c r="G291" s="129">
        <f t="shared" si="78"/>
        <v>1619120</v>
      </c>
      <c r="H291" s="130">
        <f t="shared" si="79"/>
        <v>14900</v>
      </c>
      <c r="I291" s="172">
        <v>1490</v>
      </c>
      <c r="J291" s="131">
        <f t="shared" si="80"/>
        <v>9.202529769257374E-3</v>
      </c>
      <c r="K291" s="131">
        <f t="shared" si="81"/>
        <v>108.66577181208054</v>
      </c>
      <c r="L291" s="115">
        <f t="shared" si="82"/>
        <v>51.29024429530201</v>
      </c>
    </row>
    <row r="292" spans="1:12">
      <c r="A292" s="109" t="s">
        <v>54</v>
      </c>
      <c r="B292" s="124" t="s">
        <v>563</v>
      </c>
      <c r="C292" s="125">
        <v>150</v>
      </c>
      <c r="D292" s="126" t="s">
        <v>267</v>
      </c>
      <c r="E292" s="127">
        <v>50000</v>
      </c>
      <c r="F292" s="128">
        <v>4819000000000</v>
      </c>
      <c r="G292" s="129">
        <f t="shared" si="78"/>
        <v>2748640</v>
      </c>
      <c r="H292" s="130">
        <f t="shared" si="79"/>
        <v>14900</v>
      </c>
      <c r="I292" s="172">
        <v>1490</v>
      </c>
      <c r="J292" s="131">
        <f t="shared" si="80"/>
        <v>5.4208626811805107E-3</v>
      </c>
      <c r="K292" s="131">
        <f t="shared" si="81"/>
        <v>184.47248322147652</v>
      </c>
      <c r="L292" s="115">
        <f t="shared" si="82"/>
        <v>87.071012080536917</v>
      </c>
    </row>
    <row r="293" spans="1:12">
      <c r="A293" s="109" t="s">
        <v>54</v>
      </c>
      <c r="B293" s="124" t="s">
        <v>564</v>
      </c>
      <c r="C293" s="125">
        <v>200</v>
      </c>
      <c r="D293" s="126" t="s">
        <v>267</v>
      </c>
      <c r="E293" s="127">
        <v>50000</v>
      </c>
      <c r="F293" s="128">
        <v>7379000000000</v>
      </c>
      <c r="G293" s="129">
        <f t="shared" si="78"/>
        <v>4182240.0000000005</v>
      </c>
      <c r="H293" s="130">
        <f t="shared" si="79"/>
        <v>14900</v>
      </c>
      <c r="I293" s="172">
        <v>1490</v>
      </c>
      <c r="J293" s="131">
        <f t="shared" si="80"/>
        <v>3.5626841118634985E-3</v>
      </c>
      <c r="K293" s="131">
        <f t="shared" si="81"/>
        <v>280.6872483221477</v>
      </c>
      <c r="L293" s="115">
        <f t="shared" si="82"/>
        <v>132.48438120805369</v>
      </c>
    </row>
    <row r="294" spans="1:12">
      <c r="A294" s="109" t="s">
        <v>54</v>
      </c>
      <c r="B294" s="124" t="s">
        <v>565</v>
      </c>
      <c r="C294" s="125">
        <v>250</v>
      </c>
      <c r="D294" s="126" t="s">
        <v>267</v>
      </c>
      <c r="E294" s="127">
        <v>50000</v>
      </c>
      <c r="F294" s="128">
        <v>10480000000000</v>
      </c>
      <c r="G294" s="129">
        <f t="shared" si="78"/>
        <v>5918800</v>
      </c>
      <c r="H294" s="130">
        <f t="shared" si="79"/>
        <v>14900</v>
      </c>
      <c r="I294" s="172">
        <v>1490</v>
      </c>
      <c r="J294" s="131">
        <f t="shared" si="80"/>
        <v>2.5174021761167806E-3</v>
      </c>
      <c r="K294" s="131">
        <f t="shared" si="81"/>
        <v>397.23489932885906</v>
      </c>
      <c r="L294" s="115">
        <f t="shared" si="82"/>
        <v>187.49487248322146</v>
      </c>
    </row>
    <row r="295" spans="1:12">
      <c r="A295" s="109" t="s">
        <v>54</v>
      </c>
      <c r="B295" s="124" t="s">
        <v>566</v>
      </c>
      <c r="C295" s="125">
        <v>300</v>
      </c>
      <c r="D295" s="126" t="s">
        <v>267</v>
      </c>
      <c r="E295" s="127">
        <v>50000</v>
      </c>
      <c r="F295" s="128">
        <v>14123000000000</v>
      </c>
      <c r="G295" s="129">
        <f t="shared" si="78"/>
        <v>7958880.0000000009</v>
      </c>
      <c r="H295" s="130">
        <f t="shared" si="79"/>
        <v>14900</v>
      </c>
      <c r="I295" s="172">
        <v>1490</v>
      </c>
      <c r="J295" s="131">
        <f t="shared" si="80"/>
        <v>1.8721227107331682E-3</v>
      </c>
      <c r="K295" s="131">
        <f t="shared" si="81"/>
        <v>534.1530201342282</v>
      </c>
      <c r="L295" s="115">
        <f t="shared" si="82"/>
        <v>252.1202255033557</v>
      </c>
    </row>
    <row r="296" spans="1:12">
      <c r="A296" s="109" t="s">
        <v>54</v>
      </c>
      <c r="B296" s="124" t="s">
        <v>567</v>
      </c>
      <c r="C296" s="125">
        <v>350</v>
      </c>
      <c r="D296" s="126" t="s">
        <v>267</v>
      </c>
      <c r="E296" s="127">
        <v>50000</v>
      </c>
      <c r="F296" s="128">
        <v>18307000000000</v>
      </c>
      <c r="G296" s="129">
        <f t="shared" si="78"/>
        <v>10301920</v>
      </c>
      <c r="H296" s="130">
        <f t="shared" si="79"/>
        <v>14900</v>
      </c>
      <c r="I296" s="172">
        <v>1490</v>
      </c>
      <c r="J296" s="131">
        <f t="shared" si="80"/>
        <v>1.4463323341668349E-3</v>
      </c>
      <c r="K296" s="131">
        <f t="shared" si="81"/>
        <v>691.40402684563753</v>
      </c>
      <c r="L296" s="115">
        <f t="shared" si="82"/>
        <v>326.3427006711409</v>
      </c>
    </row>
    <row r="297" spans="1:12">
      <c r="A297" s="109" t="s">
        <v>54</v>
      </c>
      <c r="B297" s="124" t="s">
        <v>568</v>
      </c>
      <c r="C297" s="125">
        <v>400</v>
      </c>
      <c r="D297" s="126" t="s">
        <v>267</v>
      </c>
      <c r="E297" s="127">
        <v>50000</v>
      </c>
      <c r="F297" s="128">
        <v>23034000000000</v>
      </c>
      <c r="G297" s="129">
        <f t="shared" si="78"/>
        <v>12949040</v>
      </c>
      <c r="H297" s="130">
        <f t="shared" si="79"/>
        <v>14900</v>
      </c>
      <c r="I297" s="172">
        <v>1490</v>
      </c>
      <c r="J297" s="131">
        <f t="shared" si="80"/>
        <v>1.150664450800986E-3</v>
      </c>
      <c r="K297" s="131">
        <f t="shared" si="81"/>
        <v>869.06308724832218</v>
      </c>
      <c r="L297" s="115">
        <f t="shared" si="82"/>
        <v>410.19777718120804</v>
      </c>
    </row>
    <row r="298" spans="1:12">
      <c r="A298" s="109" t="s">
        <v>54</v>
      </c>
      <c r="B298" s="124" t="s">
        <v>569</v>
      </c>
      <c r="C298" s="125">
        <v>450</v>
      </c>
      <c r="D298" s="126" t="s">
        <v>267</v>
      </c>
      <c r="E298" s="127">
        <v>50000</v>
      </c>
      <c r="F298" s="128">
        <v>28302000000000</v>
      </c>
      <c r="G298" s="129">
        <f t="shared" si="78"/>
        <v>15899120.000000002</v>
      </c>
      <c r="H298" s="130">
        <f t="shared" si="79"/>
        <v>14900</v>
      </c>
      <c r="I298" s="172">
        <v>1490</v>
      </c>
      <c r="J298" s="131">
        <f t="shared" si="80"/>
        <v>9.371587861466545E-4</v>
      </c>
      <c r="K298" s="131">
        <f t="shared" si="81"/>
        <v>1067.0550335570472</v>
      </c>
      <c r="L298" s="115">
        <f t="shared" si="82"/>
        <v>503.64997583892625</v>
      </c>
    </row>
    <row r="299" spans="1:12">
      <c r="A299" s="109" t="s">
        <v>54</v>
      </c>
      <c r="B299" s="124" t="s">
        <v>570</v>
      </c>
      <c r="C299" s="125">
        <v>500</v>
      </c>
      <c r="D299" s="126" t="s">
        <v>267</v>
      </c>
      <c r="E299" s="127">
        <v>50000</v>
      </c>
      <c r="F299" s="128">
        <v>34112000000000</v>
      </c>
      <c r="G299" s="129">
        <f t="shared" si="78"/>
        <v>19152720</v>
      </c>
      <c r="H299" s="130">
        <f t="shared" si="79"/>
        <v>14900</v>
      </c>
      <c r="I299" s="172">
        <v>1490</v>
      </c>
      <c r="J299" s="131">
        <f t="shared" si="80"/>
        <v>7.7795738673149299E-4</v>
      </c>
      <c r="K299" s="131">
        <f t="shared" si="81"/>
        <v>1285.4174496644296</v>
      </c>
      <c r="L299" s="115">
        <f t="shared" si="82"/>
        <v>606.71703624161069</v>
      </c>
    </row>
    <row r="300" spans="1:12">
      <c r="A300" s="109" t="s">
        <v>54</v>
      </c>
      <c r="B300" s="124" t="s">
        <v>571</v>
      </c>
      <c r="C300" s="125">
        <v>550</v>
      </c>
      <c r="D300" s="126" t="s">
        <v>267</v>
      </c>
      <c r="E300" s="127">
        <v>50000</v>
      </c>
      <c r="F300" s="128">
        <v>40464000000000</v>
      </c>
      <c r="G300" s="129">
        <f t="shared" si="78"/>
        <v>22709840</v>
      </c>
      <c r="H300" s="130">
        <f t="shared" si="79"/>
        <v>14900</v>
      </c>
      <c r="I300" s="172">
        <v>1490</v>
      </c>
      <c r="J300" s="131">
        <f t="shared" si="80"/>
        <v>6.5610325744258873E-4</v>
      </c>
      <c r="K300" s="131">
        <f t="shared" si="81"/>
        <v>1524.1503355704699</v>
      </c>
      <c r="L300" s="115">
        <f t="shared" si="82"/>
        <v>719.39895838926179</v>
      </c>
    </row>
    <row r="301" spans="1:12">
      <c r="A301" s="109" t="s">
        <v>54</v>
      </c>
      <c r="B301" s="124" t="s">
        <v>572</v>
      </c>
      <c r="C301" s="125">
        <v>600</v>
      </c>
      <c r="D301" s="126" t="s">
        <v>267</v>
      </c>
      <c r="E301" s="127">
        <v>50000</v>
      </c>
      <c r="F301" s="128">
        <v>47357000000000</v>
      </c>
      <c r="G301" s="129">
        <f t="shared" si="78"/>
        <v>26569920</v>
      </c>
      <c r="H301" s="130">
        <f t="shared" si="79"/>
        <v>14900</v>
      </c>
      <c r="I301" s="172">
        <v>1490</v>
      </c>
      <c r="J301" s="131">
        <f t="shared" si="80"/>
        <v>5.6078452626127592E-4</v>
      </c>
      <c r="K301" s="131">
        <f t="shared" si="81"/>
        <v>1783.2161073825503</v>
      </c>
      <c r="L301" s="115">
        <f t="shared" si="82"/>
        <v>841.67800268456369</v>
      </c>
    </row>
    <row r="302" spans="1:12">
      <c r="A302" s="109" t="s">
        <v>54</v>
      </c>
      <c r="B302" s="124" t="s">
        <v>573</v>
      </c>
      <c r="C302" s="125">
        <v>650</v>
      </c>
      <c r="D302" s="126" t="s">
        <v>267</v>
      </c>
      <c r="E302" s="127">
        <v>50000</v>
      </c>
      <c r="F302" s="128">
        <v>54792000000000</v>
      </c>
      <c r="G302" s="129">
        <f t="shared" si="78"/>
        <v>30733520.000000004</v>
      </c>
      <c r="H302" s="130">
        <f t="shared" si="79"/>
        <v>14900</v>
      </c>
      <c r="I302" s="172">
        <v>1490</v>
      </c>
      <c r="J302" s="131">
        <f t="shared" si="80"/>
        <v>4.8481267358896731E-4</v>
      </c>
      <c r="K302" s="131">
        <f t="shared" si="81"/>
        <v>2062.6523489932888</v>
      </c>
      <c r="L302" s="115">
        <f t="shared" si="82"/>
        <v>973.57190872483227</v>
      </c>
    </row>
    <row r="303" spans="1:12">
      <c r="A303" s="109" t="s">
        <v>54</v>
      </c>
      <c r="B303" s="124" t="s">
        <v>574</v>
      </c>
      <c r="C303" s="125">
        <v>700</v>
      </c>
      <c r="D303" s="126" t="s">
        <v>267</v>
      </c>
      <c r="E303" s="127">
        <v>50000</v>
      </c>
      <c r="F303" s="128">
        <v>62769000000000</v>
      </c>
      <c r="G303" s="129">
        <f t="shared" si="78"/>
        <v>35200640</v>
      </c>
      <c r="H303" s="130">
        <f t="shared" si="79"/>
        <v>14900</v>
      </c>
      <c r="I303" s="172">
        <v>1490</v>
      </c>
      <c r="J303" s="131">
        <f t="shared" si="80"/>
        <v>4.2328775840439267E-4</v>
      </c>
      <c r="K303" s="131">
        <f t="shared" si="81"/>
        <v>2362.4590604026844</v>
      </c>
      <c r="L303" s="115">
        <f t="shared" si="82"/>
        <v>1115.080676510067</v>
      </c>
    </row>
    <row r="304" spans="1:12">
      <c r="A304" s="109" t="s">
        <v>54</v>
      </c>
      <c r="B304" s="124" t="s">
        <v>575</v>
      </c>
      <c r="C304" s="125">
        <v>750</v>
      </c>
      <c r="D304" s="126" t="s">
        <v>267</v>
      </c>
      <c r="E304" s="127">
        <v>50000</v>
      </c>
      <c r="F304" s="128">
        <v>71288000000000</v>
      </c>
      <c r="G304" s="129">
        <f t="shared" si="78"/>
        <v>39971280</v>
      </c>
      <c r="H304" s="130">
        <f t="shared" si="79"/>
        <v>14900</v>
      </c>
      <c r="I304" s="172">
        <v>1490</v>
      </c>
      <c r="J304" s="131">
        <f t="shared" si="80"/>
        <v>3.7276764717066854E-4</v>
      </c>
      <c r="K304" s="131">
        <f t="shared" si="81"/>
        <v>2682.6362416107381</v>
      </c>
      <c r="L304" s="115">
        <f t="shared" si="82"/>
        <v>1266.2043060402684</v>
      </c>
    </row>
    <row r="305" spans="1:12">
      <c r="A305" s="109" t="s">
        <v>54</v>
      </c>
      <c r="B305" s="124" t="s">
        <v>576</v>
      </c>
      <c r="C305" s="125">
        <v>800</v>
      </c>
      <c r="D305" s="126" t="s">
        <v>267</v>
      </c>
      <c r="E305" s="127">
        <v>50000</v>
      </c>
      <c r="F305" s="128">
        <v>80349000000000</v>
      </c>
      <c r="G305" s="129">
        <f t="shared" si="78"/>
        <v>45045440</v>
      </c>
      <c r="H305" s="130">
        <f>I305*10</f>
        <v>14900</v>
      </c>
      <c r="I305" s="172">
        <v>1490</v>
      </c>
      <c r="J305" s="131">
        <f>H305/G305</f>
        <v>3.3077709974638941E-4</v>
      </c>
      <c r="K305" s="131">
        <f>G305/H305</f>
        <v>3023.1838926174496</v>
      </c>
      <c r="L305" s="115">
        <f>K305/K$2</f>
        <v>1426.9427973154361</v>
      </c>
    </row>
    <row r="306" spans="1:12">
      <c r="A306" s="109" t="s">
        <v>54</v>
      </c>
      <c r="B306" s="124" t="s">
        <v>577</v>
      </c>
      <c r="C306" s="125">
        <v>850</v>
      </c>
      <c r="D306" s="126" t="s">
        <v>267</v>
      </c>
      <c r="E306" s="127">
        <v>50000</v>
      </c>
      <c r="F306" s="128">
        <v>89951000000000</v>
      </c>
      <c r="G306" s="129">
        <f t="shared" si="78"/>
        <v>50422560</v>
      </c>
      <c r="H306" s="130">
        <f t="shared" si="79"/>
        <v>14900</v>
      </c>
      <c r="I306" s="172">
        <v>1490</v>
      </c>
      <c r="J306" s="131">
        <f t="shared" ref="J306:J308" si="83">H306/G306</f>
        <v>2.9550264802104454E-4</v>
      </c>
      <c r="K306" s="131">
        <f t="shared" ref="K306:K308" si="84">G306/H306</f>
        <v>3384.0644295302013</v>
      </c>
      <c r="L306" s="115">
        <f t="shared" si="82"/>
        <v>1597.2784107382549</v>
      </c>
    </row>
    <row r="307" spans="1:12">
      <c r="A307" s="109" t="s">
        <v>54</v>
      </c>
      <c r="B307" s="124" t="s">
        <v>578</v>
      </c>
      <c r="C307" s="125">
        <v>900</v>
      </c>
      <c r="D307" s="126" t="s">
        <v>267</v>
      </c>
      <c r="E307" s="127">
        <v>50000</v>
      </c>
      <c r="F307" s="128">
        <v>100096000000000</v>
      </c>
      <c r="G307" s="129">
        <f t="shared" si="78"/>
        <v>56103760.000000007</v>
      </c>
      <c r="H307" s="130">
        <f t="shared" si="79"/>
        <v>14900</v>
      </c>
      <c r="I307" s="172">
        <v>1490</v>
      </c>
      <c r="J307" s="131">
        <f t="shared" si="83"/>
        <v>2.6557934797952931E-4</v>
      </c>
      <c r="K307" s="131">
        <f t="shared" si="84"/>
        <v>3765.3530201342287</v>
      </c>
      <c r="L307" s="115">
        <f t="shared" si="82"/>
        <v>1777.2466255033557</v>
      </c>
    </row>
    <row r="308" spans="1:12">
      <c r="A308" s="109" t="s">
        <v>54</v>
      </c>
      <c r="B308" s="124" t="s">
        <v>579</v>
      </c>
      <c r="C308" s="125">
        <v>950</v>
      </c>
      <c r="D308" s="126" t="s">
        <v>267</v>
      </c>
      <c r="E308" s="127">
        <v>50000</v>
      </c>
      <c r="F308" s="128">
        <v>110782000000000</v>
      </c>
      <c r="G308" s="129">
        <f t="shared" si="78"/>
        <v>62087920.000000007</v>
      </c>
      <c r="H308" s="130">
        <f t="shared" si="79"/>
        <v>14900</v>
      </c>
      <c r="I308" s="172">
        <v>1490</v>
      </c>
      <c r="J308" s="131">
        <f t="shared" si="83"/>
        <v>2.3998227030314428E-4</v>
      </c>
      <c r="K308" s="131">
        <f t="shared" si="84"/>
        <v>4166.9744966442959</v>
      </c>
      <c r="L308" s="115">
        <f t="shared" si="82"/>
        <v>1966.8119624161075</v>
      </c>
    </row>
    <row r="310" spans="1:12">
      <c r="B310" s="123" t="s">
        <v>580</v>
      </c>
      <c r="C310" s="110"/>
      <c r="D310" s="109" t="s">
        <v>581</v>
      </c>
      <c r="E310" s="111"/>
      <c r="F310" s="112" t="s">
        <v>224</v>
      </c>
      <c r="G310" s="113"/>
      <c r="L310" s="115"/>
    </row>
    <row r="311" spans="1:12">
      <c r="A311" s="109" t="s">
        <v>54</v>
      </c>
      <c r="B311" s="124" t="s">
        <v>582</v>
      </c>
      <c r="C311" s="125">
        <v>0</v>
      </c>
      <c r="D311" s="126" t="s">
        <v>267</v>
      </c>
      <c r="E311" s="127">
        <v>50000</v>
      </c>
      <c r="F311" s="128">
        <v>392000000000</v>
      </c>
      <c r="G311" s="129">
        <f>E311+(F311*0.00000056)</f>
        <v>269520</v>
      </c>
      <c r="H311" s="130">
        <f>I311*10</f>
        <v>14900</v>
      </c>
      <c r="I311" s="172">
        <v>1490</v>
      </c>
      <c r="J311" s="131">
        <f>H311/G311</f>
        <v>5.5283466904125854E-2</v>
      </c>
      <c r="K311" s="131">
        <f>G311/H311</f>
        <v>18.088590604026844</v>
      </c>
      <c r="L311" s="115">
        <f>K311/K$2</f>
        <v>8.5378147651006699</v>
      </c>
    </row>
    <row r="312" spans="1:12">
      <c r="A312" s="109" t="s">
        <v>54</v>
      </c>
      <c r="B312" s="124" t="s">
        <v>583</v>
      </c>
      <c r="C312" s="125">
        <v>250</v>
      </c>
      <c r="D312" s="126" t="s">
        <v>267</v>
      </c>
      <c r="E312" s="127">
        <v>50000</v>
      </c>
      <c r="F312" s="128">
        <v>1326000000000</v>
      </c>
      <c r="G312" s="129">
        <f t="shared" ref="G312:G330" si="85">E312+(F312*0.00000056)</f>
        <v>792560</v>
      </c>
      <c r="H312" s="130">
        <f t="shared" ref="H312:H329" si="86">I312*10</f>
        <v>14900</v>
      </c>
      <c r="I312" s="172">
        <v>1490</v>
      </c>
      <c r="J312" s="131">
        <f t="shared" ref="J312:J329" si="87">H312/G312</f>
        <v>1.8799838498031695E-2</v>
      </c>
      <c r="K312" s="131">
        <f t="shared" ref="K312:K329" si="88">G312/H312</f>
        <v>53.19194630872483</v>
      </c>
      <c r="L312" s="115">
        <f t="shared" ref="L312:L329" si="89">K312/K$2</f>
        <v>25.10659865771812</v>
      </c>
    </row>
    <row r="313" spans="1:12">
      <c r="A313" s="109" t="s">
        <v>54</v>
      </c>
      <c r="B313" s="124" t="s">
        <v>584</v>
      </c>
      <c r="C313" s="125">
        <v>500</v>
      </c>
      <c r="D313" s="126" t="s">
        <v>267</v>
      </c>
      <c r="E313" s="127">
        <v>50000</v>
      </c>
      <c r="F313" s="128">
        <v>2802000000000</v>
      </c>
      <c r="G313" s="129">
        <f t="shared" si="85"/>
        <v>1619120</v>
      </c>
      <c r="H313" s="130">
        <f t="shared" si="86"/>
        <v>14900</v>
      </c>
      <c r="I313" s="172">
        <v>1490</v>
      </c>
      <c r="J313" s="131">
        <f t="shared" si="87"/>
        <v>9.202529769257374E-3</v>
      </c>
      <c r="K313" s="131">
        <f t="shared" si="88"/>
        <v>108.66577181208054</v>
      </c>
      <c r="L313" s="115">
        <f t="shared" si="89"/>
        <v>51.29024429530201</v>
      </c>
    </row>
    <row r="314" spans="1:12">
      <c r="A314" s="109" t="s">
        <v>54</v>
      </c>
      <c r="B314" s="124" t="s">
        <v>585</v>
      </c>
      <c r="C314" s="125">
        <v>750</v>
      </c>
      <c r="D314" s="126" t="s">
        <v>267</v>
      </c>
      <c r="E314" s="127">
        <v>50000</v>
      </c>
      <c r="F314" s="128">
        <v>4819000000000</v>
      </c>
      <c r="G314" s="129">
        <f t="shared" si="85"/>
        <v>2748640</v>
      </c>
      <c r="H314" s="130">
        <f t="shared" si="86"/>
        <v>14900</v>
      </c>
      <c r="I314" s="172">
        <v>1490</v>
      </c>
      <c r="J314" s="131">
        <f t="shared" si="87"/>
        <v>5.4208626811805107E-3</v>
      </c>
      <c r="K314" s="131">
        <f t="shared" si="88"/>
        <v>184.47248322147652</v>
      </c>
      <c r="L314" s="115">
        <f t="shared" si="89"/>
        <v>87.071012080536917</v>
      </c>
    </row>
    <row r="315" spans="1:12">
      <c r="A315" s="109" t="s">
        <v>54</v>
      </c>
      <c r="B315" s="124" t="s">
        <v>586</v>
      </c>
      <c r="C315" s="125">
        <v>1000</v>
      </c>
      <c r="D315" s="126" t="s">
        <v>267</v>
      </c>
      <c r="E315" s="127">
        <v>50000</v>
      </c>
      <c r="F315" s="128">
        <v>7379000000000</v>
      </c>
      <c r="G315" s="129">
        <f t="shared" si="85"/>
        <v>4182240.0000000005</v>
      </c>
      <c r="H315" s="130">
        <f t="shared" si="86"/>
        <v>14900</v>
      </c>
      <c r="I315" s="172">
        <v>1490</v>
      </c>
      <c r="J315" s="131">
        <f t="shared" si="87"/>
        <v>3.5626841118634985E-3</v>
      </c>
      <c r="K315" s="131">
        <f t="shared" si="88"/>
        <v>280.6872483221477</v>
      </c>
      <c r="L315" s="115">
        <f t="shared" si="89"/>
        <v>132.48438120805369</v>
      </c>
    </row>
    <row r="316" spans="1:12">
      <c r="A316" s="109" t="s">
        <v>54</v>
      </c>
      <c r="B316" s="124" t="s">
        <v>587</v>
      </c>
      <c r="C316" s="125">
        <v>1250</v>
      </c>
      <c r="D316" s="126" t="s">
        <v>267</v>
      </c>
      <c r="E316" s="127">
        <v>50000</v>
      </c>
      <c r="F316" s="128">
        <v>10480000000000</v>
      </c>
      <c r="G316" s="129">
        <f t="shared" si="85"/>
        <v>5918800</v>
      </c>
      <c r="H316" s="130">
        <f t="shared" si="86"/>
        <v>14900</v>
      </c>
      <c r="I316" s="172">
        <v>1490</v>
      </c>
      <c r="J316" s="131">
        <f t="shared" si="87"/>
        <v>2.5174021761167806E-3</v>
      </c>
      <c r="K316" s="131">
        <f t="shared" si="88"/>
        <v>397.23489932885906</v>
      </c>
      <c r="L316" s="115">
        <f t="shared" si="89"/>
        <v>187.49487248322146</v>
      </c>
    </row>
    <row r="317" spans="1:12">
      <c r="A317" s="109" t="s">
        <v>54</v>
      </c>
      <c r="B317" s="124" t="s">
        <v>588</v>
      </c>
      <c r="C317" s="125">
        <v>1500</v>
      </c>
      <c r="D317" s="126" t="s">
        <v>267</v>
      </c>
      <c r="E317" s="127">
        <v>50000</v>
      </c>
      <c r="F317" s="128">
        <v>14123000000000</v>
      </c>
      <c r="G317" s="129">
        <f t="shared" si="85"/>
        <v>7958880.0000000009</v>
      </c>
      <c r="H317" s="130">
        <f t="shared" si="86"/>
        <v>14900</v>
      </c>
      <c r="I317" s="172">
        <v>1490</v>
      </c>
      <c r="J317" s="131">
        <f t="shared" si="87"/>
        <v>1.8721227107331682E-3</v>
      </c>
      <c r="K317" s="131">
        <f t="shared" si="88"/>
        <v>534.1530201342282</v>
      </c>
      <c r="L317" s="115">
        <f t="shared" si="89"/>
        <v>252.1202255033557</v>
      </c>
    </row>
    <row r="318" spans="1:12">
      <c r="A318" s="109" t="s">
        <v>54</v>
      </c>
      <c r="B318" s="124" t="s">
        <v>589</v>
      </c>
      <c r="C318" s="125">
        <v>1750</v>
      </c>
      <c r="D318" s="126" t="s">
        <v>267</v>
      </c>
      <c r="E318" s="127">
        <v>50000</v>
      </c>
      <c r="F318" s="128">
        <v>18307000000000</v>
      </c>
      <c r="G318" s="129">
        <f t="shared" si="85"/>
        <v>10301920</v>
      </c>
      <c r="H318" s="130">
        <f t="shared" si="86"/>
        <v>14900</v>
      </c>
      <c r="I318" s="172">
        <v>1490</v>
      </c>
      <c r="J318" s="131">
        <f t="shared" si="87"/>
        <v>1.4463323341668349E-3</v>
      </c>
      <c r="K318" s="131">
        <f t="shared" si="88"/>
        <v>691.40402684563753</v>
      </c>
      <c r="L318" s="115">
        <f t="shared" si="89"/>
        <v>326.3427006711409</v>
      </c>
    </row>
    <row r="319" spans="1:12">
      <c r="A319" s="109" t="s">
        <v>54</v>
      </c>
      <c r="B319" s="124" t="s">
        <v>590</v>
      </c>
      <c r="C319" s="125">
        <v>2000</v>
      </c>
      <c r="D319" s="126" t="s">
        <v>267</v>
      </c>
      <c r="E319" s="127">
        <v>50000</v>
      </c>
      <c r="F319" s="128">
        <v>23034000000000</v>
      </c>
      <c r="G319" s="129">
        <f t="shared" si="85"/>
        <v>12949040</v>
      </c>
      <c r="H319" s="130">
        <f t="shared" si="86"/>
        <v>14900</v>
      </c>
      <c r="I319" s="172">
        <v>1490</v>
      </c>
      <c r="J319" s="131">
        <f t="shared" si="87"/>
        <v>1.150664450800986E-3</v>
      </c>
      <c r="K319" s="131">
        <f t="shared" si="88"/>
        <v>869.06308724832218</v>
      </c>
      <c r="L319" s="115">
        <f t="shared" si="89"/>
        <v>410.19777718120804</v>
      </c>
    </row>
    <row r="320" spans="1:12">
      <c r="A320" s="109" t="s">
        <v>54</v>
      </c>
      <c r="B320" s="124" t="s">
        <v>591</v>
      </c>
      <c r="C320" s="125">
        <v>2250</v>
      </c>
      <c r="D320" s="126" t="s">
        <v>267</v>
      </c>
      <c r="E320" s="127">
        <v>50000</v>
      </c>
      <c r="F320" s="128">
        <v>28302000000000</v>
      </c>
      <c r="G320" s="129">
        <f t="shared" si="85"/>
        <v>15899120.000000002</v>
      </c>
      <c r="H320" s="130">
        <f t="shared" si="86"/>
        <v>14900</v>
      </c>
      <c r="I320" s="172">
        <v>1490</v>
      </c>
      <c r="J320" s="131">
        <f t="shared" si="87"/>
        <v>9.371587861466545E-4</v>
      </c>
      <c r="K320" s="131">
        <f t="shared" si="88"/>
        <v>1067.0550335570472</v>
      </c>
      <c r="L320" s="115">
        <f t="shared" si="89"/>
        <v>503.64997583892625</v>
      </c>
    </row>
    <row r="321" spans="1:20">
      <c r="A321" s="109" t="s">
        <v>54</v>
      </c>
      <c r="B321" s="124" t="s">
        <v>592</v>
      </c>
      <c r="C321" s="125">
        <v>2500</v>
      </c>
      <c r="D321" s="126" t="s">
        <v>267</v>
      </c>
      <c r="E321" s="127">
        <v>50000</v>
      </c>
      <c r="F321" s="128">
        <v>34112000000000</v>
      </c>
      <c r="G321" s="129">
        <f t="shared" si="85"/>
        <v>19152720</v>
      </c>
      <c r="H321" s="130">
        <f t="shared" si="86"/>
        <v>14900</v>
      </c>
      <c r="I321" s="172">
        <v>1490</v>
      </c>
      <c r="J321" s="131">
        <f t="shared" si="87"/>
        <v>7.7795738673149299E-4</v>
      </c>
      <c r="K321" s="131">
        <f t="shared" si="88"/>
        <v>1285.4174496644296</v>
      </c>
      <c r="L321" s="115">
        <f t="shared" si="89"/>
        <v>606.71703624161069</v>
      </c>
    </row>
    <row r="322" spans="1:20">
      <c r="A322" s="109" t="s">
        <v>54</v>
      </c>
      <c r="B322" s="124" t="s">
        <v>593</v>
      </c>
      <c r="C322" s="125">
        <v>2750</v>
      </c>
      <c r="D322" s="126" t="s">
        <v>267</v>
      </c>
      <c r="E322" s="127">
        <v>50000</v>
      </c>
      <c r="F322" s="128">
        <v>40464000000000</v>
      </c>
      <c r="G322" s="129">
        <f t="shared" si="85"/>
        <v>22709840</v>
      </c>
      <c r="H322" s="130">
        <f t="shared" si="86"/>
        <v>14900</v>
      </c>
      <c r="I322" s="172">
        <v>1490</v>
      </c>
      <c r="J322" s="131">
        <f t="shared" si="87"/>
        <v>6.5610325744258873E-4</v>
      </c>
      <c r="K322" s="131">
        <f t="shared" si="88"/>
        <v>1524.1503355704699</v>
      </c>
      <c r="L322" s="115">
        <f t="shared" si="89"/>
        <v>719.39895838926179</v>
      </c>
    </row>
    <row r="323" spans="1:20">
      <c r="A323" s="109" t="s">
        <v>54</v>
      </c>
      <c r="B323" s="124" t="s">
        <v>594</v>
      </c>
      <c r="C323" s="125">
        <v>3000</v>
      </c>
      <c r="D323" s="126" t="s">
        <v>267</v>
      </c>
      <c r="E323" s="127">
        <v>50000</v>
      </c>
      <c r="F323" s="128">
        <v>47357000000000</v>
      </c>
      <c r="G323" s="129">
        <f t="shared" si="85"/>
        <v>26569920</v>
      </c>
      <c r="H323" s="130">
        <f t="shared" si="86"/>
        <v>14900</v>
      </c>
      <c r="I323" s="172">
        <v>1490</v>
      </c>
      <c r="J323" s="131">
        <f t="shared" si="87"/>
        <v>5.6078452626127592E-4</v>
      </c>
      <c r="K323" s="131">
        <f t="shared" si="88"/>
        <v>1783.2161073825503</v>
      </c>
      <c r="L323" s="115">
        <f t="shared" si="89"/>
        <v>841.67800268456369</v>
      </c>
    </row>
    <row r="324" spans="1:20">
      <c r="A324" s="109" t="s">
        <v>54</v>
      </c>
      <c r="B324" s="124" t="s">
        <v>595</v>
      </c>
      <c r="C324" s="125">
        <v>3250</v>
      </c>
      <c r="D324" s="126" t="s">
        <v>267</v>
      </c>
      <c r="E324" s="127">
        <v>50000</v>
      </c>
      <c r="F324" s="128">
        <v>54792000000000</v>
      </c>
      <c r="G324" s="129">
        <f t="shared" si="85"/>
        <v>30733520.000000004</v>
      </c>
      <c r="H324" s="130">
        <f t="shared" si="86"/>
        <v>14900</v>
      </c>
      <c r="I324" s="172">
        <v>1490</v>
      </c>
      <c r="J324" s="131">
        <f t="shared" si="87"/>
        <v>4.8481267358896731E-4</v>
      </c>
      <c r="K324" s="131">
        <f t="shared" si="88"/>
        <v>2062.6523489932888</v>
      </c>
      <c r="L324" s="115">
        <f t="shared" si="89"/>
        <v>973.57190872483227</v>
      </c>
    </row>
    <row r="325" spans="1:20">
      <c r="A325" s="109" t="s">
        <v>54</v>
      </c>
      <c r="B325" s="124" t="s">
        <v>596</v>
      </c>
      <c r="C325" s="125">
        <v>3500</v>
      </c>
      <c r="D325" s="126" t="s">
        <v>267</v>
      </c>
      <c r="E325" s="127">
        <v>50000</v>
      </c>
      <c r="F325" s="128">
        <v>62769000000000</v>
      </c>
      <c r="G325" s="129">
        <f t="shared" si="85"/>
        <v>35200640</v>
      </c>
      <c r="H325" s="130">
        <f t="shared" si="86"/>
        <v>14900</v>
      </c>
      <c r="I325" s="172">
        <v>1490</v>
      </c>
      <c r="J325" s="131">
        <f t="shared" si="87"/>
        <v>4.2328775840439267E-4</v>
      </c>
      <c r="K325" s="131">
        <f t="shared" si="88"/>
        <v>2362.4590604026844</v>
      </c>
      <c r="L325" s="115">
        <f t="shared" si="89"/>
        <v>1115.080676510067</v>
      </c>
    </row>
    <row r="326" spans="1:20">
      <c r="A326" s="109" t="s">
        <v>54</v>
      </c>
      <c r="B326" s="124" t="s">
        <v>597</v>
      </c>
      <c r="C326" s="125">
        <v>3750</v>
      </c>
      <c r="D326" s="126" t="s">
        <v>267</v>
      </c>
      <c r="E326" s="127">
        <v>50000</v>
      </c>
      <c r="F326" s="128">
        <v>71288000000000</v>
      </c>
      <c r="G326" s="129">
        <f t="shared" si="85"/>
        <v>39971280</v>
      </c>
      <c r="H326" s="130">
        <f t="shared" si="86"/>
        <v>14900</v>
      </c>
      <c r="I326" s="172">
        <v>1490</v>
      </c>
      <c r="J326" s="131">
        <f t="shared" si="87"/>
        <v>3.7276764717066854E-4</v>
      </c>
      <c r="K326" s="131">
        <f t="shared" si="88"/>
        <v>2682.6362416107381</v>
      </c>
      <c r="L326" s="115">
        <f t="shared" si="89"/>
        <v>1266.2043060402684</v>
      </c>
    </row>
    <row r="327" spans="1:20">
      <c r="A327" s="109" t="s">
        <v>54</v>
      </c>
      <c r="B327" s="124" t="s">
        <v>598</v>
      </c>
      <c r="C327" s="125">
        <v>4000</v>
      </c>
      <c r="D327" s="126" t="s">
        <v>267</v>
      </c>
      <c r="E327" s="127">
        <v>50000</v>
      </c>
      <c r="F327" s="128">
        <v>80349000000000</v>
      </c>
      <c r="G327" s="129">
        <f t="shared" si="85"/>
        <v>45045440</v>
      </c>
      <c r="H327" s="130">
        <f t="shared" si="86"/>
        <v>14900</v>
      </c>
      <c r="I327" s="172">
        <v>1490</v>
      </c>
      <c r="J327" s="131">
        <f t="shared" si="87"/>
        <v>3.3077709974638941E-4</v>
      </c>
      <c r="K327" s="131">
        <f t="shared" si="88"/>
        <v>3023.1838926174496</v>
      </c>
      <c r="L327" s="115">
        <f t="shared" si="89"/>
        <v>1426.9427973154361</v>
      </c>
    </row>
    <row r="328" spans="1:20">
      <c r="A328" s="109" t="s">
        <v>54</v>
      </c>
      <c r="B328" s="124" t="s">
        <v>599</v>
      </c>
      <c r="C328" s="125">
        <v>4250</v>
      </c>
      <c r="D328" s="126" t="s">
        <v>267</v>
      </c>
      <c r="E328" s="127">
        <v>50000</v>
      </c>
      <c r="F328" s="128">
        <v>89951000000000</v>
      </c>
      <c r="G328" s="129">
        <f t="shared" si="85"/>
        <v>50422560</v>
      </c>
      <c r="H328" s="130">
        <f t="shared" si="86"/>
        <v>14900</v>
      </c>
      <c r="I328" s="172">
        <v>1490</v>
      </c>
      <c r="J328" s="131">
        <f t="shared" si="87"/>
        <v>2.9550264802104454E-4</v>
      </c>
      <c r="K328" s="131">
        <f t="shared" si="88"/>
        <v>3384.0644295302013</v>
      </c>
      <c r="L328" s="115">
        <f t="shared" si="89"/>
        <v>1597.2784107382549</v>
      </c>
    </row>
    <row r="329" spans="1:20">
      <c r="A329" s="109" t="s">
        <v>54</v>
      </c>
      <c r="B329" s="124" t="s">
        <v>600</v>
      </c>
      <c r="C329" s="125">
        <v>4500</v>
      </c>
      <c r="D329" s="126" t="s">
        <v>267</v>
      </c>
      <c r="E329" s="127">
        <v>50000</v>
      </c>
      <c r="F329" s="128">
        <v>100096000000000</v>
      </c>
      <c r="G329" s="129">
        <f t="shared" si="85"/>
        <v>56103760.000000007</v>
      </c>
      <c r="H329" s="130">
        <f t="shared" si="86"/>
        <v>14900</v>
      </c>
      <c r="I329" s="172">
        <v>1490</v>
      </c>
      <c r="J329" s="131">
        <f t="shared" si="87"/>
        <v>2.6557934797952931E-4</v>
      </c>
      <c r="K329" s="131">
        <f t="shared" si="88"/>
        <v>3765.3530201342287</v>
      </c>
      <c r="L329" s="115">
        <f t="shared" si="89"/>
        <v>1777.2466255033557</v>
      </c>
    </row>
    <row r="330" spans="1:20">
      <c r="A330" s="109" t="s">
        <v>54</v>
      </c>
      <c r="B330" s="124" t="s">
        <v>601</v>
      </c>
      <c r="C330" s="125">
        <v>4750</v>
      </c>
      <c r="D330" s="126" t="s">
        <v>267</v>
      </c>
      <c r="E330" s="127">
        <v>50000</v>
      </c>
      <c r="F330" s="128">
        <v>110782000000000</v>
      </c>
      <c r="G330" s="129">
        <f t="shared" si="85"/>
        <v>62087920.000000007</v>
      </c>
      <c r="H330" s="130">
        <f>I330*10</f>
        <v>14900</v>
      </c>
      <c r="I330" s="172">
        <v>1490</v>
      </c>
      <c r="J330" s="131">
        <f>H330/G330</f>
        <v>2.3998227030314428E-4</v>
      </c>
      <c r="K330" s="131">
        <f>G330/H330</f>
        <v>4166.9744966442959</v>
      </c>
      <c r="L330" s="115">
        <f>K330/K$2</f>
        <v>1966.8119624161075</v>
      </c>
    </row>
    <row r="332" spans="1:20">
      <c r="B332" s="123" t="s">
        <v>604</v>
      </c>
      <c r="C332" s="110"/>
      <c r="D332" s="109" t="s">
        <v>602</v>
      </c>
      <c r="E332" s="111"/>
      <c r="F332" s="112" t="s">
        <v>603</v>
      </c>
      <c r="G332" s="113"/>
      <c r="L332" s="115"/>
      <c r="N332" s="109" t="s">
        <v>827</v>
      </c>
      <c r="R332" s="109" t="s">
        <v>828</v>
      </c>
    </row>
    <row r="333" spans="1:20">
      <c r="A333" s="109" t="s">
        <v>54</v>
      </c>
      <c r="B333" s="124" t="s">
        <v>605</v>
      </c>
      <c r="C333" s="125">
        <v>1000</v>
      </c>
      <c r="D333" s="126" t="s">
        <v>229</v>
      </c>
      <c r="E333" s="127">
        <v>1000</v>
      </c>
      <c r="F333" s="128">
        <v>390</v>
      </c>
      <c r="G333" s="129">
        <f>E333+(F333*150)</f>
        <v>59500</v>
      </c>
      <c r="H333" s="130">
        <f>I333*10</f>
        <v>3300</v>
      </c>
      <c r="I333" s="172">
        <v>330</v>
      </c>
      <c r="J333" s="131">
        <f>H333/G333</f>
        <v>5.5462184873949577E-2</v>
      </c>
      <c r="K333" s="131">
        <f>G333/H333</f>
        <v>18.030303030303031</v>
      </c>
      <c r="L333" s="115">
        <f>K333/K$2</f>
        <v>8.5103030303030298</v>
      </c>
      <c r="M333" s="108"/>
      <c r="N333" s="125">
        <v>1000</v>
      </c>
      <c r="O333" s="128">
        <v>390</v>
      </c>
      <c r="P333" s="176">
        <f>N333+O333</f>
        <v>1390</v>
      </c>
      <c r="R333" s="125">
        <v>2000</v>
      </c>
      <c r="S333" s="128">
        <v>590</v>
      </c>
      <c r="T333" s="176">
        <f>R333+S333</f>
        <v>2590</v>
      </c>
    </row>
    <row r="334" spans="1:20">
      <c r="A334" s="109" t="s">
        <v>54</v>
      </c>
      <c r="B334" s="124" t="s">
        <v>606</v>
      </c>
      <c r="C334" s="125">
        <v>2000</v>
      </c>
      <c r="D334" s="126" t="s">
        <v>229</v>
      </c>
      <c r="E334" s="127">
        <v>1000</v>
      </c>
      <c r="F334" s="128">
        <v>390</v>
      </c>
      <c r="G334" s="129">
        <f t="shared" ref="G334:G361" si="90">E334+(F334*150)</f>
        <v>59500</v>
      </c>
      <c r="H334" s="130">
        <f t="shared" ref="H334:H361" si="91">I334*10</f>
        <v>3300</v>
      </c>
      <c r="I334" s="172">
        <v>330</v>
      </c>
      <c r="J334" s="131">
        <f t="shared" ref="J334:J361" si="92">H334/G334</f>
        <v>5.5462184873949577E-2</v>
      </c>
      <c r="K334" s="131">
        <f t="shared" ref="K334:K361" si="93">G334/H334</f>
        <v>18.030303030303031</v>
      </c>
      <c r="L334" s="115">
        <f t="shared" ref="L334:L361" si="94">K334/K$2</f>
        <v>8.5103030303030298</v>
      </c>
      <c r="M334" s="108"/>
      <c r="N334" s="125">
        <v>2000</v>
      </c>
      <c r="O334" s="128">
        <v>390</v>
      </c>
      <c r="P334" s="176">
        <f>N334+O334</f>
        <v>2390</v>
      </c>
      <c r="R334" s="125">
        <v>3000</v>
      </c>
      <c r="S334" s="128">
        <v>590</v>
      </c>
      <c r="T334" s="176">
        <f t="shared" ref="T334:T361" si="95">R334+S334</f>
        <v>3590</v>
      </c>
    </row>
    <row r="335" spans="1:20">
      <c r="A335" s="109" t="s">
        <v>54</v>
      </c>
      <c r="B335" s="124" t="s">
        <v>607</v>
      </c>
      <c r="C335" s="125">
        <v>3000</v>
      </c>
      <c r="D335" s="126" t="s">
        <v>229</v>
      </c>
      <c r="E335" s="127">
        <v>3000</v>
      </c>
      <c r="F335" s="128">
        <v>640</v>
      </c>
      <c r="G335" s="129">
        <f t="shared" si="90"/>
        <v>99000</v>
      </c>
      <c r="H335" s="130">
        <f t="shared" si="91"/>
        <v>5500</v>
      </c>
      <c r="I335" s="172">
        <v>550</v>
      </c>
      <c r="J335" s="131">
        <f t="shared" si="92"/>
        <v>5.5555555555555552E-2</v>
      </c>
      <c r="K335" s="131">
        <f t="shared" si="93"/>
        <v>18</v>
      </c>
      <c r="L335" s="115">
        <f t="shared" si="94"/>
        <v>8.4959999999999987</v>
      </c>
      <c r="M335" s="108"/>
      <c r="N335" s="125">
        <v>3000</v>
      </c>
      <c r="O335" s="128">
        <v>640</v>
      </c>
      <c r="P335" s="176">
        <f t="shared" ref="P335:P361" si="96">N335+O335</f>
        <v>3640</v>
      </c>
      <c r="R335" s="125">
        <v>4000</v>
      </c>
      <c r="S335" s="128">
        <v>960</v>
      </c>
      <c r="T335" s="176">
        <f t="shared" si="95"/>
        <v>4960</v>
      </c>
    </row>
    <row r="336" spans="1:20">
      <c r="A336" s="109" t="s">
        <v>54</v>
      </c>
      <c r="B336" s="124" t="s">
        <v>608</v>
      </c>
      <c r="C336" s="125">
        <v>5000</v>
      </c>
      <c r="D336" s="126" t="s">
        <v>229</v>
      </c>
      <c r="E336" s="127">
        <v>3000</v>
      </c>
      <c r="F336" s="128">
        <v>640</v>
      </c>
      <c r="G336" s="129">
        <f t="shared" si="90"/>
        <v>99000</v>
      </c>
      <c r="H336" s="130">
        <f t="shared" si="91"/>
        <v>5500</v>
      </c>
      <c r="I336" s="172">
        <v>550</v>
      </c>
      <c r="J336" s="131">
        <f t="shared" si="92"/>
        <v>5.5555555555555552E-2</v>
      </c>
      <c r="K336" s="131">
        <f t="shared" si="93"/>
        <v>18</v>
      </c>
      <c r="L336" s="115">
        <f t="shared" si="94"/>
        <v>8.4959999999999987</v>
      </c>
      <c r="M336" s="108"/>
      <c r="N336" s="125">
        <v>5000</v>
      </c>
      <c r="O336" s="128">
        <v>640</v>
      </c>
      <c r="P336" s="176">
        <f t="shared" si="96"/>
        <v>5640</v>
      </c>
      <c r="R336" s="125">
        <v>8000</v>
      </c>
      <c r="S336" s="128">
        <v>960</v>
      </c>
      <c r="T336" s="176">
        <f t="shared" si="95"/>
        <v>8960</v>
      </c>
    </row>
    <row r="337" spans="1:20">
      <c r="A337" s="109" t="s">
        <v>54</v>
      </c>
      <c r="B337" s="124" t="s">
        <v>609</v>
      </c>
      <c r="C337" s="125">
        <v>7000</v>
      </c>
      <c r="D337" s="126" t="s">
        <v>229</v>
      </c>
      <c r="E337" s="127">
        <v>5000</v>
      </c>
      <c r="F337" s="128">
        <v>1290</v>
      </c>
      <c r="G337" s="129">
        <f t="shared" si="90"/>
        <v>198500</v>
      </c>
      <c r="H337" s="130">
        <f t="shared" si="91"/>
        <v>11000</v>
      </c>
      <c r="I337" s="172">
        <v>1100</v>
      </c>
      <c r="J337" s="131">
        <f t="shared" si="92"/>
        <v>5.5415617128463476E-2</v>
      </c>
      <c r="K337" s="131">
        <f t="shared" si="93"/>
        <v>18.045454545454547</v>
      </c>
      <c r="L337" s="115">
        <f t="shared" si="94"/>
        <v>8.5174545454545463</v>
      </c>
      <c r="M337" s="108"/>
      <c r="N337" s="125">
        <v>7000</v>
      </c>
      <c r="O337" s="128">
        <v>1290</v>
      </c>
      <c r="P337" s="176">
        <f t="shared" si="96"/>
        <v>8290</v>
      </c>
      <c r="R337" s="125">
        <v>12000</v>
      </c>
      <c r="S337" s="128">
        <v>1950</v>
      </c>
      <c r="T337" s="176">
        <f t="shared" si="95"/>
        <v>13950</v>
      </c>
    </row>
    <row r="338" spans="1:20">
      <c r="A338" s="109" t="s">
        <v>54</v>
      </c>
      <c r="B338" s="124" t="s">
        <v>610</v>
      </c>
      <c r="C338" s="125">
        <v>10000</v>
      </c>
      <c r="D338" s="126" t="s">
        <v>229</v>
      </c>
      <c r="E338" s="127">
        <v>5000</v>
      </c>
      <c r="F338" s="128">
        <v>1290</v>
      </c>
      <c r="G338" s="129">
        <f t="shared" si="90"/>
        <v>198500</v>
      </c>
      <c r="H338" s="130">
        <f t="shared" si="91"/>
        <v>11000</v>
      </c>
      <c r="I338" s="172">
        <v>1100</v>
      </c>
      <c r="J338" s="131">
        <f t="shared" si="92"/>
        <v>5.5415617128463476E-2</v>
      </c>
      <c r="K338" s="131">
        <f t="shared" si="93"/>
        <v>18.045454545454547</v>
      </c>
      <c r="L338" s="115">
        <f t="shared" si="94"/>
        <v>8.5174545454545463</v>
      </c>
      <c r="M338" s="108"/>
      <c r="N338" s="125">
        <v>10000</v>
      </c>
      <c r="O338" s="128">
        <v>1290</v>
      </c>
      <c r="P338" s="176">
        <f t="shared" si="96"/>
        <v>11290</v>
      </c>
      <c r="R338" s="125">
        <v>17000</v>
      </c>
      <c r="S338" s="128">
        <v>1950</v>
      </c>
      <c r="T338" s="176">
        <f t="shared" si="95"/>
        <v>18950</v>
      </c>
    </row>
    <row r="339" spans="1:20">
      <c r="A339" s="109" t="s">
        <v>54</v>
      </c>
      <c r="B339" s="124" t="s">
        <v>611</v>
      </c>
      <c r="C339" s="125">
        <v>13000</v>
      </c>
      <c r="D339" s="126" t="s">
        <v>229</v>
      </c>
      <c r="E339" s="127">
        <v>10000</v>
      </c>
      <c r="F339" s="128">
        <v>3900</v>
      </c>
      <c r="G339" s="129">
        <f t="shared" si="90"/>
        <v>595000</v>
      </c>
      <c r="H339" s="130">
        <f t="shared" si="91"/>
        <v>33000</v>
      </c>
      <c r="I339" s="172">
        <v>3300</v>
      </c>
      <c r="J339" s="131">
        <f t="shared" si="92"/>
        <v>5.5462184873949577E-2</v>
      </c>
      <c r="K339" s="131">
        <f t="shared" si="93"/>
        <v>18.030303030303031</v>
      </c>
      <c r="L339" s="115">
        <f t="shared" si="94"/>
        <v>8.5103030303030298</v>
      </c>
      <c r="M339" s="108"/>
      <c r="N339" s="125">
        <v>13000</v>
      </c>
      <c r="O339" s="128">
        <v>3900</v>
      </c>
      <c r="P339" s="176">
        <f t="shared" si="96"/>
        <v>16900</v>
      </c>
      <c r="R339" s="125">
        <v>22000</v>
      </c>
      <c r="S339" s="128">
        <v>5900</v>
      </c>
      <c r="T339" s="176">
        <f t="shared" si="95"/>
        <v>27900</v>
      </c>
    </row>
    <row r="340" spans="1:20">
      <c r="A340" s="109" t="s">
        <v>54</v>
      </c>
      <c r="B340" s="124" t="s">
        <v>612</v>
      </c>
      <c r="C340" s="125">
        <v>19000</v>
      </c>
      <c r="D340" s="126" t="s">
        <v>229</v>
      </c>
      <c r="E340" s="127">
        <v>10000</v>
      </c>
      <c r="F340" s="128">
        <v>3900</v>
      </c>
      <c r="G340" s="129">
        <f t="shared" si="90"/>
        <v>595000</v>
      </c>
      <c r="H340" s="130">
        <f t="shared" si="91"/>
        <v>33000</v>
      </c>
      <c r="I340" s="172">
        <v>3300</v>
      </c>
      <c r="J340" s="131">
        <f t="shared" si="92"/>
        <v>5.5462184873949577E-2</v>
      </c>
      <c r="K340" s="131">
        <f t="shared" si="93"/>
        <v>18.030303030303031</v>
      </c>
      <c r="L340" s="115">
        <f t="shared" si="94"/>
        <v>8.5103030303030298</v>
      </c>
      <c r="M340" s="108"/>
      <c r="N340" s="125">
        <v>19000</v>
      </c>
      <c r="O340" s="128">
        <v>3900</v>
      </c>
      <c r="P340" s="176">
        <f t="shared" si="96"/>
        <v>22900</v>
      </c>
      <c r="R340" s="125">
        <v>31000</v>
      </c>
      <c r="S340" s="128">
        <v>5900</v>
      </c>
      <c r="T340" s="176">
        <f t="shared" si="95"/>
        <v>36900</v>
      </c>
    </row>
    <row r="341" spans="1:20">
      <c r="A341" s="109" t="s">
        <v>54</v>
      </c>
      <c r="B341" s="124" t="s">
        <v>613</v>
      </c>
      <c r="C341" s="125">
        <v>25000</v>
      </c>
      <c r="D341" s="126" t="s">
        <v>229</v>
      </c>
      <c r="E341" s="127">
        <v>10000</v>
      </c>
      <c r="F341" s="128">
        <v>3900</v>
      </c>
      <c r="G341" s="129">
        <f t="shared" si="90"/>
        <v>595000</v>
      </c>
      <c r="H341" s="130">
        <f t="shared" si="91"/>
        <v>33000</v>
      </c>
      <c r="I341" s="172">
        <v>3300</v>
      </c>
      <c r="J341" s="131">
        <f t="shared" si="92"/>
        <v>5.5462184873949577E-2</v>
      </c>
      <c r="K341" s="131">
        <f t="shared" si="93"/>
        <v>18.030303030303031</v>
      </c>
      <c r="L341" s="115">
        <f t="shared" si="94"/>
        <v>8.5103030303030298</v>
      </c>
      <c r="M341" s="108"/>
      <c r="N341" s="125">
        <v>25000</v>
      </c>
      <c r="O341" s="128">
        <v>3900</v>
      </c>
      <c r="P341" s="176">
        <f t="shared" si="96"/>
        <v>28900</v>
      </c>
      <c r="R341" s="125">
        <v>40000</v>
      </c>
      <c r="S341" s="128">
        <v>5900</v>
      </c>
      <c r="T341" s="176">
        <f t="shared" si="95"/>
        <v>45900</v>
      </c>
    </row>
    <row r="342" spans="1:20">
      <c r="A342" s="109" t="s">
        <v>54</v>
      </c>
      <c r="B342" s="124" t="s">
        <v>614</v>
      </c>
      <c r="C342" s="125">
        <v>31000</v>
      </c>
      <c r="D342" s="126" t="s">
        <v>229</v>
      </c>
      <c r="E342" s="127">
        <v>10000</v>
      </c>
      <c r="F342" s="128">
        <v>3900</v>
      </c>
      <c r="G342" s="129">
        <f t="shared" si="90"/>
        <v>595000</v>
      </c>
      <c r="H342" s="130">
        <f t="shared" si="91"/>
        <v>33000</v>
      </c>
      <c r="I342" s="172">
        <v>3300</v>
      </c>
      <c r="J342" s="131">
        <f t="shared" si="92"/>
        <v>5.5462184873949577E-2</v>
      </c>
      <c r="K342" s="131">
        <f t="shared" si="93"/>
        <v>18.030303030303031</v>
      </c>
      <c r="L342" s="115">
        <f t="shared" si="94"/>
        <v>8.5103030303030298</v>
      </c>
      <c r="M342" s="108"/>
      <c r="N342" s="125">
        <v>31000</v>
      </c>
      <c r="O342" s="128">
        <v>3900</v>
      </c>
      <c r="P342" s="176">
        <f t="shared" si="96"/>
        <v>34900</v>
      </c>
      <c r="R342" s="125">
        <v>49000</v>
      </c>
      <c r="S342" s="128">
        <v>5900</v>
      </c>
      <c r="T342" s="176">
        <f t="shared" si="95"/>
        <v>54900</v>
      </c>
    </row>
    <row r="343" spans="1:20">
      <c r="A343" s="109" t="s">
        <v>54</v>
      </c>
      <c r="B343" s="124" t="s">
        <v>615</v>
      </c>
      <c r="C343" s="125">
        <v>37000</v>
      </c>
      <c r="D343" s="126" t="s">
        <v>229</v>
      </c>
      <c r="E343" s="127">
        <v>10000</v>
      </c>
      <c r="F343" s="128">
        <v>3900</v>
      </c>
      <c r="G343" s="129">
        <f t="shared" si="90"/>
        <v>595000</v>
      </c>
      <c r="H343" s="130">
        <f t="shared" si="91"/>
        <v>33000</v>
      </c>
      <c r="I343" s="172">
        <v>3300</v>
      </c>
      <c r="J343" s="131">
        <f t="shared" si="92"/>
        <v>5.5462184873949577E-2</v>
      </c>
      <c r="K343" s="131">
        <f t="shared" si="93"/>
        <v>18.030303030303031</v>
      </c>
      <c r="L343" s="115">
        <f t="shared" si="94"/>
        <v>8.5103030303030298</v>
      </c>
      <c r="M343" s="108"/>
      <c r="N343" s="125">
        <v>37000</v>
      </c>
      <c r="O343" s="128">
        <v>3900</v>
      </c>
      <c r="P343" s="176">
        <f t="shared" si="96"/>
        <v>40900</v>
      </c>
      <c r="R343" s="125">
        <v>58000</v>
      </c>
      <c r="S343" s="128">
        <v>5900</v>
      </c>
      <c r="T343" s="176">
        <f t="shared" si="95"/>
        <v>63900</v>
      </c>
    </row>
    <row r="344" spans="1:20">
      <c r="A344" s="109" t="s">
        <v>54</v>
      </c>
      <c r="B344" s="124" t="s">
        <v>616</v>
      </c>
      <c r="C344" s="125">
        <v>43000</v>
      </c>
      <c r="D344" s="126" t="s">
        <v>229</v>
      </c>
      <c r="E344" s="127">
        <v>10000</v>
      </c>
      <c r="F344" s="128">
        <v>3900</v>
      </c>
      <c r="G344" s="129">
        <f t="shared" si="90"/>
        <v>595000</v>
      </c>
      <c r="H344" s="130">
        <f t="shared" si="91"/>
        <v>33000</v>
      </c>
      <c r="I344" s="172">
        <v>3300</v>
      </c>
      <c r="J344" s="131">
        <f t="shared" si="92"/>
        <v>5.5462184873949577E-2</v>
      </c>
      <c r="K344" s="131">
        <f t="shared" si="93"/>
        <v>18.030303030303031</v>
      </c>
      <c r="L344" s="115">
        <f t="shared" si="94"/>
        <v>8.5103030303030298</v>
      </c>
      <c r="M344" s="108"/>
      <c r="N344" s="125">
        <v>43000</v>
      </c>
      <c r="O344" s="128">
        <v>3900</v>
      </c>
      <c r="P344" s="176">
        <f t="shared" si="96"/>
        <v>46900</v>
      </c>
      <c r="R344" s="125">
        <v>67000</v>
      </c>
      <c r="S344" s="128">
        <v>5900</v>
      </c>
      <c r="T344" s="176">
        <f t="shared" si="95"/>
        <v>72900</v>
      </c>
    </row>
    <row r="345" spans="1:20">
      <c r="A345" s="109" t="s">
        <v>54</v>
      </c>
      <c r="B345" s="124" t="s">
        <v>617</v>
      </c>
      <c r="C345" s="125">
        <v>49000</v>
      </c>
      <c r="D345" s="126" t="s">
        <v>229</v>
      </c>
      <c r="E345" s="127">
        <v>10000</v>
      </c>
      <c r="F345" s="128">
        <v>3900</v>
      </c>
      <c r="G345" s="129">
        <f t="shared" si="90"/>
        <v>595000</v>
      </c>
      <c r="H345" s="130">
        <f t="shared" si="91"/>
        <v>33000</v>
      </c>
      <c r="I345" s="172">
        <v>3300</v>
      </c>
      <c r="J345" s="131">
        <f t="shared" si="92"/>
        <v>5.5462184873949577E-2</v>
      </c>
      <c r="K345" s="131">
        <f t="shared" si="93"/>
        <v>18.030303030303031</v>
      </c>
      <c r="L345" s="115">
        <f t="shared" si="94"/>
        <v>8.5103030303030298</v>
      </c>
      <c r="M345" s="108"/>
      <c r="N345" s="125">
        <v>49000</v>
      </c>
      <c r="O345" s="128">
        <v>3900</v>
      </c>
      <c r="P345" s="176">
        <f t="shared" si="96"/>
        <v>52900</v>
      </c>
      <c r="R345" s="125">
        <v>76000</v>
      </c>
      <c r="S345" s="128">
        <v>5900</v>
      </c>
      <c r="T345" s="176">
        <f t="shared" si="95"/>
        <v>81900</v>
      </c>
    </row>
    <row r="346" spans="1:20">
      <c r="A346" s="109" t="s">
        <v>54</v>
      </c>
      <c r="B346" s="124" t="s">
        <v>618</v>
      </c>
      <c r="C346" s="125">
        <v>55000</v>
      </c>
      <c r="D346" s="126" t="s">
        <v>229</v>
      </c>
      <c r="E346" s="127">
        <v>10000</v>
      </c>
      <c r="F346" s="128">
        <v>3900</v>
      </c>
      <c r="G346" s="129">
        <f t="shared" si="90"/>
        <v>595000</v>
      </c>
      <c r="H346" s="130">
        <f t="shared" si="91"/>
        <v>33000</v>
      </c>
      <c r="I346" s="172">
        <v>3300</v>
      </c>
      <c r="J346" s="131">
        <f t="shared" si="92"/>
        <v>5.5462184873949577E-2</v>
      </c>
      <c r="K346" s="131">
        <f t="shared" si="93"/>
        <v>18.030303030303031</v>
      </c>
      <c r="L346" s="115">
        <f t="shared" si="94"/>
        <v>8.5103030303030298</v>
      </c>
      <c r="M346" s="108"/>
      <c r="N346" s="125">
        <v>55000</v>
      </c>
      <c r="O346" s="128">
        <v>3900</v>
      </c>
      <c r="P346" s="176">
        <f t="shared" si="96"/>
        <v>58900</v>
      </c>
      <c r="R346" s="125">
        <v>85000</v>
      </c>
      <c r="S346" s="128">
        <v>5900</v>
      </c>
      <c r="T346" s="176">
        <f t="shared" si="95"/>
        <v>90900</v>
      </c>
    </row>
    <row r="347" spans="1:20">
      <c r="A347" s="109" t="s">
        <v>54</v>
      </c>
      <c r="B347" s="124" t="s">
        <v>619</v>
      </c>
      <c r="C347" s="125">
        <v>61000</v>
      </c>
      <c r="D347" s="126" t="s">
        <v>229</v>
      </c>
      <c r="E347" s="127">
        <v>10000</v>
      </c>
      <c r="F347" s="128">
        <v>3900</v>
      </c>
      <c r="G347" s="129">
        <f t="shared" si="90"/>
        <v>595000</v>
      </c>
      <c r="H347" s="130">
        <f t="shared" si="91"/>
        <v>33000</v>
      </c>
      <c r="I347" s="172">
        <v>3300</v>
      </c>
      <c r="J347" s="131">
        <f t="shared" si="92"/>
        <v>5.5462184873949577E-2</v>
      </c>
      <c r="K347" s="131">
        <f t="shared" si="93"/>
        <v>18.030303030303031</v>
      </c>
      <c r="L347" s="115">
        <f t="shared" si="94"/>
        <v>8.5103030303030298</v>
      </c>
      <c r="M347" s="108"/>
      <c r="N347" s="125">
        <v>61000</v>
      </c>
      <c r="O347" s="128">
        <v>3900</v>
      </c>
      <c r="P347" s="176">
        <f t="shared" si="96"/>
        <v>64900</v>
      </c>
      <c r="R347" s="125">
        <v>94000</v>
      </c>
      <c r="S347" s="128">
        <v>5900</v>
      </c>
      <c r="T347" s="176">
        <f t="shared" si="95"/>
        <v>99900</v>
      </c>
    </row>
    <row r="348" spans="1:20">
      <c r="A348" s="109" t="s">
        <v>54</v>
      </c>
      <c r="B348" s="124" t="s">
        <v>620</v>
      </c>
      <c r="C348" s="125">
        <v>67000</v>
      </c>
      <c r="D348" s="126" t="s">
        <v>229</v>
      </c>
      <c r="E348" s="127">
        <v>10000</v>
      </c>
      <c r="F348" s="128">
        <v>3900</v>
      </c>
      <c r="G348" s="129">
        <f t="shared" si="90"/>
        <v>595000</v>
      </c>
      <c r="H348" s="130">
        <f t="shared" si="91"/>
        <v>33000</v>
      </c>
      <c r="I348" s="172">
        <v>3300</v>
      </c>
      <c r="J348" s="131">
        <f t="shared" si="92"/>
        <v>5.5462184873949577E-2</v>
      </c>
      <c r="K348" s="131">
        <f t="shared" si="93"/>
        <v>18.030303030303031</v>
      </c>
      <c r="L348" s="115">
        <f t="shared" si="94"/>
        <v>8.5103030303030298</v>
      </c>
      <c r="M348" s="108"/>
      <c r="N348" s="125">
        <v>67000</v>
      </c>
      <c r="O348" s="128">
        <v>3900</v>
      </c>
      <c r="P348" s="176">
        <f t="shared" si="96"/>
        <v>70900</v>
      </c>
      <c r="R348" s="125">
        <v>103000</v>
      </c>
      <c r="S348" s="128">
        <v>5900</v>
      </c>
      <c r="T348" s="176">
        <f t="shared" si="95"/>
        <v>108900</v>
      </c>
    </row>
    <row r="349" spans="1:20">
      <c r="A349" s="109" t="s">
        <v>54</v>
      </c>
      <c r="B349" s="124" t="s">
        <v>621</v>
      </c>
      <c r="C349" s="125">
        <v>73000</v>
      </c>
      <c r="D349" s="126" t="s">
        <v>229</v>
      </c>
      <c r="E349" s="127">
        <v>10000</v>
      </c>
      <c r="F349" s="128">
        <v>3900</v>
      </c>
      <c r="G349" s="129">
        <f t="shared" si="90"/>
        <v>595000</v>
      </c>
      <c r="H349" s="130">
        <f t="shared" si="91"/>
        <v>33000</v>
      </c>
      <c r="I349" s="172">
        <v>3300</v>
      </c>
      <c r="J349" s="131">
        <f t="shared" si="92"/>
        <v>5.5462184873949577E-2</v>
      </c>
      <c r="K349" s="131">
        <f t="shared" si="93"/>
        <v>18.030303030303031</v>
      </c>
      <c r="L349" s="115">
        <f t="shared" si="94"/>
        <v>8.5103030303030298</v>
      </c>
      <c r="M349" s="108"/>
      <c r="N349" s="125">
        <v>73000</v>
      </c>
      <c r="O349" s="128">
        <v>3900</v>
      </c>
      <c r="P349" s="176">
        <f t="shared" si="96"/>
        <v>76900</v>
      </c>
      <c r="R349" s="125">
        <v>112000</v>
      </c>
      <c r="S349" s="128">
        <v>5900</v>
      </c>
      <c r="T349" s="176">
        <f t="shared" si="95"/>
        <v>117900</v>
      </c>
    </row>
    <row r="350" spans="1:20">
      <c r="A350" s="109" t="s">
        <v>54</v>
      </c>
      <c r="B350" s="124" t="s">
        <v>622</v>
      </c>
      <c r="C350" s="125">
        <v>79000</v>
      </c>
      <c r="D350" s="126" t="s">
        <v>229</v>
      </c>
      <c r="E350" s="127">
        <v>10000</v>
      </c>
      <c r="F350" s="128">
        <v>3900</v>
      </c>
      <c r="G350" s="129">
        <f t="shared" si="90"/>
        <v>595000</v>
      </c>
      <c r="H350" s="130">
        <f t="shared" si="91"/>
        <v>33000</v>
      </c>
      <c r="I350" s="172">
        <v>3300</v>
      </c>
      <c r="J350" s="131">
        <f t="shared" si="92"/>
        <v>5.5462184873949577E-2</v>
      </c>
      <c r="K350" s="131">
        <f t="shared" si="93"/>
        <v>18.030303030303031</v>
      </c>
      <c r="L350" s="115">
        <f t="shared" si="94"/>
        <v>8.5103030303030298</v>
      </c>
      <c r="M350" s="108"/>
      <c r="N350" s="125">
        <v>79000</v>
      </c>
      <c r="O350" s="128">
        <v>3900</v>
      </c>
      <c r="P350" s="176">
        <f t="shared" si="96"/>
        <v>82900</v>
      </c>
      <c r="R350" s="125">
        <v>121000</v>
      </c>
      <c r="S350" s="128">
        <v>5900</v>
      </c>
      <c r="T350" s="176">
        <f t="shared" si="95"/>
        <v>126900</v>
      </c>
    </row>
    <row r="351" spans="1:20">
      <c r="A351" s="109" t="s">
        <v>54</v>
      </c>
      <c r="B351" s="124" t="s">
        <v>623</v>
      </c>
      <c r="C351" s="125">
        <v>85000</v>
      </c>
      <c r="D351" s="126" t="s">
        <v>229</v>
      </c>
      <c r="E351" s="127">
        <v>10000</v>
      </c>
      <c r="F351" s="128">
        <v>3900</v>
      </c>
      <c r="G351" s="129">
        <f t="shared" si="90"/>
        <v>595000</v>
      </c>
      <c r="H351" s="130">
        <f t="shared" si="91"/>
        <v>33000</v>
      </c>
      <c r="I351" s="172">
        <v>3300</v>
      </c>
      <c r="J351" s="131">
        <f t="shared" si="92"/>
        <v>5.5462184873949577E-2</v>
      </c>
      <c r="K351" s="131">
        <f t="shared" si="93"/>
        <v>18.030303030303031</v>
      </c>
      <c r="L351" s="115">
        <f t="shared" si="94"/>
        <v>8.5103030303030298</v>
      </c>
      <c r="M351" s="108"/>
      <c r="N351" s="125">
        <v>85000</v>
      </c>
      <c r="O351" s="128">
        <v>3900</v>
      </c>
      <c r="P351" s="176">
        <f t="shared" si="96"/>
        <v>88900</v>
      </c>
      <c r="R351" s="125">
        <v>130000</v>
      </c>
      <c r="S351" s="128">
        <v>5900</v>
      </c>
      <c r="T351" s="176">
        <f t="shared" si="95"/>
        <v>135900</v>
      </c>
    </row>
    <row r="352" spans="1:20">
      <c r="A352" s="109" t="s">
        <v>54</v>
      </c>
      <c r="B352" s="124" t="s">
        <v>624</v>
      </c>
      <c r="C352" s="125">
        <v>91000</v>
      </c>
      <c r="D352" s="126" t="s">
        <v>229</v>
      </c>
      <c r="E352" s="127">
        <v>10000</v>
      </c>
      <c r="F352" s="128">
        <v>3900</v>
      </c>
      <c r="G352" s="129">
        <f t="shared" si="90"/>
        <v>595000</v>
      </c>
      <c r="H352" s="130">
        <f t="shared" si="91"/>
        <v>33000</v>
      </c>
      <c r="I352" s="172">
        <v>3300</v>
      </c>
      <c r="J352" s="131">
        <f t="shared" si="92"/>
        <v>5.5462184873949577E-2</v>
      </c>
      <c r="K352" s="131">
        <f t="shared" si="93"/>
        <v>18.030303030303031</v>
      </c>
      <c r="L352" s="115">
        <f t="shared" si="94"/>
        <v>8.5103030303030298</v>
      </c>
      <c r="M352" s="108"/>
      <c r="N352" s="125">
        <v>91000</v>
      </c>
      <c r="O352" s="128">
        <v>3900</v>
      </c>
      <c r="P352" s="176">
        <f t="shared" si="96"/>
        <v>94900</v>
      </c>
      <c r="R352" s="125">
        <v>139000</v>
      </c>
      <c r="S352" s="128">
        <v>5900</v>
      </c>
      <c r="T352" s="176">
        <f t="shared" si="95"/>
        <v>144900</v>
      </c>
    </row>
    <row r="353" spans="1:20">
      <c r="A353" s="109" t="s">
        <v>54</v>
      </c>
      <c r="B353" s="124" t="s">
        <v>625</v>
      </c>
      <c r="C353" s="125">
        <v>97000</v>
      </c>
      <c r="D353" s="126" t="s">
        <v>229</v>
      </c>
      <c r="E353" s="127">
        <v>10000</v>
      </c>
      <c r="F353" s="128">
        <v>3900</v>
      </c>
      <c r="G353" s="129">
        <f t="shared" si="90"/>
        <v>595000</v>
      </c>
      <c r="H353" s="130">
        <f t="shared" si="91"/>
        <v>33000</v>
      </c>
      <c r="I353" s="172">
        <v>3300</v>
      </c>
      <c r="J353" s="131">
        <f t="shared" si="92"/>
        <v>5.5462184873949577E-2</v>
      </c>
      <c r="K353" s="131">
        <f t="shared" si="93"/>
        <v>18.030303030303031</v>
      </c>
      <c r="L353" s="115">
        <f t="shared" si="94"/>
        <v>8.5103030303030298</v>
      </c>
      <c r="M353" s="108"/>
      <c r="N353" s="125">
        <v>97000</v>
      </c>
      <c r="O353" s="128">
        <v>3900</v>
      </c>
      <c r="P353" s="176">
        <f t="shared" si="96"/>
        <v>100900</v>
      </c>
      <c r="R353" s="125">
        <v>148000</v>
      </c>
      <c r="S353" s="128">
        <v>5900</v>
      </c>
      <c r="T353" s="176">
        <f t="shared" si="95"/>
        <v>153900</v>
      </c>
    </row>
    <row r="354" spans="1:20">
      <c r="A354" s="109" t="s">
        <v>54</v>
      </c>
      <c r="B354" s="124" t="s">
        <v>626</v>
      </c>
      <c r="C354" s="125">
        <v>103000</v>
      </c>
      <c r="D354" s="126" t="s">
        <v>229</v>
      </c>
      <c r="E354" s="127">
        <v>10000</v>
      </c>
      <c r="F354" s="128">
        <v>3900</v>
      </c>
      <c r="G354" s="129">
        <f t="shared" si="90"/>
        <v>595000</v>
      </c>
      <c r="H354" s="130">
        <f t="shared" si="91"/>
        <v>33000</v>
      </c>
      <c r="I354" s="172">
        <v>3300</v>
      </c>
      <c r="J354" s="131">
        <f t="shared" si="92"/>
        <v>5.5462184873949577E-2</v>
      </c>
      <c r="K354" s="131">
        <f t="shared" si="93"/>
        <v>18.030303030303031</v>
      </c>
      <c r="L354" s="115">
        <f t="shared" si="94"/>
        <v>8.5103030303030298</v>
      </c>
      <c r="M354" s="108"/>
      <c r="N354" s="125">
        <v>103000</v>
      </c>
      <c r="O354" s="128">
        <v>3900</v>
      </c>
      <c r="P354" s="176">
        <f t="shared" si="96"/>
        <v>106900</v>
      </c>
      <c r="R354" s="125">
        <v>157000</v>
      </c>
      <c r="S354" s="128">
        <v>5900</v>
      </c>
      <c r="T354" s="176">
        <f t="shared" si="95"/>
        <v>162900</v>
      </c>
    </row>
    <row r="355" spans="1:20">
      <c r="A355" s="109" t="s">
        <v>54</v>
      </c>
      <c r="B355" s="124" t="s">
        <v>627</v>
      </c>
      <c r="C355" s="125">
        <v>109000</v>
      </c>
      <c r="D355" s="126" t="s">
        <v>229</v>
      </c>
      <c r="E355" s="127">
        <v>10000</v>
      </c>
      <c r="F355" s="128">
        <v>3900</v>
      </c>
      <c r="G355" s="129">
        <f t="shared" si="90"/>
        <v>595000</v>
      </c>
      <c r="H355" s="130">
        <f t="shared" si="91"/>
        <v>33000</v>
      </c>
      <c r="I355" s="172">
        <v>3300</v>
      </c>
      <c r="J355" s="131">
        <f t="shared" si="92"/>
        <v>5.5462184873949577E-2</v>
      </c>
      <c r="K355" s="131">
        <f t="shared" si="93"/>
        <v>18.030303030303031</v>
      </c>
      <c r="L355" s="115">
        <f t="shared" si="94"/>
        <v>8.5103030303030298</v>
      </c>
      <c r="M355" s="108"/>
      <c r="N355" s="125">
        <v>109000</v>
      </c>
      <c r="O355" s="128">
        <v>3900</v>
      </c>
      <c r="P355" s="176">
        <f t="shared" si="96"/>
        <v>112900</v>
      </c>
      <c r="R355" s="125">
        <v>166000</v>
      </c>
      <c r="S355" s="128">
        <v>5900</v>
      </c>
      <c r="T355" s="176">
        <f t="shared" si="95"/>
        <v>171900</v>
      </c>
    </row>
    <row r="356" spans="1:20">
      <c r="A356" s="109" t="s">
        <v>54</v>
      </c>
      <c r="B356" s="124" t="s">
        <v>628</v>
      </c>
      <c r="C356" s="125">
        <v>115000</v>
      </c>
      <c r="D356" s="126" t="s">
        <v>229</v>
      </c>
      <c r="E356" s="127">
        <v>10000</v>
      </c>
      <c r="F356" s="128">
        <v>3900</v>
      </c>
      <c r="G356" s="129">
        <f t="shared" si="90"/>
        <v>595000</v>
      </c>
      <c r="H356" s="130">
        <f t="shared" si="91"/>
        <v>33000</v>
      </c>
      <c r="I356" s="172">
        <v>3300</v>
      </c>
      <c r="J356" s="131">
        <f t="shared" si="92"/>
        <v>5.5462184873949577E-2</v>
      </c>
      <c r="K356" s="131">
        <f t="shared" si="93"/>
        <v>18.030303030303031</v>
      </c>
      <c r="L356" s="115">
        <f t="shared" si="94"/>
        <v>8.5103030303030298</v>
      </c>
      <c r="M356" s="108"/>
      <c r="N356" s="125">
        <v>115000</v>
      </c>
      <c r="O356" s="128">
        <v>3900</v>
      </c>
      <c r="P356" s="176">
        <f t="shared" si="96"/>
        <v>118900</v>
      </c>
      <c r="R356" s="125">
        <v>175000</v>
      </c>
      <c r="S356" s="128">
        <v>5900</v>
      </c>
      <c r="T356" s="176">
        <f t="shared" si="95"/>
        <v>180900</v>
      </c>
    </row>
    <row r="357" spans="1:20">
      <c r="A357" s="109" t="s">
        <v>54</v>
      </c>
      <c r="B357" s="124" t="s">
        <v>629</v>
      </c>
      <c r="C357" s="125">
        <v>121000</v>
      </c>
      <c r="D357" s="126" t="s">
        <v>229</v>
      </c>
      <c r="E357" s="127">
        <v>10000</v>
      </c>
      <c r="F357" s="128">
        <v>3900</v>
      </c>
      <c r="G357" s="129">
        <f t="shared" si="90"/>
        <v>595000</v>
      </c>
      <c r="H357" s="130">
        <f t="shared" si="91"/>
        <v>33000</v>
      </c>
      <c r="I357" s="172">
        <v>3300</v>
      </c>
      <c r="J357" s="131">
        <f t="shared" si="92"/>
        <v>5.5462184873949577E-2</v>
      </c>
      <c r="K357" s="131">
        <f t="shared" si="93"/>
        <v>18.030303030303031</v>
      </c>
      <c r="L357" s="115">
        <f t="shared" si="94"/>
        <v>8.5103030303030298</v>
      </c>
      <c r="M357" s="108"/>
      <c r="N357" s="125">
        <v>121000</v>
      </c>
      <c r="O357" s="128">
        <v>3900</v>
      </c>
      <c r="P357" s="176">
        <f t="shared" si="96"/>
        <v>124900</v>
      </c>
      <c r="R357" s="125">
        <v>184000</v>
      </c>
      <c r="S357" s="128">
        <v>5900</v>
      </c>
      <c r="T357" s="176">
        <f t="shared" si="95"/>
        <v>189900</v>
      </c>
    </row>
    <row r="358" spans="1:20">
      <c r="A358" s="109" t="s">
        <v>54</v>
      </c>
      <c r="B358" s="124" t="s">
        <v>630</v>
      </c>
      <c r="C358" s="125">
        <v>127000</v>
      </c>
      <c r="D358" s="126" t="s">
        <v>229</v>
      </c>
      <c r="E358" s="127">
        <v>10000</v>
      </c>
      <c r="F358" s="128">
        <v>3900</v>
      </c>
      <c r="G358" s="129">
        <f t="shared" si="90"/>
        <v>595000</v>
      </c>
      <c r="H358" s="130">
        <f t="shared" si="91"/>
        <v>33000</v>
      </c>
      <c r="I358" s="172">
        <v>3300</v>
      </c>
      <c r="J358" s="131">
        <f t="shared" si="92"/>
        <v>5.5462184873949577E-2</v>
      </c>
      <c r="K358" s="131">
        <f t="shared" si="93"/>
        <v>18.030303030303031</v>
      </c>
      <c r="L358" s="115">
        <f t="shared" si="94"/>
        <v>8.5103030303030298</v>
      </c>
      <c r="M358" s="108"/>
      <c r="N358" s="125">
        <v>127000</v>
      </c>
      <c r="O358" s="128">
        <v>3900</v>
      </c>
      <c r="P358" s="176">
        <f t="shared" si="96"/>
        <v>130900</v>
      </c>
      <c r="R358" s="125">
        <v>193000</v>
      </c>
      <c r="S358" s="128">
        <v>5900</v>
      </c>
      <c r="T358" s="176">
        <f t="shared" si="95"/>
        <v>198900</v>
      </c>
    </row>
    <row r="359" spans="1:20">
      <c r="A359" s="109" t="s">
        <v>54</v>
      </c>
      <c r="B359" s="124" t="s">
        <v>631</v>
      </c>
      <c r="C359" s="125">
        <v>133000</v>
      </c>
      <c r="D359" s="126" t="s">
        <v>229</v>
      </c>
      <c r="E359" s="127">
        <v>10000</v>
      </c>
      <c r="F359" s="128">
        <v>3900</v>
      </c>
      <c r="G359" s="129">
        <f t="shared" si="90"/>
        <v>595000</v>
      </c>
      <c r="H359" s="130">
        <f t="shared" si="91"/>
        <v>33000</v>
      </c>
      <c r="I359" s="172">
        <v>3300</v>
      </c>
      <c r="J359" s="131">
        <f t="shared" si="92"/>
        <v>5.5462184873949577E-2</v>
      </c>
      <c r="K359" s="131">
        <f t="shared" si="93"/>
        <v>18.030303030303031</v>
      </c>
      <c r="L359" s="115">
        <f t="shared" si="94"/>
        <v>8.5103030303030298</v>
      </c>
      <c r="M359" s="108"/>
      <c r="N359" s="125">
        <v>133000</v>
      </c>
      <c r="O359" s="128">
        <v>3900</v>
      </c>
      <c r="P359" s="176">
        <f t="shared" si="96"/>
        <v>136900</v>
      </c>
      <c r="R359" s="125">
        <v>202000</v>
      </c>
      <c r="S359" s="128">
        <v>5900</v>
      </c>
      <c r="T359" s="176">
        <f t="shared" si="95"/>
        <v>207900</v>
      </c>
    </row>
    <row r="360" spans="1:20">
      <c r="A360" s="109" t="s">
        <v>54</v>
      </c>
      <c r="B360" s="124" t="s">
        <v>632</v>
      </c>
      <c r="C360" s="125">
        <v>139000</v>
      </c>
      <c r="D360" s="126" t="s">
        <v>229</v>
      </c>
      <c r="E360" s="127">
        <v>10000</v>
      </c>
      <c r="F360" s="128">
        <v>3900</v>
      </c>
      <c r="G360" s="129">
        <f t="shared" si="90"/>
        <v>595000</v>
      </c>
      <c r="H360" s="130">
        <f t="shared" si="91"/>
        <v>33000</v>
      </c>
      <c r="I360" s="172">
        <v>3300</v>
      </c>
      <c r="J360" s="131">
        <f t="shared" si="92"/>
        <v>5.5462184873949577E-2</v>
      </c>
      <c r="K360" s="131">
        <f t="shared" si="93"/>
        <v>18.030303030303031</v>
      </c>
      <c r="L360" s="115">
        <f t="shared" si="94"/>
        <v>8.5103030303030298</v>
      </c>
      <c r="M360" s="108"/>
      <c r="N360" s="125">
        <v>139000</v>
      </c>
      <c r="O360" s="128">
        <v>3900</v>
      </c>
      <c r="P360" s="176">
        <f t="shared" si="96"/>
        <v>142900</v>
      </c>
      <c r="R360" s="125">
        <v>211000</v>
      </c>
      <c r="S360" s="128">
        <v>5900</v>
      </c>
      <c r="T360" s="176">
        <f t="shared" si="95"/>
        <v>216900</v>
      </c>
    </row>
    <row r="361" spans="1:20">
      <c r="A361" s="109" t="s">
        <v>54</v>
      </c>
      <c r="B361" s="124" t="s">
        <v>633</v>
      </c>
      <c r="C361" s="125">
        <v>145000</v>
      </c>
      <c r="D361" s="126" t="s">
        <v>229</v>
      </c>
      <c r="E361" s="127">
        <v>10000</v>
      </c>
      <c r="F361" s="128">
        <v>3900</v>
      </c>
      <c r="G361" s="129">
        <f t="shared" si="90"/>
        <v>595000</v>
      </c>
      <c r="H361" s="130">
        <f t="shared" si="91"/>
        <v>33000</v>
      </c>
      <c r="I361" s="172">
        <v>3300</v>
      </c>
      <c r="J361" s="131">
        <f t="shared" si="92"/>
        <v>5.5462184873949577E-2</v>
      </c>
      <c r="K361" s="131">
        <f t="shared" si="93"/>
        <v>18.030303030303031</v>
      </c>
      <c r="L361" s="115">
        <f t="shared" si="94"/>
        <v>8.5103030303030298</v>
      </c>
      <c r="M361" s="108"/>
      <c r="N361" s="125">
        <v>145000</v>
      </c>
      <c r="O361" s="128">
        <v>3900</v>
      </c>
      <c r="P361" s="176">
        <f t="shared" si="96"/>
        <v>148900</v>
      </c>
      <c r="R361" s="125">
        <v>220000</v>
      </c>
      <c r="S361" s="128">
        <v>5900</v>
      </c>
      <c r="T361" s="176">
        <f t="shared" si="95"/>
        <v>225900</v>
      </c>
    </row>
    <row r="362" spans="1:20">
      <c r="A362" s="109" t="s">
        <v>54</v>
      </c>
      <c r="B362" s="124" t="s">
        <v>634</v>
      </c>
      <c r="C362" s="125">
        <v>9999999</v>
      </c>
      <c r="D362" s="126" t="s">
        <v>229</v>
      </c>
      <c r="E362" s="127">
        <v>10000</v>
      </c>
      <c r="F362" s="128">
        <v>3900</v>
      </c>
      <c r="G362" s="129">
        <f>E362+(F362*150)</f>
        <v>595000</v>
      </c>
      <c r="H362" s="130">
        <f>I362*10</f>
        <v>110000</v>
      </c>
      <c r="I362" s="172">
        <v>11000</v>
      </c>
      <c r="J362" s="131">
        <f>H362/G362</f>
        <v>0.18487394957983194</v>
      </c>
      <c r="K362" s="131">
        <f>G362/H362</f>
        <v>5.4090909090909092</v>
      </c>
      <c r="L362" s="115">
        <f>K362/K$2</f>
        <v>2.5530909090909089</v>
      </c>
      <c r="N362" s="125">
        <v>9999999</v>
      </c>
      <c r="O362" s="128">
        <v>3900</v>
      </c>
      <c r="R362" s="125">
        <v>99999999</v>
      </c>
      <c r="S362" s="128">
        <v>5900</v>
      </c>
    </row>
    <row r="364" spans="1:20">
      <c r="B364" s="123" t="s">
        <v>635</v>
      </c>
      <c r="C364" s="110"/>
      <c r="D364" s="109" t="s">
        <v>636</v>
      </c>
      <c r="E364" s="111"/>
      <c r="F364" s="112" t="s">
        <v>637</v>
      </c>
      <c r="G364" s="113"/>
      <c r="L364" s="115"/>
    </row>
    <row r="365" spans="1:20">
      <c r="A365" s="109" t="s">
        <v>54</v>
      </c>
      <c r="B365" s="124" t="s">
        <v>638</v>
      </c>
      <c r="C365" s="125">
        <v>1000</v>
      </c>
      <c r="D365" s="126" t="s">
        <v>230</v>
      </c>
      <c r="E365" s="127">
        <v>1000</v>
      </c>
      <c r="F365" s="128">
        <v>390</v>
      </c>
      <c r="G365" s="129">
        <f>E365+(F365*150)</f>
        <v>59500</v>
      </c>
      <c r="H365" s="130">
        <f>I365*10</f>
        <v>3300</v>
      </c>
      <c r="I365" s="172">
        <v>330</v>
      </c>
      <c r="J365" s="131">
        <f>H365/G365</f>
        <v>5.5462184873949577E-2</v>
      </c>
      <c r="K365" s="131">
        <f>G365/H365</f>
        <v>18.030303030303031</v>
      </c>
      <c r="L365" s="115">
        <f>K365/K$2</f>
        <v>8.5103030303030298</v>
      </c>
    </row>
    <row r="366" spans="1:20">
      <c r="A366" s="109" t="s">
        <v>54</v>
      </c>
      <c r="B366" s="124" t="s">
        <v>639</v>
      </c>
      <c r="C366" s="125">
        <v>2000</v>
      </c>
      <c r="D366" s="126" t="s">
        <v>230</v>
      </c>
      <c r="E366" s="127">
        <v>1000</v>
      </c>
      <c r="F366" s="128">
        <v>390</v>
      </c>
      <c r="G366" s="129">
        <f t="shared" ref="G366:G387" si="97">E366+(F366*150)</f>
        <v>59500</v>
      </c>
      <c r="H366" s="130">
        <f t="shared" ref="H366:H393" si="98">I366*10</f>
        <v>3300</v>
      </c>
      <c r="I366" s="172">
        <v>330</v>
      </c>
      <c r="J366" s="131">
        <f t="shared" ref="J366:J387" si="99">H366/G366</f>
        <v>5.5462184873949577E-2</v>
      </c>
      <c r="K366" s="131">
        <f t="shared" ref="K366:K387" si="100">G366/H366</f>
        <v>18.030303030303031</v>
      </c>
      <c r="L366" s="115">
        <f t="shared" ref="L366:L393" si="101">K366/K$2</f>
        <v>8.5103030303030298</v>
      </c>
    </row>
    <row r="367" spans="1:20">
      <c r="A367" s="109" t="s">
        <v>54</v>
      </c>
      <c r="B367" s="124" t="s">
        <v>640</v>
      </c>
      <c r="C367" s="125">
        <v>3000</v>
      </c>
      <c r="D367" s="126" t="s">
        <v>230</v>
      </c>
      <c r="E367" s="127">
        <v>3000</v>
      </c>
      <c r="F367" s="128">
        <v>640</v>
      </c>
      <c r="G367" s="129">
        <f t="shared" si="97"/>
        <v>99000</v>
      </c>
      <c r="H367" s="130">
        <f t="shared" si="98"/>
        <v>5500</v>
      </c>
      <c r="I367" s="172">
        <v>550</v>
      </c>
      <c r="J367" s="131">
        <f t="shared" si="99"/>
        <v>5.5555555555555552E-2</v>
      </c>
      <c r="K367" s="131">
        <f t="shared" si="100"/>
        <v>18</v>
      </c>
      <c r="L367" s="115">
        <f t="shared" si="101"/>
        <v>8.4959999999999987</v>
      </c>
    </row>
    <row r="368" spans="1:20">
      <c r="A368" s="109" t="s">
        <v>54</v>
      </c>
      <c r="B368" s="124" t="s">
        <v>641</v>
      </c>
      <c r="C368" s="125">
        <v>5000</v>
      </c>
      <c r="D368" s="126" t="s">
        <v>230</v>
      </c>
      <c r="E368" s="127">
        <v>3000</v>
      </c>
      <c r="F368" s="128">
        <v>640</v>
      </c>
      <c r="G368" s="129">
        <f t="shared" si="97"/>
        <v>99000</v>
      </c>
      <c r="H368" s="130">
        <f t="shared" si="98"/>
        <v>5500</v>
      </c>
      <c r="I368" s="172">
        <v>550</v>
      </c>
      <c r="J368" s="131">
        <f t="shared" si="99"/>
        <v>5.5555555555555552E-2</v>
      </c>
      <c r="K368" s="131">
        <f t="shared" si="100"/>
        <v>18</v>
      </c>
      <c r="L368" s="115">
        <f t="shared" si="101"/>
        <v>8.4959999999999987</v>
      </c>
    </row>
    <row r="369" spans="1:12">
      <c r="A369" s="109" t="s">
        <v>54</v>
      </c>
      <c r="B369" s="124" t="s">
        <v>642</v>
      </c>
      <c r="C369" s="125">
        <v>7000</v>
      </c>
      <c r="D369" s="126" t="s">
        <v>230</v>
      </c>
      <c r="E369" s="127">
        <v>5000</v>
      </c>
      <c r="F369" s="128">
        <v>1290</v>
      </c>
      <c r="G369" s="129">
        <f t="shared" si="97"/>
        <v>198500</v>
      </c>
      <c r="H369" s="130">
        <f t="shared" si="98"/>
        <v>11000</v>
      </c>
      <c r="I369" s="172">
        <v>1100</v>
      </c>
      <c r="J369" s="131">
        <f t="shared" si="99"/>
        <v>5.5415617128463476E-2</v>
      </c>
      <c r="K369" s="131">
        <f t="shared" si="100"/>
        <v>18.045454545454547</v>
      </c>
      <c r="L369" s="115">
        <f t="shared" si="101"/>
        <v>8.5174545454545463</v>
      </c>
    </row>
    <row r="370" spans="1:12">
      <c r="A370" s="109" t="s">
        <v>54</v>
      </c>
      <c r="B370" s="124" t="s">
        <v>643</v>
      </c>
      <c r="C370" s="125">
        <v>10000</v>
      </c>
      <c r="D370" s="126" t="s">
        <v>230</v>
      </c>
      <c r="E370" s="127">
        <v>5000</v>
      </c>
      <c r="F370" s="128">
        <v>1290</v>
      </c>
      <c r="G370" s="129">
        <f t="shared" si="97"/>
        <v>198500</v>
      </c>
      <c r="H370" s="130">
        <f t="shared" si="98"/>
        <v>11000</v>
      </c>
      <c r="I370" s="172">
        <v>1100</v>
      </c>
      <c r="J370" s="131">
        <f t="shared" si="99"/>
        <v>5.5415617128463476E-2</v>
      </c>
      <c r="K370" s="131">
        <f t="shared" si="100"/>
        <v>18.045454545454547</v>
      </c>
      <c r="L370" s="115">
        <f t="shared" si="101"/>
        <v>8.5174545454545463</v>
      </c>
    </row>
    <row r="371" spans="1:12">
      <c r="A371" s="109" t="s">
        <v>54</v>
      </c>
      <c r="B371" s="124" t="s">
        <v>644</v>
      </c>
      <c r="C371" s="125">
        <v>13000</v>
      </c>
      <c r="D371" s="126" t="s">
        <v>230</v>
      </c>
      <c r="E371" s="127">
        <v>10000</v>
      </c>
      <c r="F371" s="128">
        <v>3900</v>
      </c>
      <c r="G371" s="129">
        <f t="shared" si="97"/>
        <v>595000</v>
      </c>
      <c r="H371" s="130">
        <f t="shared" si="98"/>
        <v>33000</v>
      </c>
      <c r="I371" s="172">
        <v>3300</v>
      </c>
      <c r="J371" s="131">
        <f t="shared" si="99"/>
        <v>5.5462184873949577E-2</v>
      </c>
      <c r="K371" s="131">
        <f t="shared" si="100"/>
        <v>18.030303030303031</v>
      </c>
      <c r="L371" s="115">
        <f t="shared" si="101"/>
        <v>8.5103030303030298</v>
      </c>
    </row>
    <row r="372" spans="1:12">
      <c r="A372" s="109" t="s">
        <v>54</v>
      </c>
      <c r="B372" s="124" t="s">
        <v>645</v>
      </c>
      <c r="C372" s="125">
        <v>19000</v>
      </c>
      <c r="D372" s="126" t="s">
        <v>230</v>
      </c>
      <c r="E372" s="127">
        <v>10000</v>
      </c>
      <c r="F372" s="128">
        <v>3900</v>
      </c>
      <c r="G372" s="129">
        <f t="shared" si="97"/>
        <v>595000</v>
      </c>
      <c r="H372" s="130">
        <f t="shared" si="98"/>
        <v>33000</v>
      </c>
      <c r="I372" s="172">
        <v>3300</v>
      </c>
      <c r="J372" s="131">
        <f t="shared" si="99"/>
        <v>5.5462184873949577E-2</v>
      </c>
      <c r="K372" s="131">
        <f t="shared" si="100"/>
        <v>18.030303030303031</v>
      </c>
      <c r="L372" s="115">
        <f t="shared" si="101"/>
        <v>8.5103030303030298</v>
      </c>
    </row>
    <row r="373" spans="1:12">
      <c r="A373" s="109" t="s">
        <v>54</v>
      </c>
      <c r="B373" s="124" t="s">
        <v>646</v>
      </c>
      <c r="C373" s="125">
        <v>25000</v>
      </c>
      <c r="D373" s="126" t="s">
        <v>230</v>
      </c>
      <c r="E373" s="127">
        <v>10000</v>
      </c>
      <c r="F373" s="128">
        <v>3900</v>
      </c>
      <c r="G373" s="129">
        <f t="shared" si="97"/>
        <v>595000</v>
      </c>
      <c r="H373" s="130">
        <f t="shared" si="98"/>
        <v>33000</v>
      </c>
      <c r="I373" s="172">
        <v>3300</v>
      </c>
      <c r="J373" s="131">
        <f t="shared" si="99"/>
        <v>5.5462184873949577E-2</v>
      </c>
      <c r="K373" s="131">
        <f t="shared" si="100"/>
        <v>18.030303030303031</v>
      </c>
      <c r="L373" s="115">
        <f t="shared" si="101"/>
        <v>8.5103030303030298</v>
      </c>
    </row>
    <row r="374" spans="1:12">
      <c r="A374" s="109" t="s">
        <v>54</v>
      </c>
      <c r="B374" s="124" t="s">
        <v>647</v>
      </c>
      <c r="C374" s="125">
        <v>31000</v>
      </c>
      <c r="D374" s="126" t="s">
        <v>230</v>
      </c>
      <c r="E374" s="127">
        <v>10000</v>
      </c>
      <c r="F374" s="128">
        <v>3900</v>
      </c>
      <c r="G374" s="129">
        <f t="shared" si="97"/>
        <v>595000</v>
      </c>
      <c r="H374" s="130">
        <f t="shared" si="98"/>
        <v>33000</v>
      </c>
      <c r="I374" s="172">
        <v>3300</v>
      </c>
      <c r="J374" s="131">
        <f t="shared" si="99"/>
        <v>5.5462184873949577E-2</v>
      </c>
      <c r="K374" s="131">
        <f t="shared" si="100"/>
        <v>18.030303030303031</v>
      </c>
      <c r="L374" s="115">
        <f t="shared" si="101"/>
        <v>8.5103030303030298</v>
      </c>
    </row>
    <row r="375" spans="1:12">
      <c r="A375" s="109" t="s">
        <v>54</v>
      </c>
      <c r="B375" s="124" t="s">
        <v>648</v>
      </c>
      <c r="C375" s="125">
        <v>37000</v>
      </c>
      <c r="D375" s="126" t="s">
        <v>230</v>
      </c>
      <c r="E375" s="127">
        <v>10000</v>
      </c>
      <c r="F375" s="128">
        <v>3900</v>
      </c>
      <c r="G375" s="129">
        <f t="shared" si="97"/>
        <v>595000</v>
      </c>
      <c r="H375" s="130">
        <f t="shared" si="98"/>
        <v>33000</v>
      </c>
      <c r="I375" s="172">
        <v>3300</v>
      </c>
      <c r="J375" s="131">
        <f t="shared" si="99"/>
        <v>5.5462184873949577E-2</v>
      </c>
      <c r="K375" s="131">
        <f t="shared" si="100"/>
        <v>18.030303030303031</v>
      </c>
      <c r="L375" s="115">
        <f t="shared" si="101"/>
        <v>8.5103030303030298</v>
      </c>
    </row>
    <row r="376" spans="1:12">
      <c r="A376" s="109" t="s">
        <v>54</v>
      </c>
      <c r="B376" s="124" t="s">
        <v>649</v>
      </c>
      <c r="C376" s="125">
        <v>43000</v>
      </c>
      <c r="D376" s="126" t="s">
        <v>230</v>
      </c>
      <c r="E376" s="127">
        <v>10000</v>
      </c>
      <c r="F376" s="128">
        <v>3900</v>
      </c>
      <c r="G376" s="129">
        <f t="shared" si="97"/>
        <v>595000</v>
      </c>
      <c r="H376" s="130">
        <f t="shared" si="98"/>
        <v>33000</v>
      </c>
      <c r="I376" s="172">
        <v>3300</v>
      </c>
      <c r="J376" s="131">
        <f t="shared" si="99"/>
        <v>5.5462184873949577E-2</v>
      </c>
      <c r="K376" s="131">
        <f t="shared" si="100"/>
        <v>18.030303030303031</v>
      </c>
      <c r="L376" s="115">
        <f t="shared" si="101"/>
        <v>8.5103030303030298</v>
      </c>
    </row>
    <row r="377" spans="1:12">
      <c r="A377" s="109" t="s">
        <v>54</v>
      </c>
      <c r="B377" s="124" t="s">
        <v>650</v>
      </c>
      <c r="C377" s="125">
        <v>49000</v>
      </c>
      <c r="D377" s="126" t="s">
        <v>230</v>
      </c>
      <c r="E377" s="127">
        <v>10000</v>
      </c>
      <c r="F377" s="128">
        <v>3900</v>
      </c>
      <c r="G377" s="129">
        <f t="shared" si="97"/>
        <v>595000</v>
      </c>
      <c r="H377" s="130">
        <f t="shared" si="98"/>
        <v>33000</v>
      </c>
      <c r="I377" s="172">
        <v>3300</v>
      </c>
      <c r="J377" s="131">
        <f t="shared" si="99"/>
        <v>5.5462184873949577E-2</v>
      </c>
      <c r="K377" s="131">
        <f t="shared" si="100"/>
        <v>18.030303030303031</v>
      </c>
      <c r="L377" s="115">
        <f t="shared" si="101"/>
        <v>8.5103030303030298</v>
      </c>
    </row>
    <row r="378" spans="1:12">
      <c r="A378" s="109" t="s">
        <v>54</v>
      </c>
      <c r="B378" s="124" t="s">
        <v>651</v>
      </c>
      <c r="C378" s="125">
        <v>55000</v>
      </c>
      <c r="D378" s="126" t="s">
        <v>230</v>
      </c>
      <c r="E378" s="127">
        <v>10000</v>
      </c>
      <c r="F378" s="128">
        <v>3900</v>
      </c>
      <c r="G378" s="129">
        <f t="shared" si="97"/>
        <v>595000</v>
      </c>
      <c r="H378" s="130">
        <f t="shared" si="98"/>
        <v>33000</v>
      </c>
      <c r="I378" s="172">
        <v>3300</v>
      </c>
      <c r="J378" s="131">
        <f t="shared" si="99"/>
        <v>5.5462184873949577E-2</v>
      </c>
      <c r="K378" s="131">
        <f t="shared" si="100"/>
        <v>18.030303030303031</v>
      </c>
      <c r="L378" s="115">
        <f t="shared" si="101"/>
        <v>8.5103030303030298</v>
      </c>
    </row>
    <row r="379" spans="1:12">
      <c r="A379" s="109" t="s">
        <v>54</v>
      </c>
      <c r="B379" s="124" t="s">
        <v>652</v>
      </c>
      <c r="C379" s="125">
        <v>61000</v>
      </c>
      <c r="D379" s="126" t="s">
        <v>230</v>
      </c>
      <c r="E379" s="127">
        <v>10000</v>
      </c>
      <c r="F379" s="128">
        <v>3900</v>
      </c>
      <c r="G379" s="129">
        <f t="shared" si="97"/>
        <v>595000</v>
      </c>
      <c r="H379" s="130">
        <f t="shared" si="98"/>
        <v>33000</v>
      </c>
      <c r="I379" s="172">
        <v>3300</v>
      </c>
      <c r="J379" s="131">
        <f t="shared" si="99"/>
        <v>5.5462184873949577E-2</v>
      </c>
      <c r="K379" s="131">
        <f t="shared" si="100"/>
        <v>18.030303030303031</v>
      </c>
      <c r="L379" s="115">
        <f t="shared" si="101"/>
        <v>8.5103030303030298</v>
      </c>
    </row>
    <row r="380" spans="1:12">
      <c r="A380" s="109" t="s">
        <v>54</v>
      </c>
      <c r="B380" s="124" t="s">
        <v>653</v>
      </c>
      <c r="C380" s="125">
        <v>67000</v>
      </c>
      <c r="D380" s="126" t="s">
        <v>230</v>
      </c>
      <c r="E380" s="127">
        <v>10000</v>
      </c>
      <c r="F380" s="128">
        <v>3900</v>
      </c>
      <c r="G380" s="129">
        <f t="shared" si="97"/>
        <v>595000</v>
      </c>
      <c r="H380" s="130">
        <f t="shared" si="98"/>
        <v>33000</v>
      </c>
      <c r="I380" s="172">
        <v>3300</v>
      </c>
      <c r="J380" s="131">
        <f t="shared" si="99"/>
        <v>5.5462184873949577E-2</v>
      </c>
      <c r="K380" s="131">
        <f t="shared" si="100"/>
        <v>18.030303030303031</v>
      </c>
      <c r="L380" s="115">
        <f t="shared" si="101"/>
        <v>8.5103030303030298</v>
      </c>
    </row>
    <row r="381" spans="1:12">
      <c r="A381" s="109" t="s">
        <v>54</v>
      </c>
      <c r="B381" s="124" t="s">
        <v>654</v>
      </c>
      <c r="C381" s="125">
        <v>73000</v>
      </c>
      <c r="D381" s="126" t="s">
        <v>230</v>
      </c>
      <c r="E381" s="127">
        <v>10000</v>
      </c>
      <c r="F381" s="128">
        <v>3900</v>
      </c>
      <c r="G381" s="129">
        <f t="shared" si="97"/>
        <v>595000</v>
      </c>
      <c r="H381" s="130">
        <f t="shared" si="98"/>
        <v>33000</v>
      </c>
      <c r="I381" s="172">
        <v>3300</v>
      </c>
      <c r="J381" s="131">
        <f t="shared" si="99"/>
        <v>5.5462184873949577E-2</v>
      </c>
      <c r="K381" s="131">
        <f t="shared" si="100"/>
        <v>18.030303030303031</v>
      </c>
      <c r="L381" s="115">
        <f t="shared" si="101"/>
        <v>8.5103030303030298</v>
      </c>
    </row>
    <row r="382" spans="1:12">
      <c r="A382" s="109" t="s">
        <v>54</v>
      </c>
      <c r="B382" s="124" t="s">
        <v>655</v>
      </c>
      <c r="C382" s="125">
        <v>79000</v>
      </c>
      <c r="D382" s="126" t="s">
        <v>230</v>
      </c>
      <c r="E382" s="127">
        <v>10000</v>
      </c>
      <c r="F382" s="128">
        <v>3900</v>
      </c>
      <c r="G382" s="129">
        <f t="shared" si="97"/>
        <v>595000</v>
      </c>
      <c r="H382" s="130">
        <f t="shared" si="98"/>
        <v>33000</v>
      </c>
      <c r="I382" s="172">
        <v>3300</v>
      </c>
      <c r="J382" s="131">
        <f t="shared" si="99"/>
        <v>5.5462184873949577E-2</v>
      </c>
      <c r="K382" s="131">
        <f t="shared" si="100"/>
        <v>18.030303030303031</v>
      </c>
      <c r="L382" s="115">
        <f t="shared" si="101"/>
        <v>8.5103030303030298</v>
      </c>
    </row>
    <row r="383" spans="1:12">
      <c r="A383" s="109" t="s">
        <v>54</v>
      </c>
      <c r="B383" s="124" t="s">
        <v>656</v>
      </c>
      <c r="C383" s="125">
        <v>85000</v>
      </c>
      <c r="D383" s="126" t="s">
        <v>230</v>
      </c>
      <c r="E383" s="127">
        <v>10000</v>
      </c>
      <c r="F383" s="128">
        <v>3900</v>
      </c>
      <c r="G383" s="129">
        <f t="shared" si="97"/>
        <v>595000</v>
      </c>
      <c r="H383" s="130">
        <f t="shared" si="98"/>
        <v>33000</v>
      </c>
      <c r="I383" s="172">
        <v>3300</v>
      </c>
      <c r="J383" s="131">
        <f t="shared" si="99"/>
        <v>5.5462184873949577E-2</v>
      </c>
      <c r="K383" s="131">
        <f t="shared" si="100"/>
        <v>18.030303030303031</v>
      </c>
      <c r="L383" s="115">
        <f t="shared" si="101"/>
        <v>8.5103030303030298</v>
      </c>
    </row>
    <row r="384" spans="1:12">
      <c r="A384" s="109" t="s">
        <v>54</v>
      </c>
      <c r="B384" s="124" t="s">
        <v>657</v>
      </c>
      <c r="C384" s="125">
        <v>91000</v>
      </c>
      <c r="D384" s="126" t="s">
        <v>230</v>
      </c>
      <c r="E384" s="127">
        <v>10000</v>
      </c>
      <c r="F384" s="128">
        <v>3900</v>
      </c>
      <c r="G384" s="129">
        <f t="shared" si="97"/>
        <v>595000</v>
      </c>
      <c r="H384" s="130">
        <f t="shared" si="98"/>
        <v>33000</v>
      </c>
      <c r="I384" s="172">
        <v>3300</v>
      </c>
      <c r="J384" s="131">
        <f t="shared" si="99"/>
        <v>5.5462184873949577E-2</v>
      </c>
      <c r="K384" s="131">
        <f t="shared" si="100"/>
        <v>18.030303030303031</v>
      </c>
      <c r="L384" s="115">
        <f t="shared" si="101"/>
        <v>8.5103030303030298</v>
      </c>
    </row>
    <row r="385" spans="1:12">
      <c r="A385" s="109" t="s">
        <v>54</v>
      </c>
      <c r="B385" s="124" t="s">
        <v>658</v>
      </c>
      <c r="C385" s="125">
        <v>97000</v>
      </c>
      <c r="D385" s="126" t="s">
        <v>230</v>
      </c>
      <c r="E385" s="127">
        <v>10000</v>
      </c>
      <c r="F385" s="128">
        <v>3900</v>
      </c>
      <c r="G385" s="129">
        <f t="shared" si="97"/>
        <v>595000</v>
      </c>
      <c r="H385" s="130">
        <f t="shared" si="98"/>
        <v>33000</v>
      </c>
      <c r="I385" s="172">
        <v>3300</v>
      </c>
      <c r="J385" s="131">
        <f t="shared" si="99"/>
        <v>5.5462184873949577E-2</v>
      </c>
      <c r="K385" s="131">
        <f t="shared" si="100"/>
        <v>18.030303030303031</v>
      </c>
      <c r="L385" s="115">
        <f t="shared" si="101"/>
        <v>8.5103030303030298</v>
      </c>
    </row>
    <row r="386" spans="1:12">
      <c r="A386" s="109" t="s">
        <v>54</v>
      </c>
      <c r="B386" s="124" t="s">
        <v>659</v>
      </c>
      <c r="C386" s="125">
        <v>103000</v>
      </c>
      <c r="D386" s="126" t="s">
        <v>230</v>
      </c>
      <c r="E386" s="127">
        <v>10000</v>
      </c>
      <c r="F386" s="128">
        <v>3900</v>
      </c>
      <c r="G386" s="129">
        <f t="shared" si="97"/>
        <v>595000</v>
      </c>
      <c r="H386" s="130">
        <f t="shared" si="98"/>
        <v>33000</v>
      </c>
      <c r="I386" s="172">
        <v>3300</v>
      </c>
      <c r="J386" s="131">
        <f t="shared" si="99"/>
        <v>5.5462184873949577E-2</v>
      </c>
      <c r="K386" s="131">
        <f t="shared" si="100"/>
        <v>18.030303030303031</v>
      </c>
      <c r="L386" s="115">
        <f t="shared" si="101"/>
        <v>8.5103030303030298</v>
      </c>
    </row>
    <row r="387" spans="1:12">
      <c r="A387" s="109" t="s">
        <v>54</v>
      </c>
      <c r="B387" s="124" t="s">
        <v>660</v>
      </c>
      <c r="C387" s="125">
        <v>109000</v>
      </c>
      <c r="D387" s="126" t="s">
        <v>230</v>
      </c>
      <c r="E387" s="127">
        <v>10000</v>
      </c>
      <c r="F387" s="128">
        <v>3900</v>
      </c>
      <c r="G387" s="129">
        <f t="shared" si="97"/>
        <v>595000</v>
      </c>
      <c r="H387" s="130">
        <f t="shared" si="98"/>
        <v>33000</v>
      </c>
      <c r="I387" s="172">
        <v>3300</v>
      </c>
      <c r="J387" s="131">
        <f t="shared" si="99"/>
        <v>5.5462184873949577E-2</v>
      </c>
      <c r="K387" s="131">
        <f t="shared" si="100"/>
        <v>18.030303030303031</v>
      </c>
      <c r="L387" s="115">
        <f t="shared" si="101"/>
        <v>8.5103030303030298</v>
      </c>
    </row>
    <row r="388" spans="1:12">
      <c r="A388" s="109" t="s">
        <v>54</v>
      </c>
      <c r="B388" s="124" t="s">
        <v>661</v>
      </c>
      <c r="C388" s="125">
        <v>115000</v>
      </c>
      <c r="D388" s="126" t="s">
        <v>230</v>
      </c>
      <c r="E388" s="127">
        <v>10000</v>
      </c>
      <c r="F388" s="128">
        <v>3900</v>
      </c>
      <c r="G388" s="129">
        <f>E388+(F388*150)</f>
        <v>595000</v>
      </c>
      <c r="H388" s="130">
        <f>I388*10</f>
        <v>33000</v>
      </c>
      <c r="I388" s="172">
        <v>3300</v>
      </c>
      <c r="J388" s="131">
        <f>H388/G388</f>
        <v>5.5462184873949577E-2</v>
      </c>
      <c r="K388" s="131">
        <f>G388/H388</f>
        <v>18.030303030303031</v>
      </c>
      <c r="L388" s="115">
        <f>K388/K$2</f>
        <v>8.5103030303030298</v>
      </c>
    </row>
    <row r="389" spans="1:12">
      <c r="A389" s="109" t="s">
        <v>54</v>
      </c>
      <c r="B389" s="124" t="s">
        <v>662</v>
      </c>
      <c r="C389" s="125">
        <v>121000</v>
      </c>
      <c r="D389" s="126" t="s">
        <v>230</v>
      </c>
      <c r="E389" s="127">
        <v>10000</v>
      </c>
      <c r="F389" s="128">
        <v>3900</v>
      </c>
      <c r="G389" s="129">
        <f t="shared" ref="G389:G393" si="102">E389+(F389*150)</f>
        <v>595000</v>
      </c>
      <c r="H389" s="130">
        <f t="shared" si="98"/>
        <v>33000</v>
      </c>
      <c r="I389" s="172">
        <v>3300</v>
      </c>
      <c r="J389" s="131">
        <f t="shared" ref="J389:J393" si="103">H389/G389</f>
        <v>5.5462184873949577E-2</v>
      </c>
      <c r="K389" s="131">
        <f t="shared" ref="K389:K393" si="104">G389/H389</f>
        <v>18.030303030303031</v>
      </c>
      <c r="L389" s="115">
        <f t="shared" si="101"/>
        <v>8.5103030303030298</v>
      </c>
    </row>
    <row r="390" spans="1:12">
      <c r="A390" s="109" t="s">
        <v>54</v>
      </c>
      <c r="B390" s="124" t="s">
        <v>663</v>
      </c>
      <c r="C390" s="125">
        <v>127000</v>
      </c>
      <c r="D390" s="126" t="s">
        <v>230</v>
      </c>
      <c r="E390" s="127">
        <v>10000</v>
      </c>
      <c r="F390" s="128">
        <v>3900</v>
      </c>
      <c r="G390" s="129">
        <f t="shared" si="102"/>
        <v>595000</v>
      </c>
      <c r="H390" s="130">
        <f t="shared" si="98"/>
        <v>33000</v>
      </c>
      <c r="I390" s="172">
        <v>3300</v>
      </c>
      <c r="J390" s="131">
        <f t="shared" si="103"/>
        <v>5.5462184873949577E-2</v>
      </c>
      <c r="K390" s="131">
        <f t="shared" si="104"/>
        <v>18.030303030303031</v>
      </c>
      <c r="L390" s="115">
        <f t="shared" si="101"/>
        <v>8.5103030303030298</v>
      </c>
    </row>
    <row r="391" spans="1:12">
      <c r="A391" s="109" t="s">
        <v>54</v>
      </c>
      <c r="B391" s="124" t="s">
        <v>664</v>
      </c>
      <c r="C391" s="125">
        <v>133000</v>
      </c>
      <c r="D391" s="126" t="s">
        <v>230</v>
      </c>
      <c r="E391" s="127">
        <v>10000</v>
      </c>
      <c r="F391" s="128">
        <v>3900</v>
      </c>
      <c r="G391" s="129">
        <f t="shared" si="102"/>
        <v>595000</v>
      </c>
      <c r="H391" s="130">
        <f t="shared" si="98"/>
        <v>33000</v>
      </c>
      <c r="I391" s="172">
        <v>3300</v>
      </c>
      <c r="J391" s="131">
        <f t="shared" si="103"/>
        <v>5.5462184873949577E-2</v>
      </c>
      <c r="K391" s="131">
        <f t="shared" si="104"/>
        <v>18.030303030303031</v>
      </c>
      <c r="L391" s="115">
        <f t="shared" si="101"/>
        <v>8.5103030303030298</v>
      </c>
    </row>
    <row r="392" spans="1:12">
      <c r="A392" s="109" t="s">
        <v>54</v>
      </c>
      <c r="B392" s="124" t="s">
        <v>665</v>
      </c>
      <c r="C392" s="125">
        <v>139000</v>
      </c>
      <c r="D392" s="126" t="s">
        <v>230</v>
      </c>
      <c r="E392" s="127">
        <v>10000</v>
      </c>
      <c r="F392" s="128">
        <v>3900</v>
      </c>
      <c r="G392" s="129">
        <f t="shared" si="102"/>
        <v>595000</v>
      </c>
      <c r="H392" s="130">
        <f t="shared" si="98"/>
        <v>33000</v>
      </c>
      <c r="I392" s="172">
        <v>3300</v>
      </c>
      <c r="J392" s="131">
        <f t="shared" si="103"/>
        <v>5.5462184873949577E-2</v>
      </c>
      <c r="K392" s="131">
        <f t="shared" si="104"/>
        <v>18.030303030303031</v>
      </c>
      <c r="L392" s="115">
        <f t="shared" si="101"/>
        <v>8.5103030303030298</v>
      </c>
    </row>
    <row r="393" spans="1:12">
      <c r="A393" s="109" t="s">
        <v>54</v>
      </c>
      <c r="B393" s="124" t="s">
        <v>666</v>
      </c>
      <c r="C393" s="125">
        <v>145000</v>
      </c>
      <c r="D393" s="126" t="s">
        <v>230</v>
      </c>
      <c r="E393" s="127">
        <v>10000</v>
      </c>
      <c r="F393" s="128">
        <v>3900</v>
      </c>
      <c r="G393" s="129">
        <f t="shared" si="102"/>
        <v>595000</v>
      </c>
      <c r="H393" s="130">
        <f t="shared" si="98"/>
        <v>33000</v>
      </c>
      <c r="I393" s="172">
        <v>3300</v>
      </c>
      <c r="J393" s="131">
        <f t="shared" si="103"/>
        <v>5.5462184873949577E-2</v>
      </c>
      <c r="K393" s="131">
        <f t="shared" si="104"/>
        <v>18.030303030303031</v>
      </c>
      <c r="L393" s="115">
        <f t="shared" si="101"/>
        <v>8.5103030303030298</v>
      </c>
    </row>
    <row r="394" spans="1:12">
      <c r="A394" s="109" t="s">
        <v>54</v>
      </c>
      <c r="B394" s="124" t="s">
        <v>667</v>
      </c>
      <c r="C394" s="125">
        <v>9999999</v>
      </c>
      <c r="D394" s="126" t="s">
        <v>230</v>
      </c>
      <c r="E394" s="127">
        <v>10000</v>
      </c>
      <c r="F394" s="128">
        <v>3900</v>
      </c>
      <c r="G394" s="129">
        <f>E394+(F394*150)</f>
        <v>595000</v>
      </c>
      <c r="H394" s="130">
        <f>I394*10</f>
        <v>110000</v>
      </c>
      <c r="I394" s="172">
        <v>11000</v>
      </c>
      <c r="J394" s="131">
        <f>H394/G394</f>
        <v>0.18487394957983194</v>
      </c>
      <c r="K394" s="131">
        <f>G394/H394</f>
        <v>5.4090909090909092</v>
      </c>
      <c r="L394" s="115">
        <f>K394/K$2</f>
        <v>2.5530909090909089</v>
      </c>
    </row>
    <row r="396" spans="1:12">
      <c r="B396" s="123" t="s">
        <v>670</v>
      </c>
      <c r="C396" s="110"/>
      <c r="D396" s="109" t="s">
        <v>668</v>
      </c>
      <c r="E396" s="111"/>
      <c r="F396" s="112" t="s">
        <v>669</v>
      </c>
      <c r="G396" s="113"/>
      <c r="L396" s="115"/>
    </row>
    <row r="397" spans="1:12">
      <c r="A397" s="109" t="s">
        <v>54</v>
      </c>
      <c r="B397" s="124" t="s">
        <v>671</v>
      </c>
      <c r="C397" s="125">
        <v>2000</v>
      </c>
      <c r="D397" s="126" t="s">
        <v>228</v>
      </c>
      <c r="E397" s="127">
        <v>1000</v>
      </c>
      <c r="F397" s="128">
        <v>590</v>
      </c>
      <c r="G397" s="129">
        <f>E397+(F397*100)</f>
        <v>60000</v>
      </c>
      <c r="H397" s="130">
        <f>I397*10</f>
        <v>3300</v>
      </c>
      <c r="I397" s="172">
        <v>330</v>
      </c>
      <c r="J397" s="131">
        <f>H397/G397</f>
        <v>5.5E-2</v>
      </c>
      <c r="K397" s="131">
        <f>G397/H397</f>
        <v>18.181818181818183</v>
      </c>
      <c r="L397" s="115">
        <f>K397/K$2</f>
        <v>8.581818181818182</v>
      </c>
    </row>
    <row r="398" spans="1:12">
      <c r="A398" s="109" t="s">
        <v>54</v>
      </c>
      <c r="B398" s="124" t="s">
        <v>672</v>
      </c>
      <c r="C398" s="125">
        <v>3000</v>
      </c>
      <c r="D398" s="126" t="s">
        <v>228</v>
      </c>
      <c r="E398" s="127">
        <v>1000</v>
      </c>
      <c r="F398" s="128">
        <v>590</v>
      </c>
      <c r="G398" s="129">
        <f t="shared" ref="G398:G426" si="105">E398+(F398*100)</f>
        <v>60000</v>
      </c>
      <c r="H398" s="130">
        <f t="shared" ref="H398:H426" si="106">I398*10</f>
        <v>3300</v>
      </c>
      <c r="I398" s="172">
        <v>330</v>
      </c>
      <c r="J398" s="131">
        <f t="shared" ref="J398:J419" si="107">H398/G398</f>
        <v>5.5E-2</v>
      </c>
      <c r="K398" s="131">
        <f t="shared" ref="K398:K419" si="108">G398/H398</f>
        <v>18.181818181818183</v>
      </c>
      <c r="L398" s="115">
        <f t="shared" ref="L398:L426" si="109">K398/K$2</f>
        <v>8.581818181818182</v>
      </c>
    </row>
    <row r="399" spans="1:12">
      <c r="A399" s="109" t="s">
        <v>54</v>
      </c>
      <c r="B399" s="124" t="s">
        <v>673</v>
      </c>
      <c r="C399" s="125">
        <v>4000</v>
      </c>
      <c r="D399" s="126" t="s">
        <v>228</v>
      </c>
      <c r="E399" s="127">
        <v>3000</v>
      </c>
      <c r="F399" s="128">
        <v>960</v>
      </c>
      <c r="G399" s="129">
        <f t="shared" si="105"/>
        <v>99000</v>
      </c>
      <c r="H399" s="130">
        <f t="shared" si="106"/>
        <v>5500</v>
      </c>
      <c r="I399" s="172">
        <v>550</v>
      </c>
      <c r="J399" s="131">
        <f t="shared" si="107"/>
        <v>5.5555555555555552E-2</v>
      </c>
      <c r="K399" s="131">
        <f t="shared" si="108"/>
        <v>18</v>
      </c>
      <c r="L399" s="115">
        <f t="shared" si="109"/>
        <v>8.4959999999999987</v>
      </c>
    </row>
    <row r="400" spans="1:12">
      <c r="A400" s="109" t="s">
        <v>54</v>
      </c>
      <c r="B400" s="124" t="s">
        <v>674</v>
      </c>
      <c r="C400" s="125">
        <v>8000</v>
      </c>
      <c r="D400" s="126" t="s">
        <v>228</v>
      </c>
      <c r="E400" s="127">
        <v>3000</v>
      </c>
      <c r="F400" s="128">
        <v>960</v>
      </c>
      <c r="G400" s="129">
        <f t="shared" si="105"/>
        <v>99000</v>
      </c>
      <c r="H400" s="130">
        <f t="shared" si="106"/>
        <v>5500</v>
      </c>
      <c r="I400" s="172">
        <v>550</v>
      </c>
      <c r="J400" s="131">
        <f t="shared" si="107"/>
        <v>5.5555555555555552E-2</v>
      </c>
      <c r="K400" s="131">
        <f t="shared" si="108"/>
        <v>18</v>
      </c>
      <c r="L400" s="115">
        <f t="shared" si="109"/>
        <v>8.4959999999999987</v>
      </c>
    </row>
    <row r="401" spans="1:12">
      <c r="A401" s="109" t="s">
        <v>54</v>
      </c>
      <c r="B401" s="124" t="s">
        <v>675</v>
      </c>
      <c r="C401" s="125">
        <v>12000</v>
      </c>
      <c r="D401" s="126" t="s">
        <v>228</v>
      </c>
      <c r="E401" s="127">
        <v>5000</v>
      </c>
      <c r="F401" s="128">
        <v>1950</v>
      </c>
      <c r="G401" s="129">
        <f t="shared" si="105"/>
        <v>200000</v>
      </c>
      <c r="H401" s="130">
        <f t="shared" si="106"/>
        <v>11000</v>
      </c>
      <c r="I401" s="172">
        <v>1100</v>
      </c>
      <c r="J401" s="131">
        <f t="shared" si="107"/>
        <v>5.5E-2</v>
      </c>
      <c r="K401" s="131">
        <f t="shared" si="108"/>
        <v>18.181818181818183</v>
      </c>
      <c r="L401" s="115">
        <f t="shared" si="109"/>
        <v>8.581818181818182</v>
      </c>
    </row>
    <row r="402" spans="1:12">
      <c r="A402" s="109" t="s">
        <v>54</v>
      </c>
      <c r="B402" s="124" t="s">
        <v>676</v>
      </c>
      <c r="C402" s="125">
        <v>17000</v>
      </c>
      <c r="D402" s="126" t="s">
        <v>228</v>
      </c>
      <c r="E402" s="127">
        <v>5000</v>
      </c>
      <c r="F402" s="128">
        <v>1950</v>
      </c>
      <c r="G402" s="129">
        <f t="shared" si="105"/>
        <v>200000</v>
      </c>
      <c r="H402" s="130">
        <f t="shared" si="106"/>
        <v>11000</v>
      </c>
      <c r="I402" s="172">
        <v>1100</v>
      </c>
      <c r="J402" s="131">
        <f t="shared" si="107"/>
        <v>5.5E-2</v>
      </c>
      <c r="K402" s="131">
        <f t="shared" si="108"/>
        <v>18.181818181818183</v>
      </c>
      <c r="L402" s="115">
        <f t="shared" si="109"/>
        <v>8.581818181818182</v>
      </c>
    </row>
    <row r="403" spans="1:12">
      <c r="A403" s="109" t="s">
        <v>54</v>
      </c>
      <c r="B403" s="124" t="s">
        <v>677</v>
      </c>
      <c r="C403" s="125">
        <v>22000</v>
      </c>
      <c r="D403" s="126" t="s">
        <v>228</v>
      </c>
      <c r="E403" s="127">
        <v>10000</v>
      </c>
      <c r="F403" s="128">
        <v>5900</v>
      </c>
      <c r="G403" s="129">
        <f t="shared" si="105"/>
        <v>600000</v>
      </c>
      <c r="H403" s="130">
        <f t="shared" si="106"/>
        <v>33000</v>
      </c>
      <c r="I403" s="172">
        <v>3300</v>
      </c>
      <c r="J403" s="131">
        <f t="shared" si="107"/>
        <v>5.5E-2</v>
      </c>
      <c r="K403" s="131">
        <f t="shared" si="108"/>
        <v>18.181818181818183</v>
      </c>
      <c r="L403" s="115">
        <f t="shared" si="109"/>
        <v>8.581818181818182</v>
      </c>
    </row>
    <row r="404" spans="1:12">
      <c r="A404" s="109" t="s">
        <v>54</v>
      </c>
      <c r="B404" s="124" t="s">
        <v>678</v>
      </c>
      <c r="C404" s="125">
        <v>31000</v>
      </c>
      <c r="D404" s="126" t="s">
        <v>228</v>
      </c>
      <c r="E404" s="127">
        <v>10000</v>
      </c>
      <c r="F404" s="128">
        <v>5900</v>
      </c>
      <c r="G404" s="129">
        <f t="shared" si="105"/>
        <v>600000</v>
      </c>
      <c r="H404" s="130">
        <f t="shared" si="106"/>
        <v>33000</v>
      </c>
      <c r="I404" s="172">
        <v>3300</v>
      </c>
      <c r="J404" s="131">
        <f t="shared" si="107"/>
        <v>5.5E-2</v>
      </c>
      <c r="K404" s="131">
        <f t="shared" si="108"/>
        <v>18.181818181818183</v>
      </c>
      <c r="L404" s="115">
        <f t="shared" si="109"/>
        <v>8.581818181818182</v>
      </c>
    </row>
    <row r="405" spans="1:12">
      <c r="A405" s="109" t="s">
        <v>54</v>
      </c>
      <c r="B405" s="124" t="s">
        <v>679</v>
      </c>
      <c r="C405" s="125">
        <v>40000</v>
      </c>
      <c r="D405" s="126" t="s">
        <v>228</v>
      </c>
      <c r="E405" s="127">
        <v>10000</v>
      </c>
      <c r="F405" s="128">
        <v>5900</v>
      </c>
      <c r="G405" s="129">
        <f t="shared" si="105"/>
        <v>600000</v>
      </c>
      <c r="H405" s="130">
        <f t="shared" si="106"/>
        <v>33000</v>
      </c>
      <c r="I405" s="172">
        <v>3300</v>
      </c>
      <c r="J405" s="131">
        <f t="shared" si="107"/>
        <v>5.5E-2</v>
      </c>
      <c r="K405" s="131">
        <f t="shared" si="108"/>
        <v>18.181818181818183</v>
      </c>
      <c r="L405" s="115">
        <f t="shared" si="109"/>
        <v>8.581818181818182</v>
      </c>
    </row>
    <row r="406" spans="1:12">
      <c r="A406" s="109" t="s">
        <v>54</v>
      </c>
      <c r="B406" s="124" t="s">
        <v>680</v>
      </c>
      <c r="C406" s="125">
        <v>49000</v>
      </c>
      <c r="D406" s="126" t="s">
        <v>228</v>
      </c>
      <c r="E406" s="127">
        <v>10000</v>
      </c>
      <c r="F406" s="128">
        <v>5900</v>
      </c>
      <c r="G406" s="129">
        <f t="shared" si="105"/>
        <v>600000</v>
      </c>
      <c r="H406" s="130">
        <f t="shared" si="106"/>
        <v>33000</v>
      </c>
      <c r="I406" s="172">
        <v>3300</v>
      </c>
      <c r="J406" s="131">
        <f t="shared" si="107"/>
        <v>5.5E-2</v>
      </c>
      <c r="K406" s="131">
        <f t="shared" si="108"/>
        <v>18.181818181818183</v>
      </c>
      <c r="L406" s="115">
        <f t="shared" si="109"/>
        <v>8.581818181818182</v>
      </c>
    </row>
    <row r="407" spans="1:12">
      <c r="A407" s="109" t="s">
        <v>54</v>
      </c>
      <c r="B407" s="124" t="s">
        <v>681</v>
      </c>
      <c r="C407" s="125">
        <v>58000</v>
      </c>
      <c r="D407" s="126" t="s">
        <v>228</v>
      </c>
      <c r="E407" s="127">
        <v>10000</v>
      </c>
      <c r="F407" s="128">
        <v>5900</v>
      </c>
      <c r="G407" s="129">
        <f t="shared" si="105"/>
        <v>600000</v>
      </c>
      <c r="H407" s="130">
        <f t="shared" si="106"/>
        <v>33000</v>
      </c>
      <c r="I407" s="172">
        <v>3300</v>
      </c>
      <c r="J407" s="131">
        <f t="shared" si="107"/>
        <v>5.5E-2</v>
      </c>
      <c r="K407" s="131">
        <f t="shared" si="108"/>
        <v>18.181818181818183</v>
      </c>
      <c r="L407" s="115">
        <f t="shared" si="109"/>
        <v>8.581818181818182</v>
      </c>
    </row>
    <row r="408" spans="1:12">
      <c r="A408" s="109" t="s">
        <v>54</v>
      </c>
      <c r="B408" s="124" t="s">
        <v>682</v>
      </c>
      <c r="C408" s="125">
        <v>67000</v>
      </c>
      <c r="D408" s="126" t="s">
        <v>228</v>
      </c>
      <c r="E408" s="127">
        <v>10000</v>
      </c>
      <c r="F408" s="128">
        <v>5900</v>
      </c>
      <c r="G408" s="129">
        <f t="shared" si="105"/>
        <v>600000</v>
      </c>
      <c r="H408" s="130">
        <f t="shared" si="106"/>
        <v>33000</v>
      </c>
      <c r="I408" s="172">
        <v>3300</v>
      </c>
      <c r="J408" s="131">
        <f t="shared" si="107"/>
        <v>5.5E-2</v>
      </c>
      <c r="K408" s="131">
        <f t="shared" si="108"/>
        <v>18.181818181818183</v>
      </c>
      <c r="L408" s="115">
        <f t="shared" si="109"/>
        <v>8.581818181818182</v>
      </c>
    </row>
    <row r="409" spans="1:12">
      <c r="A409" s="109" t="s">
        <v>54</v>
      </c>
      <c r="B409" s="124" t="s">
        <v>683</v>
      </c>
      <c r="C409" s="125">
        <v>76000</v>
      </c>
      <c r="D409" s="126" t="s">
        <v>228</v>
      </c>
      <c r="E409" s="127">
        <v>10000</v>
      </c>
      <c r="F409" s="128">
        <v>5900</v>
      </c>
      <c r="G409" s="129">
        <f t="shared" si="105"/>
        <v>600000</v>
      </c>
      <c r="H409" s="130">
        <f t="shared" si="106"/>
        <v>33000</v>
      </c>
      <c r="I409" s="172">
        <v>3300</v>
      </c>
      <c r="J409" s="131">
        <f t="shared" si="107"/>
        <v>5.5E-2</v>
      </c>
      <c r="K409" s="131">
        <f t="shared" si="108"/>
        <v>18.181818181818183</v>
      </c>
      <c r="L409" s="115">
        <f t="shared" si="109"/>
        <v>8.581818181818182</v>
      </c>
    </row>
    <row r="410" spans="1:12">
      <c r="A410" s="109" t="s">
        <v>54</v>
      </c>
      <c r="B410" s="124" t="s">
        <v>684</v>
      </c>
      <c r="C410" s="125">
        <v>85000</v>
      </c>
      <c r="D410" s="126" t="s">
        <v>228</v>
      </c>
      <c r="E410" s="127">
        <v>10000</v>
      </c>
      <c r="F410" s="128">
        <v>5900</v>
      </c>
      <c r="G410" s="129">
        <f t="shared" si="105"/>
        <v>600000</v>
      </c>
      <c r="H410" s="130">
        <f t="shared" si="106"/>
        <v>33000</v>
      </c>
      <c r="I410" s="172">
        <v>3300</v>
      </c>
      <c r="J410" s="131">
        <f t="shared" si="107"/>
        <v>5.5E-2</v>
      </c>
      <c r="K410" s="131">
        <f t="shared" si="108"/>
        <v>18.181818181818183</v>
      </c>
      <c r="L410" s="115">
        <f t="shared" si="109"/>
        <v>8.581818181818182</v>
      </c>
    </row>
    <row r="411" spans="1:12">
      <c r="A411" s="109" t="s">
        <v>54</v>
      </c>
      <c r="B411" s="124" t="s">
        <v>685</v>
      </c>
      <c r="C411" s="125">
        <v>94000</v>
      </c>
      <c r="D411" s="126" t="s">
        <v>228</v>
      </c>
      <c r="E411" s="127">
        <v>10000</v>
      </c>
      <c r="F411" s="128">
        <v>5900</v>
      </c>
      <c r="G411" s="129">
        <f t="shared" si="105"/>
        <v>600000</v>
      </c>
      <c r="H411" s="130">
        <f t="shared" si="106"/>
        <v>33000</v>
      </c>
      <c r="I411" s="172">
        <v>3300</v>
      </c>
      <c r="J411" s="131">
        <f t="shared" si="107"/>
        <v>5.5E-2</v>
      </c>
      <c r="K411" s="131">
        <f t="shared" si="108"/>
        <v>18.181818181818183</v>
      </c>
      <c r="L411" s="115">
        <f t="shared" si="109"/>
        <v>8.581818181818182</v>
      </c>
    </row>
    <row r="412" spans="1:12">
      <c r="A412" s="109" t="s">
        <v>54</v>
      </c>
      <c r="B412" s="124" t="s">
        <v>686</v>
      </c>
      <c r="C412" s="125">
        <v>103000</v>
      </c>
      <c r="D412" s="126" t="s">
        <v>228</v>
      </c>
      <c r="E412" s="127">
        <v>10000</v>
      </c>
      <c r="F412" s="128">
        <v>5900</v>
      </c>
      <c r="G412" s="129">
        <f t="shared" si="105"/>
        <v>600000</v>
      </c>
      <c r="H412" s="130">
        <f t="shared" si="106"/>
        <v>33000</v>
      </c>
      <c r="I412" s="172">
        <v>3300</v>
      </c>
      <c r="J412" s="131">
        <f t="shared" si="107"/>
        <v>5.5E-2</v>
      </c>
      <c r="K412" s="131">
        <f t="shared" si="108"/>
        <v>18.181818181818183</v>
      </c>
      <c r="L412" s="115">
        <f t="shared" si="109"/>
        <v>8.581818181818182</v>
      </c>
    </row>
    <row r="413" spans="1:12">
      <c r="A413" s="109" t="s">
        <v>54</v>
      </c>
      <c r="B413" s="124" t="s">
        <v>687</v>
      </c>
      <c r="C413" s="125">
        <v>112000</v>
      </c>
      <c r="D413" s="126" t="s">
        <v>228</v>
      </c>
      <c r="E413" s="127">
        <v>10000</v>
      </c>
      <c r="F413" s="128">
        <v>5900</v>
      </c>
      <c r="G413" s="129">
        <f t="shared" si="105"/>
        <v>600000</v>
      </c>
      <c r="H413" s="130">
        <f t="shared" si="106"/>
        <v>33000</v>
      </c>
      <c r="I413" s="172">
        <v>3300</v>
      </c>
      <c r="J413" s="131">
        <f t="shared" si="107"/>
        <v>5.5E-2</v>
      </c>
      <c r="K413" s="131">
        <f t="shared" si="108"/>
        <v>18.181818181818183</v>
      </c>
      <c r="L413" s="115">
        <f t="shared" si="109"/>
        <v>8.581818181818182</v>
      </c>
    </row>
    <row r="414" spans="1:12">
      <c r="A414" s="109" t="s">
        <v>54</v>
      </c>
      <c r="B414" s="124" t="s">
        <v>688</v>
      </c>
      <c r="C414" s="125">
        <v>121000</v>
      </c>
      <c r="D414" s="126" t="s">
        <v>228</v>
      </c>
      <c r="E414" s="127">
        <v>10000</v>
      </c>
      <c r="F414" s="128">
        <v>5900</v>
      </c>
      <c r="G414" s="129">
        <f t="shared" si="105"/>
        <v>600000</v>
      </c>
      <c r="H414" s="130">
        <f t="shared" si="106"/>
        <v>33000</v>
      </c>
      <c r="I414" s="172">
        <v>3300</v>
      </c>
      <c r="J414" s="131">
        <f t="shared" si="107"/>
        <v>5.5E-2</v>
      </c>
      <c r="K414" s="131">
        <f t="shared" si="108"/>
        <v>18.181818181818183</v>
      </c>
      <c r="L414" s="115">
        <f t="shared" si="109"/>
        <v>8.581818181818182</v>
      </c>
    </row>
    <row r="415" spans="1:12">
      <c r="A415" s="109" t="s">
        <v>54</v>
      </c>
      <c r="B415" s="124" t="s">
        <v>689</v>
      </c>
      <c r="C415" s="125">
        <v>130000</v>
      </c>
      <c r="D415" s="126" t="s">
        <v>228</v>
      </c>
      <c r="E415" s="127">
        <v>10000</v>
      </c>
      <c r="F415" s="128">
        <v>5900</v>
      </c>
      <c r="G415" s="129">
        <f t="shared" si="105"/>
        <v>600000</v>
      </c>
      <c r="H415" s="130">
        <f t="shared" si="106"/>
        <v>33000</v>
      </c>
      <c r="I415" s="172">
        <v>3300</v>
      </c>
      <c r="J415" s="131">
        <f t="shared" si="107"/>
        <v>5.5E-2</v>
      </c>
      <c r="K415" s="131">
        <f t="shared" si="108"/>
        <v>18.181818181818183</v>
      </c>
      <c r="L415" s="115">
        <f t="shared" si="109"/>
        <v>8.581818181818182</v>
      </c>
    </row>
    <row r="416" spans="1:12">
      <c r="A416" s="109" t="s">
        <v>54</v>
      </c>
      <c r="B416" s="124" t="s">
        <v>690</v>
      </c>
      <c r="C416" s="125">
        <v>139000</v>
      </c>
      <c r="D416" s="126" t="s">
        <v>228</v>
      </c>
      <c r="E416" s="127">
        <v>10000</v>
      </c>
      <c r="F416" s="128">
        <v>5900</v>
      </c>
      <c r="G416" s="129">
        <f t="shared" si="105"/>
        <v>600000</v>
      </c>
      <c r="H416" s="130">
        <f t="shared" si="106"/>
        <v>33000</v>
      </c>
      <c r="I416" s="172">
        <v>3300</v>
      </c>
      <c r="J416" s="131">
        <f t="shared" si="107"/>
        <v>5.5E-2</v>
      </c>
      <c r="K416" s="131">
        <f t="shared" si="108"/>
        <v>18.181818181818183</v>
      </c>
      <c r="L416" s="115">
        <f t="shared" si="109"/>
        <v>8.581818181818182</v>
      </c>
    </row>
    <row r="417" spans="1:12">
      <c r="A417" s="109" t="s">
        <v>54</v>
      </c>
      <c r="B417" s="124" t="s">
        <v>691</v>
      </c>
      <c r="C417" s="125">
        <v>148000</v>
      </c>
      <c r="D417" s="126" t="s">
        <v>228</v>
      </c>
      <c r="E417" s="127">
        <v>10000</v>
      </c>
      <c r="F417" s="128">
        <v>5900</v>
      </c>
      <c r="G417" s="129">
        <f t="shared" si="105"/>
        <v>600000</v>
      </c>
      <c r="H417" s="130">
        <f t="shared" si="106"/>
        <v>33000</v>
      </c>
      <c r="I417" s="172">
        <v>3300</v>
      </c>
      <c r="J417" s="131">
        <f t="shared" si="107"/>
        <v>5.5E-2</v>
      </c>
      <c r="K417" s="131">
        <f t="shared" si="108"/>
        <v>18.181818181818183</v>
      </c>
      <c r="L417" s="115">
        <f t="shared" si="109"/>
        <v>8.581818181818182</v>
      </c>
    </row>
    <row r="418" spans="1:12">
      <c r="A418" s="109" t="s">
        <v>54</v>
      </c>
      <c r="B418" s="124" t="s">
        <v>692</v>
      </c>
      <c r="C418" s="125">
        <v>157000</v>
      </c>
      <c r="D418" s="126" t="s">
        <v>228</v>
      </c>
      <c r="E418" s="127">
        <v>10000</v>
      </c>
      <c r="F418" s="128">
        <v>5900</v>
      </c>
      <c r="G418" s="129">
        <f t="shared" si="105"/>
        <v>600000</v>
      </c>
      <c r="H418" s="130">
        <f t="shared" si="106"/>
        <v>33000</v>
      </c>
      <c r="I418" s="172">
        <v>3300</v>
      </c>
      <c r="J418" s="131">
        <f t="shared" si="107"/>
        <v>5.5E-2</v>
      </c>
      <c r="K418" s="131">
        <f t="shared" si="108"/>
        <v>18.181818181818183</v>
      </c>
      <c r="L418" s="115">
        <f t="shared" si="109"/>
        <v>8.581818181818182</v>
      </c>
    </row>
    <row r="419" spans="1:12">
      <c r="A419" s="109" t="s">
        <v>54</v>
      </c>
      <c r="B419" s="124" t="s">
        <v>693</v>
      </c>
      <c r="C419" s="125">
        <v>166000</v>
      </c>
      <c r="D419" s="126" t="s">
        <v>228</v>
      </c>
      <c r="E419" s="127">
        <v>10000</v>
      </c>
      <c r="F419" s="128">
        <v>5900</v>
      </c>
      <c r="G419" s="129">
        <f t="shared" si="105"/>
        <v>600000</v>
      </c>
      <c r="H419" s="130">
        <f t="shared" si="106"/>
        <v>33000</v>
      </c>
      <c r="I419" s="172">
        <v>3300</v>
      </c>
      <c r="J419" s="131">
        <f t="shared" si="107"/>
        <v>5.5E-2</v>
      </c>
      <c r="K419" s="131">
        <f t="shared" si="108"/>
        <v>18.181818181818183</v>
      </c>
      <c r="L419" s="115">
        <f t="shared" si="109"/>
        <v>8.581818181818182</v>
      </c>
    </row>
    <row r="420" spans="1:12">
      <c r="A420" s="109" t="s">
        <v>54</v>
      </c>
      <c r="B420" s="124" t="s">
        <v>694</v>
      </c>
      <c r="C420" s="125">
        <v>175000</v>
      </c>
      <c r="D420" s="126" t="s">
        <v>228</v>
      </c>
      <c r="E420" s="127">
        <v>10000</v>
      </c>
      <c r="F420" s="128">
        <v>5900</v>
      </c>
      <c r="G420" s="129">
        <f t="shared" si="105"/>
        <v>600000</v>
      </c>
      <c r="H420" s="130">
        <f>I420*10</f>
        <v>33000</v>
      </c>
      <c r="I420" s="172">
        <v>3300</v>
      </c>
      <c r="J420" s="131">
        <f>H420/G420</f>
        <v>5.5E-2</v>
      </c>
      <c r="K420" s="131">
        <f>G420/H420</f>
        <v>18.181818181818183</v>
      </c>
      <c r="L420" s="115">
        <f>K420/K$2</f>
        <v>8.581818181818182</v>
      </c>
    </row>
    <row r="421" spans="1:12">
      <c r="A421" s="109" t="s">
        <v>54</v>
      </c>
      <c r="B421" s="124" t="s">
        <v>695</v>
      </c>
      <c r="C421" s="125">
        <v>184000</v>
      </c>
      <c r="D421" s="126" t="s">
        <v>228</v>
      </c>
      <c r="E421" s="127">
        <v>10000</v>
      </c>
      <c r="F421" s="128">
        <v>5900</v>
      </c>
      <c r="G421" s="129">
        <f t="shared" si="105"/>
        <v>600000</v>
      </c>
      <c r="H421" s="130">
        <f t="shared" si="106"/>
        <v>33000</v>
      </c>
      <c r="I421" s="172">
        <v>3300</v>
      </c>
      <c r="J421" s="131">
        <f t="shared" ref="J421:J424" si="110">H421/G421</f>
        <v>5.5E-2</v>
      </c>
      <c r="K421" s="131">
        <f t="shared" ref="K421:K424" si="111">G421/H421</f>
        <v>18.181818181818183</v>
      </c>
      <c r="L421" s="115">
        <f t="shared" si="109"/>
        <v>8.581818181818182</v>
      </c>
    </row>
    <row r="422" spans="1:12">
      <c r="A422" s="109" t="s">
        <v>54</v>
      </c>
      <c r="B422" s="124" t="s">
        <v>696</v>
      </c>
      <c r="C422" s="125">
        <v>193000</v>
      </c>
      <c r="D422" s="126" t="s">
        <v>228</v>
      </c>
      <c r="E422" s="127">
        <v>10000</v>
      </c>
      <c r="F422" s="128">
        <v>5900</v>
      </c>
      <c r="G422" s="129">
        <f t="shared" si="105"/>
        <v>600000</v>
      </c>
      <c r="H422" s="130">
        <f t="shared" si="106"/>
        <v>33000</v>
      </c>
      <c r="I422" s="172">
        <v>3300</v>
      </c>
      <c r="J422" s="131">
        <f t="shared" si="110"/>
        <v>5.5E-2</v>
      </c>
      <c r="K422" s="131">
        <f t="shared" si="111"/>
        <v>18.181818181818183</v>
      </c>
      <c r="L422" s="115">
        <f t="shared" si="109"/>
        <v>8.581818181818182</v>
      </c>
    </row>
    <row r="423" spans="1:12">
      <c r="A423" s="109" t="s">
        <v>54</v>
      </c>
      <c r="B423" s="124" t="s">
        <v>697</v>
      </c>
      <c r="C423" s="125">
        <v>202000</v>
      </c>
      <c r="D423" s="126" t="s">
        <v>228</v>
      </c>
      <c r="E423" s="127">
        <v>10000</v>
      </c>
      <c r="F423" s="128">
        <v>5900</v>
      </c>
      <c r="G423" s="129">
        <f t="shared" si="105"/>
        <v>600000</v>
      </c>
      <c r="H423" s="130">
        <f t="shared" si="106"/>
        <v>33000</v>
      </c>
      <c r="I423" s="172">
        <v>3300</v>
      </c>
      <c r="J423" s="131">
        <f t="shared" si="110"/>
        <v>5.5E-2</v>
      </c>
      <c r="K423" s="131">
        <f t="shared" si="111"/>
        <v>18.181818181818183</v>
      </c>
      <c r="L423" s="115">
        <f t="shared" si="109"/>
        <v>8.581818181818182</v>
      </c>
    </row>
    <row r="424" spans="1:12">
      <c r="A424" s="109" t="s">
        <v>54</v>
      </c>
      <c r="B424" s="124" t="s">
        <v>698</v>
      </c>
      <c r="C424" s="125">
        <v>211000</v>
      </c>
      <c r="D424" s="126" t="s">
        <v>228</v>
      </c>
      <c r="E424" s="127">
        <v>10000</v>
      </c>
      <c r="F424" s="128">
        <v>5900</v>
      </c>
      <c r="G424" s="129">
        <f t="shared" si="105"/>
        <v>600000</v>
      </c>
      <c r="H424" s="130">
        <f t="shared" si="106"/>
        <v>33000</v>
      </c>
      <c r="I424" s="172">
        <v>3300</v>
      </c>
      <c r="J424" s="131">
        <f t="shared" si="110"/>
        <v>5.5E-2</v>
      </c>
      <c r="K424" s="131">
        <f t="shared" si="111"/>
        <v>18.181818181818183</v>
      </c>
      <c r="L424" s="115">
        <f t="shared" si="109"/>
        <v>8.581818181818182</v>
      </c>
    </row>
    <row r="425" spans="1:12">
      <c r="A425" s="109" t="s">
        <v>54</v>
      </c>
      <c r="B425" s="124" t="s">
        <v>699</v>
      </c>
      <c r="C425" s="125">
        <v>220000</v>
      </c>
      <c r="D425" s="126" t="s">
        <v>228</v>
      </c>
      <c r="E425" s="127">
        <v>10000</v>
      </c>
      <c r="F425" s="128">
        <v>5900</v>
      </c>
      <c r="G425" s="129">
        <f t="shared" si="105"/>
        <v>600000</v>
      </c>
      <c r="H425" s="130">
        <f>I425*10</f>
        <v>33000</v>
      </c>
      <c r="I425" s="172">
        <v>3300</v>
      </c>
      <c r="J425" s="131">
        <f>H425/G425</f>
        <v>5.5E-2</v>
      </c>
      <c r="K425" s="131">
        <f>G425/H425</f>
        <v>18.181818181818183</v>
      </c>
      <c r="L425" s="115">
        <f>K425/K$2</f>
        <v>8.581818181818182</v>
      </c>
    </row>
    <row r="426" spans="1:12">
      <c r="A426" s="109" t="s">
        <v>54</v>
      </c>
      <c r="B426" s="124" t="s">
        <v>700</v>
      </c>
      <c r="C426" s="125">
        <v>99999999</v>
      </c>
      <c r="D426" s="126" t="s">
        <v>228</v>
      </c>
      <c r="E426" s="127">
        <v>10000</v>
      </c>
      <c r="F426" s="128">
        <v>5900</v>
      </c>
      <c r="G426" s="129">
        <f t="shared" si="105"/>
        <v>600000</v>
      </c>
      <c r="H426" s="130">
        <f t="shared" si="106"/>
        <v>33000</v>
      </c>
      <c r="I426" s="172">
        <v>3300</v>
      </c>
      <c r="J426" s="131">
        <f t="shared" ref="J426" si="112">H426/G426</f>
        <v>5.5E-2</v>
      </c>
      <c r="K426" s="131">
        <f t="shared" ref="K426" si="113">G426/H426</f>
        <v>18.181818181818183</v>
      </c>
      <c r="L426" s="115">
        <f t="shared" si="109"/>
        <v>8.581818181818182</v>
      </c>
    </row>
    <row r="427" spans="1:12">
      <c r="C427" s="110"/>
      <c r="D427" s="147"/>
      <c r="E427" s="148"/>
      <c r="F427" s="143"/>
      <c r="G427" s="144"/>
      <c r="H427" s="145"/>
      <c r="I427" s="145"/>
      <c r="J427" s="132"/>
      <c r="K427" s="132"/>
      <c r="L427" s="146"/>
    </row>
    <row r="428" spans="1:12">
      <c r="B428" s="123" t="s">
        <v>701</v>
      </c>
      <c r="C428" s="110"/>
      <c r="D428" s="109" t="s">
        <v>703</v>
      </c>
      <c r="E428" s="111"/>
      <c r="F428" s="112" t="s">
        <v>702</v>
      </c>
      <c r="G428" s="113"/>
      <c r="L428" s="115"/>
    </row>
    <row r="429" spans="1:12">
      <c r="A429" s="109" t="s">
        <v>54</v>
      </c>
      <c r="B429" s="124" t="s">
        <v>704</v>
      </c>
      <c r="C429" s="125">
        <v>200</v>
      </c>
      <c r="D429" s="126" t="s">
        <v>705</v>
      </c>
      <c r="E429" s="127">
        <v>3000</v>
      </c>
      <c r="F429" s="128">
        <v>160</v>
      </c>
      <c r="G429" s="129">
        <f>E429+(F429*600)</f>
        <v>99000</v>
      </c>
      <c r="H429" s="130">
        <f>I429*10</f>
        <v>5500</v>
      </c>
      <c r="I429" s="172">
        <v>550</v>
      </c>
      <c r="J429" s="131">
        <f>H429/G429</f>
        <v>5.5555555555555552E-2</v>
      </c>
      <c r="K429" s="131">
        <f>G429/H429</f>
        <v>18</v>
      </c>
      <c r="L429" s="115">
        <f>K429/K$2</f>
        <v>8.4959999999999987</v>
      </c>
    </row>
    <row r="430" spans="1:12">
      <c r="A430" s="109" t="s">
        <v>54</v>
      </c>
      <c r="B430" s="124" t="s">
        <v>706</v>
      </c>
      <c r="C430" s="125">
        <v>1000</v>
      </c>
      <c r="D430" s="126" t="s">
        <v>705</v>
      </c>
      <c r="E430" s="127">
        <v>5000</v>
      </c>
      <c r="F430" s="128">
        <v>320</v>
      </c>
      <c r="G430" s="129">
        <f t="shared" ref="G430:G458" si="114">E430+(F430*600)</f>
        <v>197000</v>
      </c>
      <c r="H430" s="130">
        <f t="shared" ref="H430:H458" si="115">I430*10</f>
        <v>11000</v>
      </c>
      <c r="I430" s="172">
        <v>1100</v>
      </c>
      <c r="J430" s="131">
        <f t="shared" ref="J430:J450" si="116">H430/G430</f>
        <v>5.5837563451776651E-2</v>
      </c>
      <c r="K430" s="131">
        <f t="shared" ref="K430:K450" si="117">G430/H430</f>
        <v>17.90909090909091</v>
      </c>
      <c r="L430" s="115">
        <f t="shared" ref="L430:L458" si="118">K430/K$2</f>
        <v>8.4530909090909088</v>
      </c>
    </row>
    <row r="431" spans="1:12">
      <c r="A431" s="109" t="s">
        <v>54</v>
      </c>
      <c r="B431" s="124" t="s">
        <v>707</v>
      </c>
      <c r="C431" s="125">
        <v>2000</v>
      </c>
      <c r="D431" s="126" t="s">
        <v>705</v>
      </c>
      <c r="E431" s="127">
        <v>7500</v>
      </c>
      <c r="F431" s="128">
        <v>650</v>
      </c>
      <c r="G431" s="129">
        <f t="shared" si="114"/>
        <v>397500</v>
      </c>
      <c r="H431" s="130">
        <f t="shared" si="115"/>
        <v>22000</v>
      </c>
      <c r="I431" s="172">
        <v>2200</v>
      </c>
      <c r="J431" s="131">
        <f t="shared" si="116"/>
        <v>5.5345911949685536E-2</v>
      </c>
      <c r="K431" s="131">
        <f t="shared" si="117"/>
        <v>18.068181818181817</v>
      </c>
      <c r="L431" s="115">
        <f t="shared" si="118"/>
        <v>8.5281818181818174</v>
      </c>
    </row>
    <row r="432" spans="1:12">
      <c r="A432" s="109" t="s">
        <v>54</v>
      </c>
      <c r="B432" s="124" t="s">
        <v>708</v>
      </c>
      <c r="C432" s="125">
        <v>3000</v>
      </c>
      <c r="D432" s="126" t="s">
        <v>705</v>
      </c>
      <c r="E432" s="127">
        <v>10000</v>
      </c>
      <c r="F432" s="128">
        <v>980</v>
      </c>
      <c r="G432" s="129">
        <f t="shared" si="114"/>
        <v>598000</v>
      </c>
      <c r="H432" s="130">
        <f t="shared" si="115"/>
        <v>33000</v>
      </c>
      <c r="I432" s="172">
        <v>3300</v>
      </c>
      <c r="J432" s="131">
        <f t="shared" si="116"/>
        <v>5.5183946488294312E-2</v>
      </c>
      <c r="K432" s="131">
        <f t="shared" si="117"/>
        <v>18.121212121212121</v>
      </c>
      <c r="L432" s="115">
        <f t="shared" si="118"/>
        <v>8.5532121212121215</v>
      </c>
    </row>
    <row r="433" spans="1:12">
      <c r="A433" s="109" t="s">
        <v>54</v>
      </c>
      <c r="B433" s="124" t="s">
        <v>709</v>
      </c>
      <c r="C433" s="125">
        <v>4000</v>
      </c>
      <c r="D433" s="126" t="s">
        <v>705</v>
      </c>
      <c r="E433" s="127">
        <v>10000</v>
      </c>
      <c r="F433" s="128">
        <v>980</v>
      </c>
      <c r="G433" s="129">
        <f t="shared" si="114"/>
        <v>598000</v>
      </c>
      <c r="H433" s="130">
        <f t="shared" si="115"/>
        <v>33000</v>
      </c>
      <c r="I433" s="172">
        <v>3300</v>
      </c>
      <c r="J433" s="131">
        <f t="shared" si="116"/>
        <v>5.5183946488294312E-2</v>
      </c>
      <c r="K433" s="131">
        <f t="shared" si="117"/>
        <v>18.121212121212121</v>
      </c>
      <c r="L433" s="115">
        <f t="shared" si="118"/>
        <v>8.5532121212121215</v>
      </c>
    </row>
    <row r="434" spans="1:12">
      <c r="A434" s="109" t="s">
        <v>54</v>
      </c>
      <c r="B434" s="124" t="s">
        <v>710</v>
      </c>
      <c r="C434" s="125">
        <v>5000</v>
      </c>
      <c r="D434" s="126" t="s">
        <v>705</v>
      </c>
      <c r="E434" s="127">
        <v>10000</v>
      </c>
      <c r="F434" s="128">
        <v>980</v>
      </c>
      <c r="G434" s="129">
        <f t="shared" si="114"/>
        <v>598000</v>
      </c>
      <c r="H434" s="130">
        <f t="shared" si="115"/>
        <v>33000</v>
      </c>
      <c r="I434" s="172">
        <v>3300</v>
      </c>
      <c r="J434" s="131">
        <f t="shared" si="116"/>
        <v>5.5183946488294312E-2</v>
      </c>
      <c r="K434" s="131">
        <f t="shared" si="117"/>
        <v>18.121212121212121</v>
      </c>
      <c r="L434" s="115">
        <f t="shared" si="118"/>
        <v>8.5532121212121215</v>
      </c>
    </row>
    <row r="435" spans="1:12">
      <c r="A435" s="109" t="s">
        <v>54</v>
      </c>
      <c r="B435" s="124" t="s">
        <v>711</v>
      </c>
      <c r="C435" s="125">
        <v>6000</v>
      </c>
      <c r="D435" s="126" t="s">
        <v>705</v>
      </c>
      <c r="E435" s="127">
        <v>10000</v>
      </c>
      <c r="F435" s="128">
        <v>980</v>
      </c>
      <c r="G435" s="129">
        <f t="shared" si="114"/>
        <v>598000</v>
      </c>
      <c r="H435" s="130">
        <f t="shared" si="115"/>
        <v>33000</v>
      </c>
      <c r="I435" s="172">
        <v>3300</v>
      </c>
      <c r="J435" s="131">
        <f t="shared" si="116"/>
        <v>5.5183946488294312E-2</v>
      </c>
      <c r="K435" s="131">
        <f t="shared" si="117"/>
        <v>18.121212121212121</v>
      </c>
      <c r="L435" s="115">
        <f t="shared" si="118"/>
        <v>8.5532121212121215</v>
      </c>
    </row>
    <row r="436" spans="1:12">
      <c r="A436" s="109" t="s">
        <v>54</v>
      </c>
      <c r="B436" s="124" t="s">
        <v>712</v>
      </c>
      <c r="C436" s="125">
        <v>7000</v>
      </c>
      <c r="D436" s="126" t="s">
        <v>705</v>
      </c>
      <c r="E436" s="127">
        <v>10000</v>
      </c>
      <c r="F436" s="128">
        <v>980</v>
      </c>
      <c r="G436" s="129">
        <f t="shared" si="114"/>
        <v>598000</v>
      </c>
      <c r="H436" s="130">
        <f t="shared" si="115"/>
        <v>33000</v>
      </c>
      <c r="I436" s="172">
        <v>3300</v>
      </c>
      <c r="J436" s="131">
        <f t="shared" si="116"/>
        <v>5.5183946488294312E-2</v>
      </c>
      <c r="K436" s="131">
        <f t="shared" si="117"/>
        <v>18.121212121212121</v>
      </c>
      <c r="L436" s="115">
        <f t="shared" si="118"/>
        <v>8.5532121212121215</v>
      </c>
    </row>
    <row r="437" spans="1:12">
      <c r="A437" s="109" t="s">
        <v>54</v>
      </c>
      <c r="B437" s="124" t="s">
        <v>713</v>
      </c>
      <c r="C437" s="125">
        <v>8000</v>
      </c>
      <c r="D437" s="126" t="s">
        <v>705</v>
      </c>
      <c r="E437" s="127">
        <v>10000</v>
      </c>
      <c r="F437" s="128">
        <v>980</v>
      </c>
      <c r="G437" s="129">
        <f t="shared" si="114"/>
        <v>598000</v>
      </c>
      <c r="H437" s="130">
        <f t="shared" si="115"/>
        <v>33000</v>
      </c>
      <c r="I437" s="172">
        <v>3300</v>
      </c>
      <c r="J437" s="131">
        <f t="shared" si="116"/>
        <v>5.5183946488294312E-2</v>
      </c>
      <c r="K437" s="131">
        <f t="shared" si="117"/>
        <v>18.121212121212121</v>
      </c>
      <c r="L437" s="115">
        <f t="shared" si="118"/>
        <v>8.5532121212121215</v>
      </c>
    </row>
    <row r="438" spans="1:12">
      <c r="A438" s="109" t="s">
        <v>54</v>
      </c>
      <c r="B438" s="124" t="s">
        <v>714</v>
      </c>
      <c r="C438" s="125">
        <v>9000</v>
      </c>
      <c r="D438" s="126" t="s">
        <v>705</v>
      </c>
      <c r="E438" s="127">
        <v>10000</v>
      </c>
      <c r="F438" s="128">
        <v>980</v>
      </c>
      <c r="G438" s="129">
        <f t="shared" si="114"/>
        <v>598000</v>
      </c>
      <c r="H438" s="130">
        <f t="shared" si="115"/>
        <v>33000</v>
      </c>
      <c r="I438" s="172">
        <v>3300</v>
      </c>
      <c r="J438" s="131">
        <f t="shared" si="116"/>
        <v>5.5183946488294312E-2</v>
      </c>
      <c r="K438" s="131">
        <f t="shared" si="117"/>
        <v>18.121212121212121</v>
      </c>
      <c r="L438" s="115">
        <f t="shared" si="118"/>
        <v>8.5532121212121215</v>
      </c>
    </row>
    <row r="439" spans="1:12">
      <c r="A439" s="109" t="s">
        <v>54</v>
      </c>
      <c r="B439" s="124" t="s">
        <v>715</v>
      </c>
      <c r="C439" s="125">
        <v>10000</v>
      </c>
      <c r="D439" s="126" t="s">
        <v>705</v>
      </c>
      <c r="E439" s="127">
        <v>10000</v>
      </c>
      <c r="F439" s="128">
        <v>980</v>
      </c>
      <c r="G439" s="129">
        <f t="shared" si="114"/>
        <v>598000</v>
      </c>
      <c r="H439" s="130">
        <f t="shared" si="115"/>
        <v>33000</v>
      </c>
      <c r="I439" s="172">
        <v>3300</v>
      </c>
      <c r="J439" s="131">
        <f t="shared" si="116"/>
        <v>5.5183946488294312E-2</v>
      </c>
      <c r="K439" s="131">
        <f t="shared" si="117"/>
        <v>18.121212121212121</v>
      </c>
      <c r="L439" s="115">
        <f t="shared" si="118"/>
        <v>8.5532121212121215</v>
      </c>
    </row>
    <row r="440" spans="1:12">
      <c r="A440" s="109" t="s">
        <v>54</v>
      </c>
      <c r="B440" s="124" t="s">
        <v>716</v>
      </c>
      <c r="C440" s="125">
        <v>11000</v>
      </c>
      <c r="D440" s="126" t="s">
        <v>705</v>
      </c>
      <c r="E440" s="127">
        <v>10000</v>
      </c>
      <c r="F440" s="128">
        <v>980</v>
      </c>
      <c r="G440" s="129">
        <f t="shared" si="114"/>
        <v>598000</v>
      </c>
      <c r="H440" s="130">
        <f t="shared" si="115"/>
        <v>33000</v>
      </c>
      <c r="I440" s="172">
        <v>3300</v>
      </c>
      <c r="J440" s="131">
        <f t="shared" si="116"/>
        <v>5.5183946488294312E-2</v>
      </c>
      <c r="K440" s="131">
        <f t="shared" si="117"/>
        <v>18.121212121212121</v>
      </c>
      <c r="L440" s="115">
        <f t="shared" si="118"/>
        <v>8.5532121212121215</v>
      </c>
    </row>
    <row r="441" spans="1:12">
      <c r="A441" s="109" t="s">
        <v>54</v>
      </c>
      <c r="B441" s="124" t="s">
        <v>717</v>
      </c>
      <c r="C441" s="125">
        <v>12000</v>
      </c>
      <c r="D441" s="126" t="s">
        <v>705</v>
      </c>
      <c r="E441" s="127">
        <v>10000</v>
      </c>
      <c r="F441" s="128">
        <v>980</v>
      </c>
      <c r="G441" s="129">
        <f t="shared" si="114"/>
        <v>598000</v>
      </c>
      <c r="H441" s="130">
        <f t="shared" si="115"/>
        <v>33000</v>
      </c>
      <c r="I441" s="172">
        <v>3300</v>
      </c>
      <c r="J441" s="131">
        <f t="shared" si="116"/>
        <v>5.5183946488294312E-2</v>
      </c>
      <c r="K441" s="131">
        <f t="shared" si="117"/>
        <v>18.121212121212121</v>
      </c>
      <c r="L441" s="115">
        <f t="shared" si="118"/>
        <v>8.5532121212121215</v>
      </c>
    </row>
    <row r="442" spans="1:12">
      <c r="A442" s="109" t="s">
        <v>54</v>
      </c>
      <c r="B442" s="124" t="s">
        <v>718</v>
      </c>
      <c r="C442" s="125">
        <v>13000</v>
      </c>
      <c r="D442" s="126" t="s">
        <v>705</v>
      </c>
      <c r="E442" s="127">
        <v>10000</v>
      </c>
      <c r="F442" s="128">
        <v>980</v>
      </c>
      <c r="G442" s="129">
        <f t="shared" si="114"/>
        <v>598000</v>
      </c>
      <c r="H442" s="130">
        <f t="shared" si="115"/>
        <v>33000</v>
      </c>
      <c r="I442" s="172">
        <v>3300</v>
      </c>
      <c r="J442" s="131">
        <f t="shared" si="116"/>
        <v>5.5183946488294312E-2</v>
      </c>
      <c r="K442" s="131">
        <f t="shared" si="117"/>
        <v>18.121212121212121</v>
      </c>
      <c r="L442" s="115">
        <f t="shared" si="118"/>
        <v>8.5532121212121215</v>
      </c>
    </row>
    <row r="443" spans="1:12">
      <c r="A443" s="109" t="s">
        <v>54</v>
      </c>
      <c r="B443" s="124" t="s">
        <v>719</v>
      </c>
      <c r="C443" s="125">
        <v>14000</v>
      </c>
      <c r="D443" s="126" t="s">
        <v>705</v>
      </c>
      <c r="E443" s="127">
        <v>10000</v>
      </c>
      <c r="F443" s="128">
        <v>980</v>
      </c>
      <c r="G443" s="129">
        <f t="shared" si="114"/>
        <v>598000</v>
      </c>
      <c r="H443" s="130">
        <f t="shared" si="115"/>
        <v>33000</v>
      </c>
      <c r="I443" s="172">
        <v>3300</v>
      </c>
      <c r="J443" s="131">
        <f t="shared" si="116"/>
        <v>5.5183946488294312E-2</v>
      </c>
      <c r="K443" s="131">
        <f t="shared" si="117"/>
        <v>18.121212121212121</v>
      </c>
      <c r="L443" s="115">
        <f t="shared" si="118"/>
        <v>8.5532121212121215</v>
      </c>
    </row>
    <row r="444" spans="1:12">
      <c r="A444" s="109" t="s">
        <v>54</v>
      </c>
      <c r="B444" s="124" t="s">
        <v>720</v>
      </c>
      <c r="C444" s="125">
        <v>15000</v>
      </c>
      <c r="D444" s="126" t="s">
        <v>705</v>
      </c>
      <c r="E444" s="127">
        <v>10000</v>
      </c>
      <c r="F444" s="128">
        <v>980</v>
      </c>
      <c r="G444" s="129">
        <f t="shared" si="114"/>
        <v>598000</v>
      </c>
      <c r="H444" s="130">
        <f t="shared" si="115"/>
        <v>33000</v>
      </c>
      <c r="I444" s="172">
        <v>3300</v>
      </c>
      <c r="J444" s="131">
        <f t="shared" si="116"/>
        <v>5.5183946488294312E-2</v>
      </c>
      <c r="K444" s="131">
        <f t="shared" si="117"/>
        <v>18.121212121212121</v>
      </c>
      <c r="L444" s="115">
        <f t="shared" si="118"/>
        <v>8.5532121212121215</v>
      </c>
    </row>
    <row r="445" spans="1:12">
      <c r="A445" s="109" t="s">
        <v>54</v>
      </c>
      <c r="B445" s="124" t="s">
        <v>721</v>
      </c>
      <c r="C445" s="125">
        <v>16000</v>
      </c>
      <c r="D445" s="126" t="s">
        <v>705</v>
      </c>
      <c r="E445" s="127">
        <v>10000</v>
      </c>
      <c r="F445" s="128">
        <v>980</v>
      </c>
      <c r="G445" s="129">
        <f t="shared" si="114"/>
        <v>598000</v>
      </c>
      <c r="H445" s="130">
        <f t="shared" si="115"/>
        <v>33000</v>
      </c>
      <c r="I445" s="172">
        <v>3300</v>
      </c>
      <c r="J445" s="131">
        <f t="shared" si="116"/>
        <v>5.5183946488294312E-2</v>
      </c>
      <c r="K445" s="131">
        <f t="shared" si="117"/>
        <v>18.121212121212121</v>
      </c>
      <c r="L445" s="115">
        <f t="shared" si="118"/>
        <v>8.5532121212121215</v>
      </c>
    </row>
    <row r="446" spans="1:12">
      <c r="A446" s="109" t="s">
        <v>54</v>
      </c>
      <c r="B446" s="124" t="s">
        <v>722</v>
      </c>
      <c r="C446" s="125">
        <v>17000</v>
      </c>
      <c r="D446" s="126" t="s">
        <v>705</v>
      </c>
      <c r="E446" s="127">
        <v>10000</v>
      </c>
      <c r="F446" s="128">
        <v>980</v>
      </c>
      <c r="G446" s="129">
        <f t="shared" si="114"/>
        <v>598000</v>
      </c>
      <c r="H446" s="130">
        <f t="shared" si="115"/>
        <v>33000</v>
      </c>
      <c r="I446" s="172">
        <v>3300</v>
      </c>
      <c r="J446" s="131">
        <f t="shared" si="116"/>
        <v>5.5183946488294312E-2</v>
      </c>
      <c r="K446" s="131">
        <f t="shared" si="117"/>
        <v>18.121212121212121</v>
      </c>
      <c r="L446" s="115">
        <f t="shared" si="118"/>
        <v>8.5532121212121215</v>
      </c>
    </row>
    <row r="447" spans="1:12">
      <c r="A447" s="109" t="s">
        <v>54</v>
      </c>
      <c r="B447" s="124" t="s">
        <v>723</v>
      </c>
      <c r="C447" s="125">
        <v>18000</v>
      </c>
      <c r="D447" s="126" t="s">
        <v>705</v>
      </c>
      <c r="E447" s="127">
        <v>10000</v>
      </c>
      <c r="F447" s="128">
        <v>980</v>
      </c>
      <c r="G447" s="129">
        <f t="shared" si="114"/>
        <v>598000</v>
      </c>
      <c r="H447" s="130">
        <f t="shared" si="115"/>
        <v>33000</v>
      </c>
      <c r="I447" s="172">
        <v>3300</v>
      </c>
      <c r="J447" s="131">
        <f t="shared" si="116"/>
        <v>5.5183946488294312E-2</v>
      </c>
      <c r="K447" s="131">
        <f t="shared" si="117"/>
        <v>18.121212121212121</v>
      </c>
      <c r="L447" s="115">
        <f t="shared" si="118"/>
        <v>8.5532121212121215</v>
      </c>
    </row>
    <row r="448" spans="1:12">
      <c r="A448" s="109" t="s">
        <v>54</v>
      </c>
      <c r="B448" s="124" t="s">
        <v>724</v>
      </c>
      <c r="C448" s="125">
        <v>19000</v>
      </c>
      <c r="D448" s="126" t="s">
        <v>705</v>
      </c>
      <c r="E448" s="127">
        <v>10000</v>
      </c>
      <c r="F448" s="128">
        <v>980</v>
      </c>
      <c r="G448" s="129">
        <f t="shared" si="114"/>
        <v>598000</v>
      </c>
      <c r="H448" s="130">
        <f t="shared" si="115"/>
        <v>33000</v>
      </c>
      <c r="I448" s="172">
        <v>3300</v>
      </c>
      <c r="J448" s="131">
        <f t="shared" si="116"/>
        <v>5.5183946488294312E-2</v>
      </c>
      <c r="K448" s="131">
        <f t="shared" si="117"/>
        <v>18.121212121212121</v>
      </c>
      <c r="L448" s="115">
        <f t="shared" si="118"/>
        <v>8.5532121212121215</v>
      </c>
    </row>
    <row r="449" spans="1:12">
      <c r="A449" s="109" t="s">
        <v>54</v>
      </c>
      <c r="B449" s="124" t="s">
        <v>725</v>
      </c>
      <c r="C449" s="125">
        <v>20000</v>
      </c>
      <c r="D449" s="126" t="s">
        <v>705</v>
      </c>
      <c r="E449" s="127">
        <v>10000</v>
      </c>
      <c r="F449" s="128">
        <v>980</v>
      </c>
      <c r="G449" s="129">
        <f t="shared" si="114"/>
        <v>598000</v>
      </c>
      <c r="H449" s="130">
        <f t="shared" si="115"/>
        <v>33000</v>
      </c>
      <c r="I449" s="172">
        <v>3300</v>
      </c>
      <c r="J449" s="131">
        <f t="shared" si="116"/>
        <v>5.5183946488294312E-2</v>
      </c>
      <c r="K449" s="131">
        <f t="shared" si="117"/>
        <v>18.121212121212121</v>
      </c>
      <c r="L449" s="115">
        <f t="shared" si="118"/>
        <v>8.5532121212121215</v>
      </c>
    </row>
    <row r="450" spans="1:12">
      <c r="A450" s="109" t="s">
        <v>54</v>
      </c>
      <c r="B450" s="124" t="s">
        <v>726</v>
      </c>
      <c r="C450" s="125">
        <v>21000</v>
      </c>
      <c r="D450" s="126" t="s">
        <v>705</v>
      </c>
      <c r="E450" s="127">
        <v>10000</v>
      </c>
      <c r="F450" s="128">
        <v>980</v>
      </c>
      <c r="G450" s="129">
        <f t="shared" si="114"/>
        <v>598000</v>
      </c>
      <c r="H450" s="130">
        <f t="shared" si="115"/>
        <v>33000</v>
      </c>
      <c r="I450" s="172">
        <v>3300</v>
      </c>
      <c r="J450" s="131">
        <f t="shared" si="116"/>
        <v>5.5183946488294312E-2</v>
      </c>
      <c r="K450" s="131">
        <f t="shared" si="117"/>
        <v>18.121212121212121</v>
      </c>
      <c r="L450" s="115">
        <f t="shared" si="118"/>
        <v>8.5532121212121215</v>
      </c>
    </row>
    <row r="451" spans="1:12">
      <c r="A451" s="109" t="s">
        <v>54</v>
      </c>
      <c r="B451" s="124" t="s">
        <v>727</v>
      </c>
      <c r="C451" s="125">
        <v>22000</v>
      </c>
      <c r="D451" s="126" t="s">
        <v>705</v>
      </c>
      <c r="E451" s="127">
        <v>10000</v>
      </c>
      <c r="F451" s="128">
        <v>980</v>
      </c>
      <c r="G451" s="129">
        <f t="shared" si="114"/>
        <v>598000</v>
      </c>
      <c r="H451" s="130">
        <f>I451*10</f>
        <v>33000</v>
      </c>
      <c r="I451" s="172">
        <v>3300</v>
      </c>
      <c r="J451" s="131">
        <f>H451/G451</f>
        <v>5.5183946488294312E-2</v>
      </c>
      <c r="K451" s="131">
        <f>G451/H451</f>
        <v>18.121212121212121</v>
      </c>
      <c r="L451" s="115">
        <f>K451/K$2</f>
        <v>8.5532121212121215</v>
      </c>
    </row>
    <row r="452" spans="1:12">
      <c r="A452" s="109" t="s">
        <v>54</v>
      </c>
      <c r="B452" s="124" t="s">
        <v>728</v>
      </c>
      <c r="C452" s="125">
        <v>23000</v>
      </c>
      <c r="D452" s="126" t="s">
        <v>705</v>
      </c>
      <c r="E452" s="127">
        <v>10000</v>
      </c>
      <c r="F452" s="128">
        <v>980</v>
      </c>
      <c r="G452" s="129">
        <f t="shared" si="114"/>
        <v>598000</v>
      </c>
      <c r="H452" s="130">
        <f t="shared" si="115"/>
        <v>33000</v>
      </c>
      <c r="I452" s="172">
        <v>3300</v>
      </c>
      <c r="J452" s="131">
        <f t="shared" ref="J452:J455" si="119">H452/G452</f>
        <v>5.5183946488294312E-2</v>
      </c>
      <c r="K452" s="131">
        <f t="shared" ref="K452:K455" si="120">G452/H452</f>
        <v>18.121212121212121</v>
      </c>
      <c r="L452" s="115">
        <f t="shared" si="118"/>
        <v>8.5532121212121215</v>
      </c>
    </row>
    <row r="453" spans="1:12">
      <c r="A453" s="109" t="s">
        <v>54</v>
      </c>
      <c r="B453" s="124" t="s">
        <v>729</v>
      </c>
      <c r="C453" s="125">
        <v>24000</v>
      </c>
      <c r="D453" s="126" t="s">
        <v>705</v>
      </c>
      <c r="E453" s="127">
        <v>10000</v>
      </c>
      <c r="F453" s="128">
        <v>980</v>
      </c>
      <c r="G453" s="129">
        <f t="shared" si="114"/>
        <v>598000</v>
      </c>
      <c r="H453" s="130">
        <f t="shared" si="115"/>
        <v>33000</v>
      </c>
      <c r="I453" s="172">
        <v>3300</v>
      </c>
      <c r="J453" s="131">
        <f t="shared" si="119"/>
        <v>5.5183946488294312E-2</v>
      </c>
      <c r="K453" s="131">
        <f t="shared" si="120"/>
        <v>18.121212121212121</v>
      </c>
      <c r="L453" s="115">
        <f t="shared" si="118"/>
        <v>8.5532121212121215</v>
      </c>
    </row>
    <row r="454" spans="1:12">
      <c r="A454" s="109" t="s">
        <v>54</v>
      </c>
      <c r="B454" s="124" t="s">
        <v>730</v>
      </c>
      <c r="C454" s="125">
        <v>25000</v>
      </c>
      <c r="D454" s="126" t="s">
        <v>705</v>
      </c>
      <c r="E454" s="127">
        <v>10000</v>
      </c>
      <c r="F454" s="128">
        <v>980</v>
      </c>
      <c r="G454" s="129">
        <f t="shared" si="114"/>
        <v>598000</v>
      </c>
      <c r="H454" s="130">
        <f t="shared" si="115"/>
        <v>33000</v>
      </c>
      <c r="I454" s="172">
        <v>3300</v>
      </c>
      <c r="J454" s="131">
        <f t="shared" si="119"/>
        <v>5.5183946488294312E-2</v>
      </c>
      <c r="K454" s="131">
        <f t="shared" si="120"/>
        <v>18.121212121212121</v>
      </c>
      <c r="L454" s="115">
        <f t="shared" si="118"/>
        <v>8.5532121212121215</v>
      </c>
    </row>
    <row r="455" spans="1:12">
      <c r="A455" s="109" t="s">
        <v>54</v>
      </c>
      <c r="B455" s="124" t="s">
        <v>731</v>
      </c>
      <c r="C455" s="125">
        <v>26000</v>
      </c>
      <c r="D455" s="126" t="s">
        <v>705</v>
      </c>
      <c r="E455" s="127">
        <v>10000</v>
      </c>
      <c r="F455" s="128">
        <v>980</v>
      </c>
      <c r="G455" s="129">
        <f t="shared" si="114"/>
        <v>598000</v>
      </c>
      <c r="H455" s="130">
        <f t="shared" si="115"/>
        <v>33000</v>
      </c>
      <c r="I455" s="172">
        <v>3300</v>
      </c>
      <c r="J455" s="131">
        <f t="shared" si="119"/>
        <v>5.5183946488294312E-2</v>
      </c>
      <c r="K455" s="131">
        <f t="shared" si="120"/>
        <v>18.121212121212121</v>
      </c>
      <c r="L455" s="115">
        <f t="shared" si="118"/>
        <v>8.5532121212121215</v>
      </c>
    </row>
    <row r="456" spans="1:12">
      <c r="A456" s="109" t="s">
        <v>54</v>
      </c>
      <c r="B456" s="124" t="s">
        <v>732</v>
      </c>
      <c r="C456" s="125">
        <v>27000</v>
      </c>
      <c r="D456" s="126" t="s">
        <v>705</v>
      </c>
      <c r="E456" s="127">
        <v>10000</v>
      </c>
      <c r="F456" s="128">
        <v>980</v>
      </c>
      <c r="G456" s="129">
        <f t="shared" si="114"/>
        <v>598000</v>
      </c>
      <c r="H456" s="130">
        <f>I456*10</f>
        <v>33000</v>
      </c>
      <c r="I456" s="172">
        <v>3300</v>
      </c>
      <c r="J456" s="131">
        <f>H456/G456</f>
        <v>5.5183946488294312E-2</v>
      </c>
      <c r="K456" s="131">
        <f>G456/H456</f>
        <v>18.121212121212121</v>
      </c>
      <c r="L456" s="115">
        <f>K456/K$2</f>
        <v>8.5532121212121215</v>
      </c>
    </row>
    <row r="457" spans="1:12">
      <c r="A457" s="109" t="s">
        <v>54</v>
      </c>
      <c r="B457" s="124" t="s">
        <v>733</v>
      </c>
      <c r="C457" s="125">
        <v>28000</v>
      </c>
      <c r="D457" s="126" t="s">
        <v>705</v>
      </c>
      <c r="E457" s="127">
        <v>10000</v>
      </c>
      <c r="F457" s="128">
        <v>980</v>
      </c>
      <c r="G457" s="129">
        <f t="shared" si="114"/>
        <v>598000</v>
      </c>
      <c r="H457" s="130">
        <f t="shared" si="115"/>
        <v>33000</v>
      </c>
      <c r="I457" s="172">
        <v>3300</v>
      </c>
      <c r="J457" s="131">
        <f t="shared" ref="J457:J458" si="121">H457/G457</f>
        <v>5.5183946488294312E-2</v>
      </c>
      <c r="K457" s="131">
        <f t="shared" ref="K457:K458" si="122">G457/H457</f>
        <v>18.121212121212121</v>
      </c>
      <c r="L457" s="115">
        <f t="shared" si="118"/>
        <v>8.5532121212121215</v>
      </c>
    </row>
    <row r="458" spans="1:12">
      <c r="A458" s="109" t="s">
        <v>54</v>
      </c>
      <c r="B458" s="124" t="s">
        <v>734</v>
      </c>
      <c r="C458" s="125">
        <v>99999999</v>
      </c>
      <c r="D458" s="126" t="s">
        <v>705</v>
      </c>
      <c r="E458" s="127">
        <v>10000</v>
      </c>
      <c r="F458" s="128">
        <v>980</v>
      </c>
      <c r="G458" s="129">
        <f t="shared" si="114"/>
        <v>598000</v>
      </c>
      <c r="H458" s="130">
        <f t="shared" si="115"/>
        <v>33000</v>
      </c>
      <c r="I458" s="172">
        <v>3300</v>
      </c>
      <c r="J458" s="131">
        <f t="shared" si="121"/>
        <v>5.5183946488294312E-2</v>
      </c>
      <c r="K458" s="131">
        <f t="shared" si="122"/>
        <v>18.121212121212121</v>
      </c>
      <c r="L458" s="115">
        <f t="shared" si="118"/>
        <v>8.5532121212121215</v>
      </c>
    </row>
    <row r="460" spans="1:12">
      <c r="B460" s="123" t="s">
        <v>735</v>
      </c>
      <c r="C460" s="110"/>
      <c r="D460" s="109" t="s">
        <v>737</v>
      </c>
      <c r="E460" s="111"/>
      <c r="F460" s="112" t="s">
        <v>738</v>
      </c>
      <c r="G460" s="113"/>
      <c r="L460" s="115"/>
    </row>
    <row r="461" spans="1:12">
      <c r="A461" s="109" t="s">
        <v>54</v>
      </c>
      <c r="B461" s="124" t="s">
        <v>736</v>
      </c>
      <c r="C461" s="125">
        <v>300</v>
      </c>
      <c r="D461" s="126" t="s">
        <v>194</v>
      </c>
      <c r="E461" s="127">
        <v>1000</v>
      </c>
      <c r="F461" s="128">
        <v>290</v>
      </c>
      <c r="G461" s="129">
        <f>E461+(F461*200)</f>
        <v>59000</v>
      </c>
      <c r="H461" s="130">
        <f>I461*10</f>
        <v>3300</v>
      </c>
      <c r="I461" s="172">
        <v>330</v>
      </c>
      <c r="J461" s="131">
        <f>H461/G461</f>
        <v>5.5932203389830508E-2</v>
      </c>
      <c r="K461" s="131">
        <f>G461/H461</f>
        <v>17.878787878787879</v>
      </c>
      <c r="L461" s="115">
        <f>K461/K$2</f>
        <v>8.4387878787878776</v>
      </c>
    </row>
    <row r="462" spans="1:12">
      <c r="A462" s="109" t="s">
        <v>54</v>
      </c>
      <c r="B462" s="124" t="s">
        <v>739</v>
      </c>
      <c r="C462" s="125">
        <v>1000</v>
      </c>
      <c r="D462" s="126" t="s">
        <v>194</v>
      </c>
      <c r="E462" s="127">
        <v>1000</v>
      </c>
      <c r="F462" s="128">
        <v>290</v>
      </c>
      <c r="G462" s="129">
        <f t="shared" ref="G462:G490" si="123">E462+(F462*200)</f>
        <v>59000</v>
      </c>
      <c r="H462" s="130">
        <f t="shared" ref="H462:H490" si="124">I462*10</f>
        <v>3300</v>
      </c>
      <c r="I462" s="172">
        <v>330</v>
      </c>
      <c r="J462" s="131">
        <f t="shared" ref="J462:J484" si="125">H462/G462</f>
        <v>5.5932203389830508E-2</v>
      </c>
      <c r="K462" s="131">
        <f t="shared" ref="K462:K484" si="126">G462/H462</f>
        <v>17.878787878787879</v>
      </c>
      <c r="L462" s="115">
        <f t="shared" ref="L462:L490" si="127">K462/K$2</f>
        <v>8.4387878787878776</v>
      </c>
    </row>
    <row r="463" spans="1:12">
      <c r="A463" s="109" t="s">
        <v>54</v>
      </c>
      <c r="B463" s="124" t="s">
        <v>740</v>
      </c>
      <c r="C463" s="125">
        <v>2000</v>
      </c>
      <c r="D463" s="126" t="s">
        <v>194</v>
      </c>
      <c r="E463" s="127">
        <v>3000</v>
      </c>
      <c r="F463" s="128">
        <v>480</v>
      </c>
      <c r="G463" s="129">
        <f t="shared" si="123"/>
        <v>99000</v>
      </c>
      <c r="H463" s="130">
        <f t="shared" si="124"/>
        <v>5500</v>
      </c>
      <c r="I463" s="172">
        <v>550</v>
      </c>
      <c r="J463" s="131">
        <f t="shared" si="125"/>
        <v>5.5555555555555552E-2</v>
      </c>
      <c r="K463" s="131">
        <f t="shared" si="126"/>
        <v>18</v>
      </c>
      <c r="L463" s="115">
        <f t="shared" si="127"/>
        <v>8.4959999999999987</v>
      </c>
    </row>
    <row r="464" spans="1:12">
      <c r="A464" s="109" t="s">
        <v>54</v>
      </c>
      <c r="B464" s="124" t="s">
        <v>741</v>
      </c>
      <c r="C464" s="125">
        <v>3000</v>
      </c>
      <c r="D464" s="126" t="s">
        <v>194</v>
      </c>
      <c r="E464" s="127">
        <v>3000</v>
      </c>
      <c r="F464" s="128">
        <v>480</v>
      </c>
      <c r="G464" s="129">
        <f t="shared" si="123"/>
        <v>99000</v>
      </c>
      <c r="H464" s="130">
        <f t="shared" si="124"/>
        <v>5500</v>
      </c>
      <c r="I464" s="172">
        <v>550</v>
      </c>
      <c r="J464" s="131">
        <f t="shared" si="125"/>
        <v>5.5555555555555552E-2</v>
      </c>
      <c r="K464" s="131">
        <f t="shared" si="126"/>
        <v>18</v>
      </c>
      <c r="L464" s="115">
        <f t="shared" si="127"/>
        <v>8.4959999999999987</v>
      </c>
    </row>
    <row r="465" spans="1:12">
      <c r="A465" s="109" t="s">
        <v>54</v>
      </c>
      <c r="B465" s="124" t="s">
        <v>742</v>
      </c>
      <c r="C465" s="125">
        <v>5000</v>
      </c>
      <c r="D465" s="126" t="s">
        <v>194</v>
      </c>
      <c r="E465" s="127">
        <v>5000</v>
      </c>
      <c r="F465" s="128">
        <v>970</v>
      </c>
      <c r="G465" s="129">
        <f t="shared" si="123"/>
        <v>199000</v>
      </c>
      <c r="H465" s="130">
        <f t="shared" si="124"/>
        <v>11000</v>
      </c>
      <c r="I465" s="172">
        <v>1100</v>
      </c>
      <c r="J465" s="131">
        <f t="shared" si="125"/>
        <v>5.5276381909547742E-2</v>
      </c>
      <c r="K465" s="131">
        <f t="shared" si="126"/>
        <v>18.09090909090909</v>
      </c>
      <c r="L465" s="115">
        <f t="shared" si="127"/>
        <v>8.5389090909090903</v>
      </c>
    </row>
    <row r="466" spans="1:12">
      <c r="A466" s="109" t="s">
        <v>54</v>
      </c>
      <c r="B466" s="124" t="s">
        <v>743</v>
      </c>
      <c r="C466" s="125">
        <v>7000</v>
      </c>
      <c r="D466" s="126" t="s">
        <v>194</v>
      </c>
      <c r="E466" s="127">
        <v>5000</v>
      </c>
      <c r="F466" s="128">
        <v>970</v>
      </c>
      <c r="G466" s="129">
        <f t="shared" si="123"/>
        <v>199000</v>
      </c>
      <c r="H466" s="130">
        <f t="shared" si="124"/>
        <v>11000</v>
      </c>
      <c r="I466" s="172">
        <v>1100</v>
      </c>
      <c r="J466" s="131">
        <f t="shared" si="125"/>
        <v>5.5276381909547742E-2</v>
      </c>
      <c r="K466" s="131">
        <f t="shared" si="126"/>
        <v>18.09090909090909</v>
      </c>
      <c r="L466" s="115">
        <f t="shared" si="127"/>
        <v>8.5389090909090903</v>
      </c>
    </row>
    <row r="467" spans="1:12">
      <c r="A467" s="109" t="s">
        <v>54</v>
      </c>
      <c r="B467" s="124" t="s">
        <v>744</v>
      </c>
      <c r="C467" s="125">
        <v>10000</v>
      </c>
      <c r="D467" s="126" t="s">
        <v>194</v>
      </c>
      <c r="E467" s="127">
        <v>10000</v>
      </c>
      <c r="F467" s="128">
        <v>2930</v>
      </c>
      <c r="G467" s="129">
        <f t="shared" si="123"/>
        <v>596000</v>
      </c>
      <c r="H467" s="130">
        <f t="shared" si="124"/>
        <v>33000</v>
      </c>
      <c r="I467" s="172">
        <v>3300</v>
      </c>
      <c r="J467" s="131">
        <f t="shared" si="125"/>
        <v>5.5369127516778527E-2</v>
      </c>
      <c r="K467" s="131">
        <f t="shared" si="126"/>
        <v>18.060606060606062</v>
      </c>
      <c r="L467" s="115">
        <f t="shared" si="127"/>
        <v>8.524606060606061</v>
      </c>
    </row>
    <row r="468" spans="1:12">
      <c r="A468" s="109" t="s">
        <v>54</v>
      </c>
      <c r="B468" s="124" t="s">
        <v>745</v>
      </c>
      <c r="C468" s="125">
        <v>15000</v>
      </c>
      <c r="D468" s="126" t="s">
        <v>194</v>
      </c>
      <c r="E468" s="127">
        <v>10000</v>
      </c>
      <c r="F468" s="128">
        <v>2930</v>
      </c>
      <c r="G468" s="129">
        <f t="shared" si="123"/>
        <v>596000</v>
      </c>
      <c r="H468" s="130">
        <f t="shared" si="124"/>
        <v>33000</v>
      </c>
      <c r="I468" s="172">
        <v>3300</v>
      </c>
      <c r="J468" s="131">
        <f t="shared" si="125"/>
        <v>5.5369127516778527E-2</v>
      </c>
      <c r="K468" s="131">
        <f t="shared" si="126"/>
        <v>18.060606060606062</v>
      </c>
      <c r="L468" s="115">
        <f t="shared" si="127"/>
        <v>8.524606060606061</v>
      </c>
    </row>
    <row r="469" spans="1:12">
      <c r="A469" s="109" t="s">
        <v>54</v>
      </c>
      <c r="B469" s="124" t="s">
        <v>746</v>
      </c>
      <c r="C469" s="125">
        <v>20000</v>
      </c>
      <c r="D469" s="126" t="s">
        <v>194</v>
      </c>
      <c r="E469" s="127">
        <v>10000</v>
      </c>
      <c r="F469" s="128">
        <v>2930</v>
      </c>
      <c r="G469" s="129">
        <f t="shared" si="123"/>
        <v>596000</v>
      </c>
      <c r="H469" s="130">
        <f t="shared" si="124"/>
        <v>33000</v>
      </c>
      <c r="I469" s="172">
        <v>3300</v>
      </c>
      <c r="J469" s="131">
        <f t="shared" si="125"/>
        <v>5.5369127516778527E-2</v>
      </c>
      <c r="K469" s="131">
        <f t="shared" si="126"/>
        <v>18.060606060606062</v>
      </c>
      <c r="L469" s="115">
        <f t="shared" si="127"/>
        <v>8.524606060606061</v>
      </c>
    </row>
    <row r="470" spans="1:12">
      <c r="A470" s="109" t="s">
        <v>54</v>
      </c>
      <c r="B470" s="124" t="s">
        <v>747</v>
      </c>
      <c r="C470" s="125">
        <v>25000</v>
      </c>
      <c r="D470" s="126" t="s">
        <v>194</v>
      </c>
      <c r="E470" s="127">
        <v>10000</v>
      </c>
      <c r="F470" s="128">
        <v>2930</v>
      </c>
      <c r="G470" s="129">
        <f t="shared" si="123"/>
        <v>596000</v>
      </c>
      <c r="H470" s="130">
        <f t="shared" si="124"/>
        <v>33000</v>
      </c>
      <c r="I470" s="172">
        <v>3300</v>
      </c>
      <c r="J470" s="131">
        <f t="shared" si="125"/>
        <v>5.5369127516778527E-2</v>
      </c>
      <c r="K470" s="131">
        <f t="shared" si="126"/>
        <v>18.060606060606062</v>
      </c>
      <c r="L470" s="115">
        <f t="shared" si="127"/>
        <v>8.524606060606061</v>
      </c>
    </row>
    <row r="471" spans="1:12">
      <c r="A471" s="109" t="s">
        <v>54</v>
      </c>
      <c r="B471" s="124" t="s">
        <v>748</v>
      </c>
      <c r="C471" s="125">
        <v>30000</v>
      </c>
      <c r="D471" s="126" t="s">
        <v>194</v>
      </c>
      <c r="E471" s="127">
        <v>10000</v>
      </c>
      <c r="F471" s="128">
        <v>2930</v>
      </c>
      <c r="G471" s="129">
        <f t="shared" si="123"/>
        <v>596000</v>
      </c>
      <c r="H471" s="130">
        <f t="shared" si="124"/>
        <v>33000</v>
      </c>
      <c r="I471" s="172">
        <v>3300</v>
      </c>
      <c r="J471" s="131">
        <f t="shared" si="125"/>
        <v>5.5369127516778527E-2</v>
      </c>
      <c r="K471" s="131">
        <f t="shared" si="126"/>
        <v>18.060606060606062</v>
      </c>
      <c r="L471" s="115">
        <f t="shared" si="127"/>
        <v>8.524606060606061</v>
      </c>
    </row>
    <row r="472" spans="1:12">
      <c r="A472" s="109" t="s">
        <v>54</v>
      </c>
      <c r="B472" s="124" t="s">
        <v>749</v>
      </c>
      <c r="C472" s="125">
        <v>35000</v>
      </c>
      <c r="D472" s="126" t="s">
        <v>194</v>
      </c>
      <c r="E472" s="127">
        <v>10000</v>
      </c>
      <c r="F472" s="128">
        <v>2930</v>
      </c>
      <c r="G472" s="129">
        <f t="shared" si="123"/>
        <v>596000</v>
      </c>
      <c r="H472" s="130">
        <f t="shared" si="124"/>
        <v>33000</v>
      </c>
      <c r="I472" s="172">
        <v>3300</v>
      </c>
      <c r="J472" s="131">
        <f t="shared" si="125"/>
        <v>5.5369127516778527E-2</v>
      </c>
      <c r="K472" s="131">
        <f t="shared" si="126"/>
        <v>18.060606060606062</v>
      </c>
      <c r="L472" s="115">
        <f t="shared" si="127"/>
        <v>8.524606060606061</v>
      </c>
    </row>
    <row r="473" spans="1:12">
      <c r="A473" s="109" t="s">
        <v>54</v>
      </c>
      <c r="B473" s="124" t="s">
        <v>750</v>
      </c>
      <c r="C473" s="125">
        <v>40000</v>
      </c>
      <c r="D473" s="126" t="s">
        <v>194</v>
      </c>
      <c r="E473" s="127">
        <v>10000</v>
      </c>
      <c r="F473" s="128">
        <v>2930</v>
      </c>
      <c r="G473" s="129">
        <f t="shared" si="123"/>
        <v>596000</v>
      </c>
      <c r="H473" s="130">
        <f t="shared" si="124"/>
        <v>33000</v>
      </c>
      <c r="I473" s="172">
        <v>3300</v>
      </c>
      <c r="J473" s="131">
        <f t="shared" si="125"/>
        <v>5.5369127516778527E-2</v>
      </c>
      <c r="K473" s="131">
        <f t="shared" si="126"/>
        <v>18.060606060606062</v>
      </c>
      <c r="L473" s="115">
        <f t="shared" si="127"/>
        <v>8.524606060606061</v>
      </c>
    </row>
    <row r="474" spans="1:12">
      <c r="A474" s="109" t="s">
        <v>54</v>
      </c>
      <c r="B474" s="124" t="s">
        <v>751</v>
      </c>
      <c r="C474" s="125">
        <v>45000</v>
      </c>
      <c r="D474" s="126" t="s">
        <v>194</v>
      </c>
      <c r="E474" s="127">
        <v>10000</v>
      </c>
      <c r="F474" s="128">
        <v>2930</v>
      </c>
      <c r="G474" s="129">
        <f t="shared" si="123"/>
        <v>596000</v>
      </c>
      <c r="H474" s="130">
        <f t="shared" si="124"/>
        <v>33000</v>
      </c>
      <c r="I474" s="172">
        <v>3300</v>
      </c>
      <c r="J474" s="131">
        <f t="shared" si="125"/>
        <v>5.5369127516778527E-2</v>
      </c>
      <c r="K474" s="131">
        <f t="shared" si="126"/>
        <v>18.060606060606062</v>
      </c>
      <c r="L474" s="115">
        <f t="shared" si="127"/>
        <v>8.524606060606061</v>
      </c>
    </row>
    <row r="475" spans="1:12">
      <c r="A475" s="109" t="s">
        <v>54</v>
      </c>
      <c r="B475" s="124" t="s">
        <v>752</v>
      </c>
      <c r="C475" s="125">
        <v>50000</v>
      </c>
      <c r="D475" s="126" t="s">
        <v>194</v>
      </c>
      <c r="E475" s="127">
        <v>10000</v>
      </c>
      <c r="F475" s="128">
        <v>2930</v>
      </c>
      <c r="G475" s="129">
        <f t="shared" si="123"/>
        <v>596000</v>
      </c>
      <c r="H475" s="130">
        <f t="shared" si="124"/>
        <v>33000</v>
      </c>
      <c r="I475" s="172">
        <v>3300</v>
      </c>
      <c r="J475" s="131">
        <f t="shared" si="125"/>
        <v>5.5369127516778527E-2</v>
      </c>
      <c r="K475" s="131">
        <f t="shared" si="126"/>
        <v>18.060606060606062</v>
      </c>
      <c r="L475" s="115">
        <f t="shared" si="127"/>
        <v>8.524606060606061</v>
      </c>
    </row>
    <row r="476" spans="1:12">
      <c r="A476" s="109" t="s">
        <v>54</v>
      </c>
      <c r="B476" s="124" t="s">
        <v>753</v>
      </c>
      <c r="C476" s="125">
        <v>55000</v>
      </c>
      <c r="D476" s="126" t="s">
        <v>194</v>
      </c>
      <c r="E476" s="127">
        <v>10000</v>
      </c>
      <c r="F476" s="128">
        <v>2930</v>
      </c>
      <c r="G476" s="129">
        <f t="shared" si="123"/>
        <v>596000</v>
      </c>
      <c r="H476" s="130">
        <f t="shared" si="124"/>
        <v>33000</v>
      </c>
      <c r="I476" s="172">
        <v>3300</v>
      </c>
      <c r="J476" s="131">
        <f t="shared" si="125"/>
        <v>5.5369127516778527E-2</v>
      </c>
      <c r="K476" s="131">
        <f t="shared" si="126"/>
        <v>18.060606060606062</v>
      </c>
      <c r="L476" s="115">
        <f t="shared" si="127"/>
        <v>8.524606060606061</v>
      </c>
    </row>
    <row r="477" spans="1:12">
      <c r="A477" s="109" t="s">
        <v>54</v>
      </c>
      <c r="B477" s="124" t="s">
        <v>754</v>
      </c>
      <c r="C477" s="125">
        <v>60000</v>
      </c>
      <c r="D477" s="126" t="s">
        <v>194</v>
      </c>
      <c r="E477" s="127">
        <v>10000</v>
      </c>
      <c r="F477" s="128">
        <v>2930</v>
      </c>
      <c r="G477" s="129">
        <f t="shared" si="123"/>
        <v>596000</v>
      </c>
      <c r="H477" s="130">
        <f t="shared" si="124"/>
        <v>33000</v>
      </c>
      <c r="I477" s="172">
        <v>3300</v>
      </c>
      <c r="J477" s="131">
        <f t="shared" si="125"/>
        <v>5.5369127516778527E-2</v>
      </c>
      <c r="K477" s="131">
        <f t="shared" si="126"/>
        <v>18.060606060606062</v>
      </c>
      <c r="L477" s="115">
        <f t="shared" si="127"/>
        <v>8.524606060606061</v>
      </c>
    </row>
    <row r="478" spans="1:12">
      <c r="A478" s="109" t="s">
        <v>54</v>
      </c>
      <c r="B478" s="124" t="s">
        <v>755</v>
      </c>
      <c r="C478" s="125">
        <v>65000</v>
      </c>
      <c r="D478" s="126" t="s">
        <v>194</v>
      </c>
      <c r="E478" s="127">
        <v>10000</v>
      </c>
      <c r="F478" s="128">
        <v>2930</v>
      </c>
      <c r="G478" s="129">
        <f t="shared" si="123"/>
        <v>596000</v>
      </c>
      <c r="H478" s="130">
        <f t="shared" si="124"/>
        <v>33000</v>
      </c>
      <c r="I478" s="172">
        <v>3300</v>
      </c>
      <c r="J478" s="131">
        <f t="shared" si="125"/>
        <v>5.5369127516778527E-2</v>
      </c>
      <c r="K478" s="131">
        <f t="shared" si="126"/>
        <v>18.060606060606062</v>
      </c>
      <c r="L478" s="115">
        <f t="shared" si="127"/>
        <v>8.524606060606061</v>
      </c>
    </row>
    <row r="479" spans="1:12">
      <c r="A479" s="109" t="s">
        <v>54</v>
      </c>
      <c r="B479" s="124" t="s">
        <v>756</v>
      </c>
      <c r="C479" s="125">
        <v>70000</v>
      </c>
      <c r="D479" s="126" t="s">
        <v>194</v>
      </c>
      <c r="E479" s="127">
        <v>10000</v>
      </c>
      <c r="F479" s="128">
        <v>2930</v>
      </c>
      <c r="G479" s="129">
        <f t="shared" si="123"/>
        <v>596000</v>
      </c>
      <c r="H479" s="130">
        <f t="shared" si="124"/>
        <v>33000</v>
      </c>
      <c r="I479" s="172">
        <v>3300</v>
      </c>
      <c r="J479" s="131">
        <f t="shared" si="125"/>
        <v>5.5369127516778527E-2</v>
      </c>
      <c r="K479" s="131">
        <f t="shared" si="126"/>
        <v>18.060606060606062</v>
      </c>
      <c r="L479" s="115">
        <f t="shared" si="127"/>
        <v>8.524606060606061</v>
      </c>
    </row>
    <row r="480" spans="1:12">
      <c r="A480" s="109" t="s">
        <v>54</v>
      </c>
      <c r="B480" s="124" t="s">
        <v>757</v>
      </c>
      <c r="C480" s="125">
        <v>75000</v>
      </c>
      <c r="D480" s="126" t="s">
        <v>194</v>
      </c>
      <c r="E480" s="127">
        <v>10000</v>
      </c>
      <c r="F480" s="128">
        <v>2930</v>
      </c>
      <c r="G480" s="129">
        <f t="shared" si="123"/>
        <v>596000</v>
      </c>
      <c r="H480" s="130">
        <f t="shared" si="124"/>
        <v>33000</v>
      </c>
      <c r="I480" s="172">
        <v>3300</v>
      </c>
      <c r="J480" s="131">
        <f t="shared" si="125"/>
        <v>5.5369127516778527E-2</v>
      </c>
      <c r="K480" s="131">
        <f t="shared" si="126"/>
        <v>18.060606060606062</v>
      </c>
      <c r="L480" s="115">
        <f t="shared" si="127"/>
        <v>8.524606060606061</v>
      </c>
    </row>
    <row r="481" spans="1:12">
      <c r="A481" s="109" t="s">
        <v>54</v>
      </c>
      <c r="B481" s="124" t="s">
        <v>758</v>
      </c>
      <c r="C481" s="125">
        <v>80000</v>
      </c>
      <c r="D481" s="126" t="s">
        <v>194</v>
      </c>
      <c r="E481" s="127">
        <v>10000</v>
      </c>
      <c r="F481" s="128">
        <v>2930</v>
      </c>
      <c r="G481" s="129">
        <f t="shared" si="123"/>
        <v>596000</v>
      </c>
      <c r="H481" s="130">
        <f t="shared" si="124"/>
        <v>33000</v>
      </c>
      <c r="I481" s="172">
        <v>3300</v>
      </c>
      <c r="J481" s="131">
        <f t="shared" si="125"/>
        <v>5.5369127516778527E-2</v>
      </c>
      <c r="K481" s="131">
        <f t="shared" si="126"/>
        <v>18.060606060606062</v>
      </c>
      <c r="L481" s="115">
        <f t="shared" si="127"/>
        <v>8.524606060606061</v>
      </c>
    </row>
    <row r="482" spans="1:12">
      <c r="A482" s="109" t="s">
        <v>54</v>
      </c>
      <c r="B482" s="124" t="s">
        <v>759</v>
      </c>
      <c r="C482" s="125">
        <v>85000</v>
      </c>
      <c r="D482" s="126" t="s">
        <v>194</v>
      </c>
      <c r="E482" s="127">
        <v>10000</v>
      </c>
      <c r="F482" s="128">
        <v>2930</v>
      </c>
      <c r="G482" s="129">
        <f t="shared" si="123"/>
        <v>596000</v>
      </c>
      <c r="H482" s="130">
        <f t="shared" si="124"/>
        <v>33000</v>
      </c>
      <c r="I482" s="172">
        <v>3300</v>
      </c>
      <c r="J482" s="131">
        <f t="shared" si="125"/>
        <v>5.5369127516778527E-2</v>
      </c>
      <c r="K482" s="131">
        <f t="shared" si="126"/>
        <v>18.060606060606062</v>
      </c>
      <c r="L482" s="115">
        <f t="shared" si="127"/>
        <v>8.524606060606061</v>
      </c>
    </row>
    <row r="483" spans="1:12">
      <c r="A483" s="109" t="s">
        <v>54</v>
      </c>
      <c r="B483" s="124" t="s">
        <v>760</v>
      </c>
      <c r="C483" s="125">
        <v>90000</v>
      </c>
      <c r="D483" s="126" t="s">
        <v>194</v>
      </c>
      <c r="E483" s="127">
        <v>10000</v>
      </c>
      <c r="F483" s="128">
        <v>2930</v>
      </c>
      <c r="G483" s="129">
        <f t="shared" si="123"/>
        <v>596000</v>
      </c>
      <c r="H483" s="130">
        <f t="shared" si="124"/>
        <v>33000</v>
      </c>
      <c r="I483" s="172">
        <v>3300</v>
      </c>
      <c r="J483" s="131">
        <f t="shared" si="125"/>
        <v>5.5369127516778527E-2</v>
      </c>
      <c r="K483" s="131">
        <f t="shared" si="126"/>
        <v>18.060606060606062</v>
      </c>
      <c r="L483" s="115">
        <f t="shared" si="127"/>
        <v>8.524606060606061</v>
      </c>
    </row>
    <row r="484" spans="1:12">
      <c r="A484" s="109" t="s">
        <v>54</v>
      </c>
      <c r="B484" s="124" t="s">
        <v>761</v>
      </c>
      <c r="C484" s="125">
        <v>95000</v>
      </c>
      <c r="D484" s="126" t="s">
        <v>194</v>
      </c>
      <c r="E484" s="127">
        <v>10000</v>
      </c>
      <c r="F484" s="128">
        <v>2930</v>
      </c>
      <c r="G484" s="129">
        <f t="shared" si="123"/>
        <v>596000</v>
      </c>
      <c r="H484" s="130">
        <f t="shared" si="124"/>
        <v>33000</v>
      </c>
      <c r="I484" s="172">
        <v>3300</v>
      </c>
      <c r="J484" s="131">
        <f t="shared" si="125"/>
        <v>5.5369127516778527E-2</v>
      </c>
      <c r="K484" s="131">
        <f t="shared" si="126"/>
        <v>18.060606060606062</v>
      </c>
      <c r="L484" s="115">
        <f t="shared" si="127"/>
        <v>8.524606060606061</v>
      </c>
    </row>
    <row r="485" spans="1:12">
      <c r="A485" s="109" t="s">
        <v>54</v>
      </c>
      <c r="B485" s="124" t="s">
        <v>762</v>
      </c>
      <c r="C485" s="125">
        <v>100000</v>
      </c>
      <c r="D485" s="126" t="s">
        <v>194</v>
      </c>
      <c r="E485" s="127">
        <v>10000</v>
      </c>
      <c r="F485" s="128">
        <v>2930</v>
      </c>
      <c r="G485" s="129">
        <f t="shared" si="123"/>
        <v>596000</v>
      </c>
      <c r="H485" s="130">
        <f>I485*10</f>
        <v>33000</v>
      </c>
      <c r="I485" s="172">
        <v>3300</v>
      </c>
      <c r="J485" s="131">
        <f>H485/G485</f>
        <v>5.5369127516778527E-2</v>
      </c>
      <c r="K485" s="131">
        <f>G485/H485</f>
        <v>18.060606060606062</v>
      </c>
      <c r="L485" s="115">
        <f>K485/K$2</f>
        <v>8.524606060606061</v>
      </c>
    </row>
    <row r="486" spans="1:12">
      <c r="A486" s="109" t="s">
        <v>54</v>
      </c>
      <c r="B486" s="124" t="s">
        <v>763</v>
      </c>
      <c r="C486" s="125">
        <v>105000</v>
      </c>
      <c r="D486" s="126" t="s">
        <v>194</v>
      </c>
      <c r="E486" s="127">
        <v>10000</v>
      </c>
      <c r="F486" s="128">
        <v>2930</v>
      </c>
      <c r="G486" s="129">
        <f t="shared" si="123"/>
        <v>596000</v>
      </c>
      <c r="H486" s="130">
        <f t="shared" si="124"/>
        <v>33000</v>
      </c>
      <c r="I486" s="172">
        <v>3300</v>
      </c>
      <c r="J486" s="131">
        <f t="shared" ref="J486:J490" si="128">H486/G486</f>
        <v>5.5369127516778527E-2</v>
      </c>
      <c r="K486" s="131">
        <f t="shared" ref="K486:K490" si="129">G486/H486</f>
        <v>18.060606060606062</v>
      </c>
      <c r="L486" s="115">
        <f t="shared" si="127"/>
        <v>8.524606060606061</v>
      </c>
    </row>
    <row r="487" spans="1:12">
      <c r="A487" s="109" t="s">
        <v>54</v>
      </c>
      <c r="B487" s="124" t="s">
        <v>764</v>
      </c>
      <c r="C487" s="125">
        <v>110000</v>
      </c>
      <c r="D487" s="126" t="s">
        <v>194</v>
      </c>
      <c r="E487" s="127">
        <v>10000</v>
      </c>
      <c r="F487" s="128">
        <v>2930</v>
      </c>
      <c r="G487" s="129">
        <f t="shared" si="123"/>
        <v>596000</v>
      </c>
      <c r="H487" s="130">
        <f t="shared" si="124"/>
        <v>33000</v>
      </c>
      <c r="I487" s="172">
        <v>3300</v>
      </c>
      <c r="J487" s="131">
        <f t="shared" si="128"/>
        <v>5.5369127516778527E-2</v>
      </c>
      <c r="K487" s="131">
        <f t="shared" si="129"/>
        <v>18.060606060606062</v>
      </c>
      <c r="L487" s="115">
        <f t="shared" si="127"/>
        <v>8.524606060606061</v>
      </c>
    </row>
    <row r="488" spans="1:12">
      <c r="A488" s="109" t="s">
        <v>54</v>
      </c>
      <c r="B488" s="124" t="s">
        <v>765</v>
      </c>
      <c r="C488" s="125">
        <v>115000</v>
      </c>
      <c r="D488" s="126" t="s">
        <v>194</v>
      </c>
      <c r="E488" s="127">
        <v>10000</v>
      </c>
      <c r="F488" s="128">
        <v>2930</v>
      </c>
      <c r="G488" s="129">
        <f t="shared" si="123"/>
        <v>596000</v>
      </c>
      <c r="H488" s="130">
        <f t="shared" si="124"/>
        <v>33000</v>
      </c>
      <c r="I488" s="172">
        <v>3300</v>
      </c>
      <c r="J488" s="131">
        <f t="shared" si="128"/>
        <v>5.5369127516778527E-2</v>
      </c>
      <c r="K488" s="131">
        <f t="shared" si="129"/>
        <v>18.060606060606062</v>
      </c>
      <c r="L488" s="115">
        <f t="shared" si="127"/>
        <v>8.524606060606061</v>
      </c>
    </row>
    <row r="489" spans="1:12">
      <c r="A489" s="109" t="s">
        <v>54</v>
      </c>
      <c r="B489" s="124" t="s">
        <v>766</v>
      </c>
      <c r="C489" s="125">
        <v>120000</v>
      </c>
      <c r="D489" s="126" t="s">
        <v>194</v>
      </c>
      <c r="E489" s="127">
        <v>10000</v>
      </c>
      <c r="F489" s="128">
        <v>2930</v>
      </c>
      <c r="G489" s="129">
        <f t="shared" si="123"/>
        <v>596000</v>
      </c>
      <c r="H489" s="130">
        <f t="shared" si="124"/>
        <v>33000</v>
      </c>
      <c r="I489" s="172">
        <v>3300</v>
      </c>
      <c r="J489" s="131">
        <f t="shared" si="128"/>
        <v>5.5369127516778527E-2</v>
      </c>
      <c r="K489" s="131">
        <f t="shared" si="129"/>
        <v>18.060606060606062</v>
      </c>
      <c r="L489" s="115">
        <f t="shared" si="127"/>
        <v>8.524606060606061</v>
      </c>
    </row>
    <row r="490" spans="1:12">
      <c r="A490" s="109" t="s">
        <v>54</v>
      </c>
      <c r="B490" s="124" t="s">
        <v>767</v>
      </c>
      <c r="C490" s="125">
        <v>9999999</v>
      </c>
      <c r="D490" s="126" t="s">
        <v>194</v>
      </c>
      <c r="E490" s="127">
        <v>10000</v>
      </c>
      <c r="F490" s="128">
        <v>2930</v>
      </c>
      <c r="G490" s="129">
        <f t="shared" si="123"/>
        <v>596000</v>
      </c>
      <c r="H490" s="130">
        <f t="shared" si="124"/>
        <v>33000</v>
      </c>
      <c r="I490" s="172">
        <v>3300</v>
      </c>
      <c r="J490" s="131">
        <f t="shared" si="128"/>
        <v>5.5369127516778527E-2</v>
      </c>
      <c r="K490" s="131">
        <f t="shared" si="129"/>
        <v>18.060606060606062</v>
      </c>
      <c r="L490" s="115">
        <f t="shared" si="127"/>
        <v>8.524606060606061</v>
      </c>
    </row>
    <row r="492" spans="1:12">
      <c r="B492" s="123" t="s">
        <v>768</v>
      </c>
      <c r="C492" s="110"/>
      <c r="D492" s="109" t="s">
        <v>778</v>
      </c>
      <c r="E492" s="111"/>
      <c r="F492" s="167" t="s">
        <v>779</v>
      </c>
      <c r="G492" s="113"/>
    </row>
    <row r="493" spans="1:12">
      <c r="A493" s="109" t="s">
        <v>54</v>
      </c>
      <c r="B493" s="124" t="s">
        <v>769</v>
      </c>
      <c r="C493" s="137" t="s">
        <v>96</v>
      </c>
      <c r="D493" s="124" t="s">
        <v>48</v>
      </c>
      <c r="E493" s="135">
        <v>60000</v>
      </c>
      <c r="F493" s="174">
        <v>0</v>
      </c>
      <c r="G493" s="139">
        <f>F493+E493</f>
        <v>60000</v>
      </c>
      <c r="H493" s="149">
        <f>I493*10</f>
        <v>3300</v>
      </c>
      <c r="I493" s="165">
        <v>330</v>
      </c>
      <c r="J493" s="140">
        <f t="shared" ref="J493:J502" si="130">H493/G493</f>
        <v>5.5E-2</v>
      </c>
      <c r="K493" s="140">
        <f t="shared" ref="K493:K502" si="131">G493/H493</f>
        <v>18.181818181818183</v>
      </c>
      <c r="L493" s="115">
        <f t="shared" ref="L493:L502" si="132">K493/K$2</f>
        <v>8.581818181818182</v>
      </c>
    </row>
    <row r="494" spans="1:12">
      <c r="A494" s="109" t="s">
        <v>54</v>
      </c>
      <c r="B494" s="124" t="s">
        <v>770</v>
      </c>
      <c r="C494" s="137" t="s">
        <v>97</v>
      </c>
      <c r="D494" s="124" t="s">
        <v>195</v>
      </c>
      <c r="E494" s="135">
        <v>3000</v>
      </c>
      <c r="F494" s="174">
        <v>290000</v>
      </c>
      <c r="G494" s="139">
        <f t="shared" ref="G494:G502" si="133">E494+(F494*1/3)</f>
        <v>99666.666666666672</v>
      </c>
      <c r="H494" s="149">
        <f t="shared" ref="H494:H502" si="134">I494*10</f>
        <v>5500</v>
      </c>
      <c r="I494" s="165">
        <v>550</v>
      </c>
      <c r="J494" s="140">
        <f t="shared" si="130"/>
        <v>5.5183946488294312E-2</v>
      </c>
      <c r="K494" s="140">
        <f t="shared" si="131"/>
        <v>18.121212121212121</v>
      </c>
      <c r="L494" s="115">
        <f t="shared" si="132"/>
        <v>8.5532121212121215</v>
      </c>
    </row>
    <row r="495" spans="1:12">
      <c r="A495" s="109" t="s">
        <v>54</v>
      </c>
      <c r="B495" s="124" t="s">
        <v>771</v>
      </c>
      <c r="C495" s="137" t="s">
        <v>98</v>
      </c>
      <c r="D495" s="124" t="s">
        <v>195</v>
      </c>
      <c r="E495" s="135">
        <v>5000</v>
      </c>
      <c r="F495" s="174">
        <v>580000</v>
      </c>
      <c r="G495" s="139">
        <f t="shared" si="133"/>
        <v>198333.33333333334</v>
      </c>
      <c r="H495" s="149">
        <f t="shared" si="134"/>
        <v>11000</v>
      </c>
      <c r="I495" s="165">
        <v>1100</v>
      </c>
      <c r="J495" s="140">
        <f t="shared" si="130"/>
        <v>5.5462184873949577E-2</v>
      </c>
      <c r="K495" s="140">
        <f t="shared" si="131"/>
        <v>18.030303030303031</v>
      </c>
      <c r="L495" s="115">
        <f t="shared" si="132"/>
        <v>8.5103030303030298</v>
      </c>
    </row>
    <row r="496" spans="1:12">
      <c r="A496" s="109" t="s">
        <v>54</v>
      </c>
      <c r="B496" s="124" t="s">
        <v>772</v>
      </c>
      <c r="C496" s="137" t="s">
        <v>99</v>
      </c>
      <c r="D496" s="124" t="s">
        <v>195</v>
      </c>
      <c r="E496" s="127">
        <v>10000</v>
      </c>
      <c r="F496" s="174">
        <v>1750000</v>
      </c>
      <c r="G496" s="139">
        <f t="shared" si="133"/>
        <v>593333.33333333337</v>
      </c>
      <c r="H496" s="149">
        <f t="shared" si="134"/>
        <v>33000</v>
      </c>
      <c r="I496" s="165">
        <v>3300</v>
      </c>
      <c r="J496" s="140">
        <f t="shared" si="130"/>
        <v>5.5617977528089883E-2</v>
      </c>
      <c r="K496" s="140">
        <f t="shared" si="131"/>
        <v>17.979797979797979</v>
      </c>
      <c r="L496" s="115">
        <f t="shared" si="132"/>
        <v>8.4864646464646452</v>
      </c>
    </row>
    <row r="497" spans="1:13">
      <c r="A497" s="109" t="s">
        <v>54</v>
      </c>
      <c r="B497" s="124" t="s">
        <v>773</v>
      </c>
      <c r="C497" s="137" t="s">
        <v>100</v>
      </c>
      <c r="D497" s="124" t="s">
        <v>195</v>
      </c>
      <c r="E497" s="127">
        <v>10000</v>
      </c>
      <c r="F497" s="174">
        <v>1750000</v>
      </c>
      <c r="G497" s="139">
        <f t="shared" si="133"/>
        <v>593333.33333333337</v>
      </c>
      <c r="H497" s="149">
        <f t="shared" si="134"/>
        <v>33000</v>
      </c>
      <c r="I497" s="165">
        <v>3300</v>
      </c>
      <c r="J497" s="140">
        <f t="shared" si="130"/>
        <v>5.5617977528089883E-2</v>
      </c>
      <c r="K497" s="140">
        <f t="shared" si="131"/>
        <v>17.979797979797979</v>
      </c>
      <c r="L497" s="115">
        <f t="shared" si="132"/>
        <v>8.4864646464646452</v>
      </c>
    </row>
    <row r="498" spans="1:13">
      <c r="A498" s="109" t="s">
        <v>54</v>
      </c>
      <c r="B498" s="124" t="s">
        <v>774</v>
      </c>
      <c r="C498" s="137" t="s">
        <v>101</v>
      </c>
      <c r="D498" s="124" t="s">
        <v>195</v>
      </c>
      <c r="E498" s="127">
        <v>10000</v>
      </c>
      <c r="F498" s="174">
        <v>1750000</v>
      </c>
      <c r="G498" s="139">
        <f t="shared" si="133"/>
        <v>593333.33333333337</v>
      </c>
      <c r="H498" s="149">
        <f t="shared" si="134"/>
        <v>33000</v>
      </c>
      <c r="I498" s="165">
        <v>3300</v>
      </c>
      <c r="J498" s="140">
        <f t="shared" si="130"/>
        <v>5.5617977528089883E-2</v>
      </c>
      <c r="K498" s="140">
        <f t="shared" si="131"/>
        <v>17.979797979797979</v>
      </c>
      <c r="L498" s="115">
        <f t="shared" si="132"/>
        <v>8.4864646464646452</v>
      </c>
    </row>
    <row r="499" spans="1:13">
      <c r="A499" s="109" t="s">
        <v>54</v>
      </c>
      <c r="B499" s="124" t="s">
        <v>775</v>
      </c>
      <c r="C499" s="137" t="s">
        <v>102</v>
      </c>
      <c r="D499" s="124" t="s">
        <v>195</v>
      </c>
      <c r="E499" s="127">
        <v>10000</v>
      </c>
      <c r="F499" s="174">
        <v>1750000</v>
      </c>
      <c r="G499" s="139">
        <f t="shared" si="133"/>
        <v>593333.33333333337</v>
      </c>
      <c r="H499" s="149">
        <f t="shared" si="134"/>
        <v>33000</v>
      </c>
      <c r="I499" s="165">
        <v>3300</v>
      </c>
      <c r="J499" s="140">
        <f t="shared" si="130"/>
        <v>5.5617977528089883E-2</v>
      </c>
      <c r="K499" s="140">
        <f t="shared" si="131"/>
        <v>17.979797979797979</v>
      </c>
      <c r="L499" s="115">
        <f t="shared" si="132"/>
        <v>8.4864646464646452</v>
      </c>
    </row>
    <row r="500" spans="1:13">
      <c r="A500" s="109" t="s">
        <v>54</v>
      </c>
      <c r="B500" s="124" t="s">
        <v>776</v>
      </c>
      <c r="C500" s="137" t="s">
        <v>103</v>
      </c>
      <c r="D500" s="124" t="s">
        <v>195</v>
      </c>
      <c r="E500" s="127">
        <v>10000</v>
      </c>
      <c r="F500" s="174">
        <v>1750000</v>
      </c>
      <c r="G500" s="139">
        <f t="shared" si="133"/>
        <v>593333.33333333337</v>
      </c>
      <c r="H500" s="149">
        <f t="shared" si="134"/>
        <v>33000</v>
      </c>
      <c r="I500" s="165">
        <v>3300</v>
      </c>
      <c r="J500" s="140">
        <f t="shared" si="130"/>
        <v>5.5617977528089883E-2</v>
      </c>
      <c r="K500" s="140">
        <f t="shared" si="131"/>
        <v>17.979797979797979</v>
      </c>
      <c r="L500" s="115">
        <f t="shared" si="132"/>
        <v>8.4864646464646452</v>
      </c>
    </row>
    <row r="501" spans="1:13">
      <c r="A501" s="109" t="s">
        <v>54</v>
      </c>
      <c r="B501" s="124" t="s">
        <v>777</v>
      </c>
      <c r="C501" s="137" t="s">
        <v>104</v>
      </c>
      <c r="D501" s="124" t="s">
        <v>195</v>
      </c>
      <c r="E501" s="127">
        <v>10000</v>
      </c>
      <c r="F501" s="174">
        <v>1750000</v>
      </c>
      <c r="G501" s="139">
        <f t="shared" si="133"/>
        <v>593333.33333333337</v>
      </c>
      <c r="H501" s="149">
        <f t="shared" si="134"/>
        <v>33000</v>
      </c>
      <c r="I501" s="165">
        <v>3300</v>
      </c>
      <c r="J501" s="140">
        <f t="shared" si="130"/>
        <v>5.5617977528089883E-2</v>
      </c>
      <c r="K501" s="140">
        <f t="shared" si="131"/>
        <v>17.979797979797979</v>
      </c>
      <c r="L501" s="115">
        <f t="shared" si="132"/>
        <v>8.4864646464646452</v>
      </c>
    </row>
    <row r="502" spans="1:13">
      <c r="A502" s="109" t="s">
        <v>54</v>
      </c>
      <c r="B502" s="124" t="s">
        <v>780</v>
      </c>
      <c r="C502" s="137" t="s">
        <v>781</v>
      </c>
      <c r="D502" s="124" t="s">
        <v>195</v>
      </c>
      <c r="E502" s="127">
        <v>10000</v>
      </c>
      <c r="F502" s="174">
        <v>1750000</v>
      </c>
      <c r="G502" s="139">
        <f t="shared" si="133"/>
        <v>593333.33333333337</v>
      </c>
      <c r="H502" s="149">
        <f t="shared" si="134"/>
        <v>33000</v>
      </c>
      <c r="I502" s="165">
        <v>3300</v>
      </c>
      <c r="J502" s="140">
        <f t="shared" si="130"/>
        <v>5.5617977528089883E-2</v>
      </c>
      <c r="K502" s="140">
        <f t="shared" si="131"/>
        <v>17.979797979797979</v>
      </c>
      <c r="L502" s="115">
        <f t="shared" si="132"/>
        <v>8.4864646464646452</v>
      </c>
    </row>
    <row r="504" spans="1:13">
      <c r="B504" s="123" t="s">
        <v>783</v>
      </c>
      <c r="C504" s="110"/>
      <c r="D504" s="173" t="s">
        <v>782</v>
      </c>
      <c r="E504" s="111" t="s">
        <v>223</v>
      </c>
      <c r="F504" s="111" t="s">
        <v>820</v>
      </c>
      <c r="G504" s="111" t="s">
        <v>11</v>
      </c>
      <c r="H504" s="113" t="s">
        <v>822</v>
      </c>
      <c r="M504" s="115"/>
    </row>
    <row r="505" spans="1:13">
      <c r="A505" s="109" t="s">
        <v>54</v>
      </c>
      <c r="B505" s="124" t="s">
        <v>784</v>
      </c>
      <c r="C505" s="137" t="s">
        <v>802</v>
      </c>
      <c r="D505" s="124">
        <v>1</v>
      </c>
      <c r="E505" s="127">
        <v>65</v>
      </c>
      <c r="F505" s="111">
        <f>D505*E505</f>
        <v>65</v>
      </c>
      <c r="G505" s="175">
        <v>30000</v>
      </c>
      <c r="H505" s="151">
        <f>(F505*800)+(G505/4)</f>
        <v>59500</v>
      </c>
      <c r="I505" s="152">
        <f>J505*10</f>
        <v>3300</v>
      </c>
      <c r="J505" s="153">
        <v>330</v>
      </c>
      <c r="K505" s="154">
        <f t="shared" ref="K505:K522" si="135">I505/H505</f>
        <v>5.5462184873949577E-2</v>
      </c>
      <c r="L505" s="154">
        <f t="shared" ref="L505:L522" si="136">H505/I505</f>
        <v>18.030303030303031</v>
      </c>
      <c r="M505" s="115">
        <f t="shared" ref="M505:M522" si="137">L505/K$2</f>
        <v>8.5103030303030298</v>
      </c>
    </row>
    <row r="506" spans="1:13">
      <c r="A506" s="109" t="s">
        <v>54</v>
      </c>
      <c r="B506" s="124" t="s">
        <v>785</v>
      </c>
      <c r="C506" s="137" t="s">
        <v>803</v>
      </c>
      <c r="D506" s="124">
        <v>2</v>
      </c>
      <c r="E506" s="127">
        <v>53</v>
      </c>
      <c r="F506" s="111">
        <f t="shared" ref="F506:F522" si="138">D506*E506</f>
        <v>106</v>
      </c>
      <c r="G506" s="175">
        <v>60000</v>
      </c>
      <c r="H506" s="151">
        <f t="shared" ref="H506:H522" si="139">(F506*800)+(G506/4)</f>
        <v>99800</v>
      </c>
      <c r="I506" s="152">
        <f t="shared" ref="I506:I522" si="140">J506*10</f>
        <v>5500</v>
      </c>
      <c r="J506" s="153">
        <v>550</v>
      </c>
      <c r="K506" s="154">
        <f t="shared" si="135"/>
        <v>5.5110220440881763E-2</v>
      </c>
      <c r="L506" s="154">
        <f t="shared" si="136"/>
        <v>18.145454545454545</v>
      </c>
      <c r="M506" s="115">
        <f t="shared" si="137"/>
        <v>8.5646545454545446</v>
      </c>
    </row>
    <row r="507" spans="1:13">
      <c r="A507" s="109" t="s">
        <v>54</v>
      </c>
      <c r="B507" s="124" t="s">
        <v>786</v>
      </c>
      <c r="C507" s="137" t="s">
        <v>804</v>
      </c>
      <c r="D507" s="124">
        <v>3</v>
      </c>
      <c r="E507" s="127">
        <v>72</v>
      </c>
      <c r="F507" s="111">
        <f t="shared" si="138"/>
        <v>216</v>
      </c>
      <c r="G507" s="175">
        <v>100000</v>
      </c>
      <c r="H507" s="151">
        <f t="shared" si="139"/>
        <v>197800</v>
      </c>
      <c r="I507" s="152">
        <f t="shared" si="140"/>
        <v>11000</v>
      </c>
      <c r="J507" s="153">
        <v>1100</v>
      </c>
      <c r="K507" s="154">
        <f t="shared" si="135"/>
        <v>5.5611729019211326E-2</v>
      </c>
      <c r="L507" s="154">
        <f t="shared" si="136"/>
        <v>17.981818181818181</v>
      </c>
      <c r="M507" s="115">
        <f t="shared" si="137"/>
        <v>8.48741818181818</v>
      </c>
    </row>
    <row r="508" spans="1:13">
      <c r="A508" s="109" t="s">
        <v>54</v>
      </c>
      <c r="B508" s="124" t="s">
        <v>787</v>
      </c>
      <c r="C508" s="137" t="s">
        <v>805</v>
      </c>
      <c r="D508" s="124">
        <v>5</v>
      </c>
      <c r="E508" s="127">
        <v>130</v>
      </c>
      <c r="F508" s="111">
        <f t="shared" si="138"/>
        <v>650</v>
      </c>
      <c r="G508" s="175">
        <v>300000</v>
      </c>
      <c r="H508" s="151">
        <f t="shared" si="139"/>
        <v>595000</v>
      </c>
      <c r="I508" s="152">
        <f t="shared" si="140"/>
        <v>33000</v>
      </c>
      <c r="J508" s="153">
        <v>3300</v>
      </c>
      <c r="K508" s="154">
        <f t="shared" si="135"/>
        <v>5.5462184873949577E-2</v>
      </c>
      <c r="L508" s="154">
        <f t="shared" si="136"/>
        <v>18.030303030303031</v>
      </c>
      <c r="M508" s="115">
        <f t="shared" si="137"/>
        <v>8.5103030303030298</v>
      </c>
    </row>
    <row r="509" spans="1:13">
      <c r="A509" s="109" t="s">
        <v>54</v>
      </c>
      <c r="B509" s="124" t="s">
        <v>788</v>
      </c>
      <c r="C509" s="137" t="s">
        <v>806</v>
      </c>
      <c r="D509" s="124">
        <v>12</v>
      </c>
      <c r="E509" s="127">
        <v>100</v>
      </c>
      <c r="F509" s="111">
        <f t="shared" si="138"/>
        <v>1200</v>
      </c>
      <c r="G509" s="175">
        <v>120000</v>
      </c>
      <c r="H509" s="151">
        <f t="shared" si="139"/>
        <v>990000</v>
      </c>
      <c r="I509" s="152">
        <f t="shared" si="140"/>
        <v>55000</v>
      </c>
      <c r="J509" s="153">
        <v>5500</v>
      </c>
      <c r="K509" s="154">
        <f t="shared" si="135"/>
        <v>5.5555555555555552E-2</v>
      </c>
      <c r="L509" s="154">
        <f t="shared" si="136"/>
        <v>18</v>
      </c>
      <c r="M509" s="115">
        <f t="shared" si="137"/>
        <v>8.4959999999999987</v>
      </c>
    </row>
    <row r="510" spans="1:13">
      <c r="A510" s="109" t="s">
        <v>54</v>
      </c>
      <c r="B510" s="124" t="s">
        <v>789</v>
      </c>
      <c r="C510" s="137" t="s">
        <v>807</v>
      </c>
      <c r="D510" s="124">
        <v>9</v>
      </c>
      <c r="E510" s="127">
        <v>25</v>
      </c>
      <c r="F510" s="111">
        <f t="shared" si="138"/>
        <v>225</v>
      </c>
      <c r="G510" s="175">
        <v>75000</v>
      </c>
      <c r="H510" s="129">
        <f t="shared" si="139"/>
        <v>198750</v>
      </c>
      <c r="I510" s="149">
        <f t="shared" si="140"/>
        <v>11000</v>
      </c>
      <c r="J510" s="150">
        <v>1100</v>
      </c>
      <c r="K510" s="131">
        <f t="shared" si="135"/>
        <v>5.5345911949685536E-2</v>
      </c>
      <c r="L510" s="131">
        <f t="shared" si="136"/>
        <v>18.068181818181817</v>
      </c>
      <c r="M510" s="115">
        <f t="shared" si="137"/>
        <v>8.5281818181818174</v>
      </c>
    </row>
    <row r="511" spans="1:13">
      <c r="A511" s="109" t="s">
        <v>54</v>
      </c>
      <c r="B511" s="124" t="s">
        <v>790</v>
      </c>
      <c r="C511" s="137" t="s">
        <v>808</v>
      </c>
      <c r="D511" s="124">
        <v>12</v>
      </c>
      <c r="E511" s="127">
        <v>50</v>
      </c>
      <c r="F511" s="111">
        <f t="shared" si="138"/>
        <v>600</v>
      </c>
      <c r="G511" s="175">
        <v>450000</v>
      </c>
      <c r="H511" s="129">
        <f t="shared" si="139"/>
        <v>592500</v>
      </c>
      <c r="I511" s="149">
        <f t="shared" si="140"/>
        <v>33000</v>
      </c>
      <c r="J511" s="150">
        <v>3300</v>
      </c>
      <c r="K511" s="131">
        <f t="shared" si="135"/>
        <v>5.5696202531645568E-2</v>
      </c>
      <c r="L511" s="131">
        <f t="shared" si="136"/>
        <v>17.954545454545453</v>
      </c>
      <c r="M511" s="115">
        <f t="shared" si="137"/>
        <v>8.4745454545454528</v>
      </c>
    </row>
    <row r="512" spans="1:13">
      <c r="A512" s="109" t="s">
        <v>54</v>
      </c>
      <c r="B512" s="124" t="s">
        <v>791</v>
      </c>
      <c r="C512" s="137" t="s">
        <v>809</v>
      </c>
      <c r="D512" s="124">
        <v>16</v>
      </c>
      <c r="E512" s="127">
        <v>75</v>
      </c>
      <c r="F512" s="111">
        <f t="shared" si="138"/>
        <v>1200</v>
      </c>
      <c r="G512" s="175">
        <v>200000</v>
      </c>
      <c r="H512" s="129">
        <f t="shared" si="139"/>
        <v>1010000</v>
      </c>
      <c r="I512" s="149">
        <f t="shared" si="140"/>
        <v>55000</v>
      </c>
      <c r="J512" s="150">
        <v>5500</v>
      </c>
      <c r="K512" s="131">
        <f t="shared" si="135"/>
        <v>5.4455445544554455E-2</v>
      </c>
      <c r="L512" s="131">
        <f t="shared" si="136"/>
        <v>18.363636363636363</v>
      </c>
      <c r="M512" s="115">
        <f t="shared" si="137"/>
        <v>8.6676363636363636</v>
      </c>
    </row>
    <row r="513" spans="1:13">
      <c r="A513" s="109" t="s">
        <v>54</v>
      </c>
      <c r="B513" s="124" t="s">
        <v>792</v>
      </c>
      <c r="C513" s="137" t="s">
        <v>810</v>
      </c>
      <c r="D513" s="124">
        <v>9</v>
      </c>
      <c r="E513" s="127">
        <v>25</v>
      </c>
      <c r="F513" s="111">
        <f t="shared" si="138"/>
        <v>225</v>
      </c>
      <c r="G513" s="175">
        <v>75000</v>
      </c>
      <c r="H513" s="155">
        <f t="shared" si="139"/>
        <v>198750</v>
      </c>
      <c r="I513" s="156">
        <f t="shared" si="140"/>
        <v>11000</v>
      </c>
      <c r="J513" s="157">
        <v>1100</v>
      </c>
      <c r="K513" s="158">
        <f t="shared" si="135"/>
        <v>5.5345911949685536E-2</v>
      </c>
      <c r="L513" s="158">
        <f t="shared" si="136"/>
        <v>18.068181818181817</v>
      </c>
      <c r="M513" s="115">
        <f t="shared" si="137"/>
        <v>8.5281818181818174</v>
      </c>
    </row>
    <row r="514" spans="1:13">
      <c r="A514" s="109" t="s">
        <v>54</v>
      </c>
      <c r="B514" s="124" t="s">
        <v>793</v>
      </c>
      <c r="C514" s="137" t="s">
        <v>811</v>
      </c>
      <c r="D514" s="124">
        <v>5</v>
      </c>
      <c r="E514" s="127">
        <v>150</v>
      </c>
      <c r="F514" s="111">
        <v>700</v>
      </c>
      <c r="G514" s="175">
        <v>160000</v>
      </c>
      <c r="H514" s="155">
        <f t="shared" si="139"/>
        <v>600000</v>
      </c>
      <c r="I514" s="156">
        <f t="shared" si="140"/>
        <v>33000</v>
      </c>
      <c r="J514" s="157">
        <v>3300</v>
      </c>
      <c r="K514" s="158">
        <f t="shared" si="135"/>
        <v>5.5E-2</v>
      </c>
      <c r="L514" s="158">
        <f t="shared" si="136"/>
        <v>18.181818181818183</v>
      </c>
      <c r="M514" s="115">
        <f t="shared" si="137"/>
        <v>8.581818181818182</v>
      </c>
    </row>
    <row r="515" spans="1:13">
      <c r="A515" s="109" t="s">
        <v>54</v>
      </c>
      <c r="B515" s="124" t="s">
        <v>794</v>
      </c>
      <c r="C515" s="137" t="s">
        <v>812</v>
      </c>
      <c r="D515" s="124">
        <v>12</v>
      </c>
      <c r="E515" s="127">
        <v>100</v>
      </c>
      <c r="F515" s="111">
        <f t="shared" si="138"/>
        <v>1200</v>
      </c>
      <c r="G515" s="175">
        <v>150000</v>
      </c>
      <c r="H515" s="155">
        <f t="shared" si="139"/>
        <v>997500</v>
      </c>
      <c r="I515" s="156">
        <f t="shared" si="140"/>
        <v>55000</v>
      </c>
      <c r="J515" s="157">
        <v>5500</v>
      </c>
      <c r="K515" s="158">
        <f t="shared" si="135"/>
        <v>5.5137844611528819E-2</v>
      </c>
      <c r="L515" s="158">
        <f t="shared" si="136"/>
        <v>18.136363636363637</v>
      </c>
      <c r="M515" s="115">
        <f t="shared" si="137"/>
        <v>8.5603636363636362</v>
      </c>
    </row>
    <row r="516" spans="1:13">
      <c r="A516" s="109" t="s">
        <v>54</v>
      </c>
      <c r="B516" s="124" t="s">
        <v>795</v>
      </c>
      <c r="C516" s="137" t="s">
        <v>813</v>
      </c>
      <c r="D516" s="124">
        <v>3</v>
      </c>
      <c r="E516" s="127">
        <v>70</v>
      </c>
      <c r="F516" s="111">
        <f t="shared" si="138"/>
        <v>210</v>
      </c>
      <c r="G516" s="175">
        <v>120000</v>
      </c>
      <c r="H516" s="159">
        <f t="shared" si="139"/>
        <v>198000</v>
      </c>
      <c r="I516" s="160">
        <f t="shared" si="140"/>
        <v>11000</v>
      </c>
      <c r="J516" s="161">
        <v>1100</v>
      </c>
      <c r="K516" s="162">
        <f t="shared" si="135"/>
        <v>5.5555555555555552E-2</v>
      </c>
      <c r="L516" s="162">
        <f t="shared" si="136"/>
        <v>18</v>
      </c>
      <c r="M516" s="115">
        <f t="shared" si="137"/>
        <v>8.4959999999999987</v>
      </c>
    </row>
    <row r="517" spans="1:13">
      <c r="A517" s="109" t="s">
        <v>54</v>
      </c>
      <c r="B517" s="124" t="s">
        <v>796</v>
      </c>
      <c r="C517" s="137" t="s">
        <v>814</v>
      </c>
      <c r="D517" s="124">
        <v>16</v>
      </c>
      <c r="E517" s="127">
        <v>45</v>
      </c>
      <c r="F517" s="111">
        <f t="shared" si="138"/>
        <v>720</v>
      </c>
      <c r="G517" s="175">
        <v>100000</v>
      </c>
      <c r="H517" s="159">
        <f t="shared" si="139"/>
        <v>601000</v>
      </c>
      <c r="I517" s="160">
        <f t="shared" si="140"/>
        <v>33000</v>
      </c>
      <c r="J517" s="161">
        <v>3300</v>
      </c>
      <c r="K517" s="162">
        <f t="shared" si="135"/>
        <v>5.4908485856905158E-2</v>
      </c>
      <c r="L517" s="162">
        <f t="shared" si="136"/>
        <v>18.212121212121211</v>
      </c>
      <c r="M517" s="115">
        <f t="shared" si="137"/>
        <v>8.5961212121212114</v>
      </c>
    </row>
    <row r="518" spans="1:13">
      <c r="A518" s="109" t="s">
        <v>54</v>
      </c>
      <c r="B518" s="124" t="s">
        <v>797</v>
      </c>
      <c r="C518" s="137" t="s">
        <v>815</v>
      </c>
      <c r="D518" s="124">
        <v>12</v>
      </c>
      <c r="E518" s="127">
        <v>100</v>
      </c>
      <c r="F518" s="111">
        <f t="shared" si="138"/>
        <v>1200</v>
      </c>
      <c r="G518" s="175">
        <v>150000</v>
      </c>
      <c r="H518" s="159">
        <f t="shared" si="139"/>
        <v>997500</v>
      </c>
      <c r="I518" s="160">
        <f t="shared" si="140"/>
        <v>55000</v>
      </c>
      <c r="J518" s="161">
        <v>5500</v>
      </c>
      <c r="K518" s="162">
        <f t="shared" si="135"/>
        <v>5.5137844611528819E-2</v>
      </c>
      <c r="L518" s="162">
        <f t="shared" si="136"/>
        <v>18.136363636363637</v>
      </c>
      <c r="M518" s="115">
        <f t="shared" si="137"/>
        <v>8.5603636363636362</v>
      </c>
    </row>
    <row r="519" spans="1:13">
      <c r="A519" s="109" t="s">
        <v>54</v>
      </c>
      <c r="B519" s="124" t="s">
        <v>798</v>
      </c>
      <c r="C519" s="137" t="s">
        <v>816</v>
      </c>
      <c r="D519" s="124">
        <v>5</v>
      </c>
      <c r="E519" s="127">
        <v>140</v>
      </c>
      <c r="F519" s="111">
        <f t="shared" si="138"/>
        <v>700</v>
      </c>
      <c r="G519" s="175">
        <v>150000</v>
      </c>
      <c r="H519" s="163">
        <f t="shared" si="139"/>
        <v>597500</v>
      </c>
      <c r="I519" s="164">
        <f t="shared" si="140"/>
        <v>33000</v>
      </c>
      <c r="J519" s="165">
        <v>3300</v>
      </c>
      <c r="K519" s="166">
        <f t="shared" si="135"/>
        <v>5.5230125523012555E-2</v>
      </c>
      <c r="L519" s="166">
        <f t="shared" si="136"/>
        <v>18.106060606060606</v>
      </c>
      <c r="M519" s="115">
        <f t="shared" si="137"/>
        <v>8.546060606060605</v>
      </c>
    </row>
    <row r="520" spans="1:13">
      <c r="A520" s="109" t="s">
        <v>54</v>
      </c>
      <c r="B520" s="124" t="s">
        <v>799</v>
      </c>
      <c r="C520" s="137" t="s">
        <v>817</v>
      </c>
      <c r="D520" s="124">
        <v>3</v>
      </c>
      <c r="E520" s="127">
        <v>230</v>
      </c>
      <c r="F520" s="111">
        <f t="shared" si="138"/>
        <v>690</v>
      </c>
      <c r="G520" s="175">
        <v>170000</v>
      </c>
      <c r="H520" s="163">
        <f t="shared" si="139"/>
        <v>594500</v>
      </c>
      <c r="I520" s="164">
        <f t="shared" si="140"/>
        <v>33000</v>
      </c>
      <c r="J520" s="165">
        <v>3300</v>
      </c>
      <c r="K520" s="166">
        <f t="shared" si="135"/>
        <v>5.5508830950378472E-2</v>
      </c>
      <c r="L520" s="166">
        <f t="shared" si="136"/>
        <v>18.015151515151516</v>
      </c>
      <c r="M520" s="115">
        <f t="shared" si="137"/>
        <v>8.5031515151515151</v>
      </c>
    </row>
    <row r="521" spans="1:13">
      <c r="A521" s="109" t="s">
        <v>54</v>
      </c>
      <c r="B521" s="124" t="s">
        <v>800</v>
      </c>
      <c r="C521" s="137" t="s">
        <v>818</v>
      </c>
      <c r="D521" s="124">
        <v>12</v>
      </c>
      <c r="E521" s="127">
        <v>100</v>
      </c>
      <c r="F521" s="111">
        <f t="shared" si="138"/>
        <v>1200</v>
      </c>
      <c r="G521" s="175">
        <v>150000</v>
      </c>
      <c r="H521" s="163">
        <f t="shared" si="139"/>
        <v>997500</v>
      </c>
      <c r="I521" s="164">
        <f t="shared" si="140"/>
        <v>55000</v>
      </c>
      <c r="J521" s="165">
        <v>5500</v>
      </c>
      <c r="K521" s="166">
        <f t="shared" si="135"/>
        <v>5.5137844611528819E-2</v>
      </c>
      <c r="L521" s="166">
        <f t="shared" si="136"/>
        <v>18.136363636363637</v>
      </c>
      <c r="M521" s="115">
        <f t="shared" si="137"/>
        <v>8.5603636363636362</v>
      </c>
    </row>
    <row r="522" spans="1:13">
      <c r="A522" s="109" t="s">
        <v>54</v>
      </c>
      <c r="B522" s="124" t="s">
        <v>801</v>
      </c>
      <c r="C522" s="137" t="s">
        <v>819</v>
      </c>
      <c r="D522" s="124">
        <v>9</v>
      </c>
      <c r="E522" s="127">
        <v>80</v>
      </c>
      <c r="F522" s="111">
        <f t="shared" si="138"/>
        <v>720</v>
      </c>
      <c r="G522" s="175">
        <v>100000</v>
      </c>
      <c r="H522" s="129">
        <f t="shared" si="139"/>
        <v>601000</v>
      </c>
      <c r="I522" s="149">
        <f t="shared" si="140"/>
        <v>33000</v>
      </c>
      <c r="J522" s="150">
        <v>3300</v>
      </c>
      <c r="K522" s="131">
        <f t="shared" si="135"/>
        <v>5.4908485856905158E-2</v>
      </c>
      <c r="L522" s="131">
        <f t="shared" si="136"/>
        <v>18.212121212121211</v>
      </c>
      <c r="M522" s="115">
        <f t="shared" si="137"/>
        <v>8.5961212121212114</v>
      </c>
    </row>
    <row r="524" spans="1:13">
      <c r="B524" s="123" t="s">
        <v>823</v>
      </c>
      <c r="C524" s="110"/>
      <c r="D524" s="173" t="s">
        <v>825</v>
      </c>
      <c r="F524" s="111" t="s">
        <v>831</v>
      </c>
    </row>
    <row r="525" spans="1:13">
      <c r="A525" s="109" t="s">
        <v>54</v>
      </c>
      <c r="B525" s="124" t="s">
        <v>506</v>
      </c>
      <c r="C525" s="137">
        <v>100</v>
      </c>
      <c r="D525" s="137" t="s">
        <v>48</v>
      </c>
      <c r="E525" s="127">
        <v>200000</v>
      </c>
      <c r="F525" s="128">
        <v>0</v>
      </c>
      <c r="G525" s="129">
        <f>E525+F525</f>
        <v>200000</v>
      </c>
      <c r="H525" s="130">
        <f>I525*10</f>
        <v>11000</v>
      </c>
      <c r="I525" s="172">
        <v>1100</v>
      </c>
      <c r="J525" s="131">
        <f>H525/G525</f>
        <v>5.5E-2</v>
      </c>
      <c r="K525" s="131">
        <f>G525/H525</f>
        <v>18.181818181818183</v>
      </c>
      <c r="L525" s="115">
        <f>K525/K$2</f>
        <v>8.581818181818182</v>
      </c>
    </row>
    <row r="526" spans="1:13">
      <c r="A526" s="109" t="s">
        <v>54</v>
      </c>
      <c r="B526" s="124" t="s">
        <v>507</v>
      </c>
      <c r="C526" s="137">
        <v>150</v>
      </c>
      <c r="D526" s="137" t="s">
        <v>48</v>
      </c>
      <c r="E526" s="127">
        <v>600000</v>
      </c>
      <c r="F526" s="128">
        <v>0</v>
      </c>
      <c r="G526" s="129">
        <f t="shared" ref="G526:G554" si="141">E526+F526</f>
        <v>600000</v>
      </c>
      <c r="H526" s="130">
        <f t="shared" ref="H526:H554" si="142">I526*10</f>
        <v>33000</v>
      </c>
      <c r="I526" s="172">
        <v>3300</v>
      </c>
      <c r="J526" s="131">
        <f t="shared" ref="J526:J553" si="143">H526/G526</f>
        <v>5.5E-2</v>
      </c>
      <c r="K526" s="131">
        <f t="shared" ref="K526:K553" si="144">G526/H526</f>
        <v>18.181818181818183</v>
      </c>
      <c r="L526" s="115">
        <f t="shared" ref="L526:L553" si="145">K526/K$2</f>
        <v>8.581818181818182</v>
      </c>
    </row>
    <row r="527" spans="1:13">
      <c r="A527" s="109" t="s">
        <v>54</v>
      </c>
      <c r="B527" s="124" t="s">
        <v>508</v>
      </c>
      <c r="C527" s="137">
        <v>200</v>
      </c>
      <c r="D527" s="137" t="s">
        <v>48</v>
      </c>
      <c r="E527" s="127">
        <v>600000</v>
      </c>
      <c r="F527" s="128">
        <v>0</v>
      </c>
      <c r="G527" s="129">
        <f t="shared" si="141"/>
        <v>600000</v>
      </c>
      <c r="H527" s="130">
        <f t="shared" si="142"/>
        <v>33000</v>
      </c>
      <c r="I527" s="172">
        <v>3300</v>
      </c>
      <c r="J527" s="131">
        <f t="shared" si="143"/>
        <v>5.5E-2</v>
      </c>
      <c r="K527" s="131">
        <f t="shared" si="144"/>
        <v>18.181818181818183</v>
      </c>
      <c r="L527" s="115">
        <f t="shared" si="145"/>
        <v>8.581818181818182</v>
      </c>
    </row>
    <row r="528" spans="1:13">
      <c r="A528" s="109" t="s">
        <v>54</v>
      </c>
      <c r="B528" s="124" t="s">
        <v>509</v>
      </c>
      <c r="C528" s="137">
        <v>250</v>
      </c>
      <c r="D528" s="137" t="s">
        <v>48</v>
      </c>
      <c r="E528" s="127">
        <v>200000</v>
      </c>
      <c r="F528" s="128">
        <v>0</v>
      </c>
      <c r="G528" s="129">
        <f t="shared" si="141"/>
        <v>200000</v>
      </c>
      <c r="H528" s="130">
        <f t="shared" si="142"/>
        <v>11000</v>
      </c>
      <c r="I528" s="172">
        <v>1100</v>
      </c>
      <c r="J528" s="131">
        <f t="shared" si="143"/>
        <v>5.5E-2</v>
      </c>
      <c r="K528" s="131">
        <f t="shared" si="144"/>
        <v>18.181818181818183</v>
      </c>
      <c r="L528" s="115">
        <f t="shared" si="145"/>
        <v>8.581818181818182</v>
      </c>
    </row>
    <row r="529" spans="1:12">
      <c r="A529" s="109" t="s">
        <v>54</v>
      </c>
      <c r="B529" s="124" t="s">
        <v>510</v>
      </c>
      <c r="C529" s="137">
        <v>300</v>
      </c>
      <c r="D529" s="137" t="s">
        <v>48</v>
      </c>
      <c r="E529" s="127">
        <v>600000</v>
      </c>
      <c r="F529" s="128">
        <v>0</v>
      </c>
      <c r="G529" s="129">
        <f t="shared" si="141"/>
        <v>600000</v>
      </c>
      <c r="H529" s="130">
        <f t="shared" si="142"/>
        <v>33000</v>
      </c>
      <c r="I529" s="172">
        <v>3300</v>
      </c>
      <c r="J529" s="131">
        <f t="shared" si="143"/>
        <v>5.5E-2</v>
      </c>
      <c r="K529" s="131">
        <f t="shared" si="144"/>
        <v>18.181818181818183</v>
      </c>
      <c r="L529" s="115">
        <f t="shared" si="145"/>
        <v>8.581818181818182</v>
      </c>
    </row>
    <row r="530" spans="1:12">
      <c r="A530" s="109" t="s">
        <v>54</v>
      </c>
      <c r="B530" s="124" t="s">
        <v>511</v>
      </c>
      <c r="C530" s="137">
        <v>350</v>
      </c>
      <c r="D530" s="137" t="s">
        <v>48</v>
      </c>
      <c r="E530" s="127">
        <v>600000</v>
      </c>
      <c r="F530" s="128">
        <v>0</v>
      </c>
      <c r="G530" s="129">
        <f t="shared" si="141"/>
        <v>600000</v>
      </c>
      <c r="H530" s="130">
        <f t="shared" si="142"/>
        <v>33000</v>
      </c>
      <c r="I530" s="172">
        <v>3300</v>
      </c>
      <c r="J530" s="131">
        <f t="shared" si="143"/>
        <v>5.5E-2</v>
      </c>
      <c r="K530" s="131">
        <f t="shared" si="144"/>
        <v>18.181818181818183</v>
      </c>
      <c r="L530" s="115">
        <f t="shared" si="145"/>
        <v>8.581818181818182</v>
      </c>
    </row>
    <row r="531" spans="1:12">
      <c r="A531" s="109" t="s">
        <v>54</v>
      </c>
      <c r="B531" s="124" t="s">
        <v>512</v>
      </c>
      <c r="C531" s="137">
        <v>400</v>
      </c>
      <c r="D531" s="137" t="s">
        <v>48</v>
      </c>
      <c r="E531" s="127">
        <v>600000</v>
      </c>
      <c r="F531" s="128">
        <v>0</v>
      </c>
      <c r="G531" s="129">
        <f t="shared" si="141"/>
        <v>600000</v>
      </c>
      <c r="H531" s="130">
        <f t="shared" si="142"/>
        <v>33000</v>
      </c>
      <c r="I531" s="172">
        <v>3300</v>
      </c>
      <c r="J531" s="131">
        <f t="shared" si="143"/>
        <v>5.5E-2</v>
      </c>
      <c r="K531" s="131">
        <f t="shared" si="144"/>
        <v>18.181818181818183</v>
      </c>
      <c r="L531" s="115">
        <f t="shared" si="145"/>
        <v>8.581818181818182</v>
      </c>
    </row>
    <row r="532" spans="1:12">
      <c r="A532" s="109" t="s">
        <v>54</v>
      </c>
      <c r="B532" s="124" t="s">
        <v>513</v>
      </c>
      <c r="C532" s="137">
        <v>450</v>
      </c>
      <c r="D532" s="137" t="s">
        <v>48</v>
      </c>
      <c r="E532" s="127">
        <v>200000</v>
      </c>
      <c r="F532" s="128">
        <v>0</v>
      </c>
      <c r="G532" s="129">
        <f t="shared" si="141"/>
        <v>200000</v>
      </c>
      <c r="H532" s="130">
        <f t="shared" si="142"/>
        <v>11000</v>
      </c>
      <c r="I532" s="172">
        <v>1100</v>
      </c>
      <c r="J532" s="131">
        <f t="shared" si="143"/>
        <v>5.5E-2</v>
      </c>
      <c r="K532" s="131">
        <f t="shared" si="144"/>
        <v>18.181818181818183</v>
      </c>
      <c r="L532" s="115">
        <f t="shared" si="145"/>
        <v>8.581818181818182</v>
      </c>
    </row>
    <row r="533" spans="1:12">
      <c r="A533" s="109" t="s">
        <v>54</v>
      </c>
      <c r="B533" s="124" t="s">
        <v>514</v>
      </c>
      <c r="C533" s="137">
        <v>500</v>
      </c>
      <c r="D533" s="137" t="s">
        <v>48</v>
      </c>
      <c r="E533" s="127">
        <v>600000</v>
      </c>
      <c r="F533" s="128">
        <v>0</v>
      </c>
      <c r="G533" s="129">
        <f t="shared" si="141"/>
        <v>600000</v>
      </c>
      <c r="H533" s="130">
        <f t="shared" si="142"/>
        <v>33000</v>
      </c>
      <c r="I533" s="172">
        <v>3300</v>
      </c>
      <c r="J533" s="131">
        <f t="shared" si="143"/>
        <v>5.5E-2</v>
      </c>
      <c r="K533" s="131">
        <f t="shared" si="144"/>
        <v>18.181818181818183</v>
      </c>
      <c r="L533" s="115">
        <f t="shared" si="145"/>
        <v>8.581818181818182</v>
      </c>
    </row>
    <row r="534" spans="1:12">
      <c r="A534" s="109" t="s">
        <v>54</v>
      </c>
      <c r="B534" s="124" t="s">
        <v>515</v>
      </c>
      <c r="C534" s="137">
        <v>550</v>
      </c>
      <c r="D534" s="137" t="s">
        <v>48</v>
      </c>
      <c r="E534" s="127">
        <v>600000</v>
      </c>
      <c r="F534" s="128">
        <v>0</v>
      </c>
      <c r="G534" s="129">
        <f t="shared" si="141"/>
        <v>600000</v>
      </c>
      <c r="H534" s="130">
        <f t="shared" si="142"/>
        <v>33000</v>
      </c>
      <c r="I534" s="172">
        <v>3300</v>
      </c>
      <c r="J534" s="131">
        <f t="shared" si="143"/>
        <v>5.5E-2</v>
      </c>
      <c r="K534" s="131">
        <f t="shared" si="144"/>
        <v>18.181818181818183</v>
      </c>
      <c r="L534" s="115">
        <f t="shared" si="145"/>
        <v>8.581818181818182</v>
      </c>
    </row>
    <row r="535" spans="1:12">
      <c r="A535" s="109" t="s">
        <v>54</v>
      </c>
      <c r="B535" s="124" t="s">
        <v>516</v>
      </c>
      <c r="C535" s="137">
        <v>600</v>
      </c>
      <c r="D535" s="137" t="s">
        <v>48</v>
      </c>
      <c r="E535" s="127">
        <v>600000</v>
      </c>
      <c r="F535" s="128">
        <v>0</v>
      </c>
      <c r="G535" s="129">
        <f t="shared" si="141"/>
        <v>600000</v>
      </c>
      <c r="H535" s="130">
        <f t="shared" si="142"/>
        <v>33000</v>
      </c>
      <c r="I535" s="172">
        <v>3300</v>
      </c>
      <c r="J535" s="131">
        <f t="shared" si="143"/>
        <v>5.5E-2</v>
      </c>
      <c r="K535" s="131">
        <f t="shared" si="144"/>
        <v>18.181818181818183</v>
      </c>
      <c r="L535" s="115">
        <f t="shared" si="145"/>
        <v>8.581818181818182</v>
      </c>
    </row>
    <row r="536" spans="1:12">
      <c r="A536" s="109" t="s">
        <v>54</v>
      </c>
      <c r="B536" s="124" t="s">
        <v>517</v>
      </c>
      <c r="C536" s="137">
        <v>650</v>
      </c>
      <c r="D536" s="137" t="s">
        <v>48</v>
      </c>
      <c r="E536" s="127">
        <v>600000</v>
      </c>
      <c r="F536" s="128">
        <v>0</v>
      </c>
      <c r="G536" s="129">
        <f t="shared" si="141"/>
        <v>600000</v>
      </c>
      <c r="H536" s="130">
        <f t="shared" si="142"/>
        <v>33000</v>
      </c>
      <c r="I536" s="172">
        <v>3300</v>
      </c>
      <c r="J536" s="131">
        <f t="shared" si="143"/>
        <v>5.5E-2</v>
      </c>
      <c r="K536" s="131">
        <f t="shared" si="144"/>
        <v>18.181818181818183</v>
      </c>
      <c r="L536" s="115">
        <f t="shared" si="145"/>
        <v>8.581818181818182</v>
      </c>
    </row>
    <row r="537" spans="1:12">
      <c r="A537" s="109" t="s">
        <v>54</v>
      </c>
      <c r="B537" s="124" t="s">
        <v>518</v>
      </c>
      <c r="C537" s="137">
        <v>700</v>
      </c>
      <c r="D537" s="137" t="s">
        <v>48</v>
      </c>
      <c r="E537" s="127">
        <v>600000</v>
      </c>
      <c r="F537" s="128">
        <v>0</v>
      </c>
      <c r="G537" s="129">
        <f t="shared" si="141"/>
        <v>600000</v>
      </c>
      <c r="H537" s="130">
        <f t="shared" si="142"/>
        <v>33000</v>
      </c>
      <c r="I537" s="172">
        <v>3300</v>
      </c>
      <c r="J537" s="131">
        <f t="shared" si="143"/>
        <v>5.5E-2</v>
      </c>
      <c r="K537" s="131">
        <f t="shared" si="144"/>
        <v>18.181818181818183</v>
      </c>
      <c r="L537" s="115">
        <f t="shared" si="145"/>
        <v>8.581818181818182</v>
      </c>
    </row>
    <row r="538" spans="1:12">
      <c r="A538" s="109" t="s">
        <v>54</v>
      </c>
      <c r="B538" s="124" t="s">
        <v>519</v>
      </c>
      <c r="C538" s="137">
        <v>750</v>
      </c>
      <c r="D538" s="137" t="s">
        <v>48</v>
      </c>
      <c r="E538" s="127">
        <v>600000</v>
      </c>
      <c r="F538" s="128">
        <v>0</v>
      </c>
      <c r="G538" s="129">
        <f t="shared" si="141"/>
        <v>600000</v>
      </c>
      <c r="H538" s="130">
        <f t="shared" si="142"/>
        <v>33000</v>
      </c>
      <c r="I538" s="172">
        <v>3300</v>
      </c>
      <c r="J538" s="131">
        <f t="shared" si="143"/>
        <v>5.5E-2</v>
      </c>
      <c r="K538" s="131">
        <f t="shared" si="144"/>
        <v>18.181818181818183</v>
      </c>
      <c r="L538" s="115">
        <f t="shared" si="145"/>
        <v>8.581818181818182</v>
      </c>
    </row>
    <row r="539" spans="1:12">
      <c r="A539" s="109" t="s">
        <v>54</v>
      </c>
      <c r="B539" s="124" t="s">
        <v>520</v>
      </c>
      <c r="C539" s="137">
        <v>800</v>
      </c>
      <c r="D539" s="137" t="s">
        <v>48</v>
      </c>
      <c r="E539" s="127">
        <v>600000</v>
      </c>
      <c r="F539" s="128">
        <v>0</v>
      </c>
      <c r="G539" s="129">
        <f t="shared" si="141"/>
        <v>600000</v>
      </c>
      <c r="H539" s="130">
        <f t="shared" si="142"/>
        <v>33000</v>
      </c>
      <c r="I539" s="172">
        <v>3300</v>
      </c>
      <c r="J539" s="131">
        <f t="shared" si="143"/>
        <v>5.5E-2</v>
      </c>
      <c r="K539" s="131">
        <f t="shared" si="144"/>
        <v>18.181818181818183</v>
      </c>
      <c r="L539" s="115">
        <f t="shared" si="145"/>
        <v>8.581818181818182</v>
      </c>
    </row>
    <row r="540" spans="1:12">
      <c r="A540" s="109" t="s">
        <v>54</v>
      </c>
      <c r="B540" s="124" t="s">
        <v>521</v>
      </c>
      <c r="C540" s="137">
        <v>850</v>
      </c>
      <c r="D540" s="137" t="s">
        <v>48</v>
      </c>
      <c r="E540" s="127">
        <v>600000</v>
      </c>
      <c r="F540" s="128">
        <v>0</v>
      </c>
      <c r="G540" s="129">
        <f t="shared" si="141"/>
        <v>600000</v>
      </c>
      <c r="H540" s="130">
        <f t="shared" si="142"/>
        <v>33000</v>
      </c>
      <c r="I540" s="172">
        <v>3300</v>
      </c>
      <c r="J540" s="131">
        <f t="shared" si="143"/>
        <v>5.5E-2</v>
      </c>
      <c r="K540" s="131">
        <f t="shared" si="144"/>
        <v>18.181818181818183</v>
      </c>
      <c r="L540" s="115">
        <f t="shared" si="145"/>
        <v>8.581818181818182</v>
      </c>
    </row>
    <row r="541" spans="1:12">
      <c r="A541" s="109" t="s">
        <v>54</v>
      </c>
      <c r="B541" s="124" t="s">
        <v>522</v>
      </c>
      <c r="C541" s="137">
        <v>900</v>
      </c>
      <c r="D541" s="137" t="s">
        <v>48</v>
      </c>
      <c r="E541" s="127">
        <v>600000</v>
      </c>
      <c r="F541" s="128">
        <v>0</v>
      </c>
      <c r="G541" s="129">
        <f t="shared" si="141"/>
        <v>600000</v>
      </c>
      <c r="H541" s="130">
        <f t="shared" si="142"/>
        <v>33000</v>
      </c>
      <c r="I541" s="172">
        <v>3300</v>
      </c>
      <c r="J541" s="131">
        <f t="shared" si="143"/>
        <v>5.5E-2</v>
      </c>
      <c r="K541" s="131">
        <f t="shared" si="144"/>
        <v>18.181818181818183</v>
      </c>
      <c r="L541" s="115">
        <f t="shared" si="145"/>
        <v>8.581818181818182</v>
      </c>
    </row>
    <row r="542" spans="1:12">
      <c r="A542" s="109" t="s">
        <v>54</v>
      </c>
      <c r="B542" s="124" t="s">
        <v>523</v>
      </c>
      <c r="C542" s="137">
        <v>950</v>
      </c>
      <c r="D542" s="137" t="s">
        <v>48</v>
      </c>
      <c r="E542" s="127">
        <v>600000</v>
      </c>
      <c r="F542" s="128">
        <v>0</v>
      </c>
      <c r="G542" s="129">
        <f t="shared" si="141"/>
        <v>600000</v>
      </c>
      <c r="H542" s="130">
        <f t="shared" si="142"/>
        <v>33000</v>
      </c>
      <c r="I542" s="172">
        <v>3300</v>
      </c>
      <c r="J542" s="131">
        <f t="shared" si="143"/>
        <v>5.5E-2</v>
      </c>
      <c r="K542" s="131">
        <f t="shared" si="144"/>
        <v>18.181818181818183</v>
      </c>
      <c r="L542" s="115">
        <f t="shared" si="145"/>
        <v>8.581818181818182</v>
      </c>
    </row>
    <row r="543" spans="1:12">
      <c r="A543" s="109" t="s">
        <v>54</v>
      </c>
      <c r="B543" s="124" t="s">
        <v>524</v>
      </c>
      <c r="C543" s="137">
        <v>1000</v>
      </c>
      <c r="D543" s="137" t="s">
        <v>48</v>
      </c>
      <c r="E543" s="127">
        <v>600000</v>
      </c>
      <c r="F543" s="128">
        <v>0</v>
      </c>
      <c r="G543" s="129">
        <f t="shared" si="141"/>
        <v>600000</v>
      </c>
      <c r="H543" s="130">
        <f t="shared" si="142"/>
        <v>33000</v>
      </c>
      <c r="I543" s="172">
        <v>3300</v>
      </c>
      <c r="J543" s="131">
        <f t="shared" si="143"/>
        <v>5.5E-2</v>
      </c>
      <c r="K543" s="131">
        <f t="shared" si="144"/>
        <v>18.181818181818183</v>
      </c>
      <c r="L543" s="115">
        <f t="shared" si="145"/>
        <v>8.581818181818182</v>
      </c>
    </row>
    <row r="544" spans="1:12">
      <c r="A544" s="109" t="s">
        <v>54</v>
      </c>
      <c r="B544" s="124" t="s">
        <v>525</v>
      </c>
      <c r="C544" s="137">
        <v>1050</v>
      </c>
      <c r="D544" s="137" t="s">
        <v>48</v>
      </c>
      <c r="E544" s="127">
        <v>600000</v>
      </c>
      <c r="F544" s="128">
        <v>0</v>
      </c>
      <c r="G544" s="129">
        <f t="shared" si="141"/>
        <v>600000</v>
      </c>
      <c r="H544" s="130">
        <f t="shared" si="142"/>
        <v>33000</v>
      </c>
      <c r="I544" s="172">
        <v>3300</v>
      </c>
      <c r="J544" s="131">
        <f t="shared" si="143"/>
        <v>5.5E-2</v>
      </c>
      <c r="K544" s="131">
        <f t="shared" si="144"/>
        <v>18.181818181818183</v>
      </c>
      <c r="L544" s="115">
        <f t="shared" si="145"/>
        <v>8.581818181818182</v>
      </c>
    </row>
    <row r="545" spans="1:12">
      <c r="A545" s="109" t="s">
        <v>54</v>
      </c>
      <c r="B545" s="124" t="s">
        <v>526</v>
      </c>
      <c r="C545" s="137">
        <v>1100</v>
      </c>
      <c r="D545" s="137" t="s">
        <v>48</v>
      </c>
      <c r="E545" s="127">
        <v>600000</v>
      </c>
      <c r="F545" s="128">
        <v>0</v>
      </c>
      <c r="G545" s="129">
        <f t="shared" si="141"/>
        <v>600000</v>
      </c>
      <c r="H545" s="130">
        <f t="shared" si="142"/>
        <v>33000</v>
      </c>
      <c r="I545" s="172">
        <v>3300</v>
      </c>
      <c r="J545" s="131">
        <f t="shared" si="143"/>
        <v>5.5E-2</v>
      </c>
      <c r="K545" s="131">
        <f t="shared" si="144"/>
        <v>18.181818181818183</v>
      </c>
      <c r="L545" s="115">
        <f t="shared" si="145"/>
        <v>8.581818181818182</v>
      </c>
    </row>
    <row r="546" spans="1:12">
      <c r="A546" s="109" t="s">
        <v>54</v>
      </c>
      <c r="B546" s="124" t="s">
        <v>527</v>
      </c>
      <c r="C546" s="137">
        <v>1150</v>
      </c>
      <c r="D546" s="137" t="s">
        <v>48</v>
      </c>
      <c r="E546" s="127">
        <v>600000</v>
      </c>
      <c r="F546" s="128">
        <v>0</v>
      </c>
      <c r="G546" s="129">
        <f t="shared" si="141"/>
        <v>600000</v>
      </c>
      <c r="H546" s="130">
        <f t="shared" si="142"/>
        <v>33000</v>
      </c>
      <c r="I546" s="172">
        <v>3300</v>
      </c>
      <c r="J546" s="131">
        <f t="shared" si="143"/>
        <v>5.5E-2</v>
      </c>
      <c r="K546" s="131">
        <f t="shared" si="144"/>
        <v>18.181818181818183</v>
      </c>
      <c r="L546" s="115">
        <f t="shared" si="145"/>
        <v>8.581818181818182</v>
      </c>
    </row>
    <row r="547" spans="1:12">
      <c r="A547" s="109" t="s">
        <v>54</v>
      </c>
      <c r="B547" s="124" t="s">
        <v>528</v>
      </c>
      <c r="C547" s="137">
        <v>1200</v>
      </c>
      <c r="D547" s="137" t="s">
        <v>48</v>
      </c>
      <c r="E547" s="127">
        <v>600000</v>
      </c>
      <c r="F547" s="128">
        <v>0</v>
      </c>
      <c r="G547" s="129">
        <f t="shared" si="141"/>
        <v>600000</v>
      </c>
      <c r="H547" s="130">
        <f t="shared" si="142"/>
        <v>33000</v>
      </c>
      <c r="I547" s="172">
        <v>3300</v>
      </c>
      <c r="J547" s="131">
        <f t="shared" si="143"/>
        <v>5.5E-2</v>
      </c>
      <c r="K547" s="131">
        <f t="shared" si="144"/>
        <v>18.181818181818183</v>
      </c>
      <c r="L547" s="115">
        <f t="shared" si="145"/>
        <v>8.581818181818182</v>
      </c>
    </row>
    <row r="548" spans="1:12">
      <c r="A548" s="109" t="s">
        <v>54</v>
      </c>
      <c r="B548" s="124" t="s">
        <v>529</v>
      </c>
      <c r="C548" s="137">
        <v>1250</v>
      </c>
      <c r="D548" s="137" t="s">
        <v>48</v>
      </c>
      <c r="E548" s="127">
        <v>600000</v>
      </c>
      <c r="F548" s="128">
        <v>0</v>
      </c>
      <c r="G548" s="129">
        <f t="shared" si="141"/>
        <v>600000</v>
      </c>
      <c r="H548" s="130">
        <f t="shared" si="142"/>
        <v>33000</v>
      </c>
      <c r="I548" s="172">
        <v>3300</v>
      </c>
      <c r="J548" s="131">
        <f t="shared" si="143"/>
        <v>5.5E-2</v>
      </c>
      <c r="K548" s="131">
        <f t="shared" si="144"/>
        <v>18.181818181818183</v>
      </c>
      <c r="L548" s="115">
        <f t="shared" si="145"/>
        <v>8.581818181818182</v>
      </c>
    </row>
    <row r="549" spans="1:12">
      <c r="A549" s="109" t="s">
        <v>54</v>
      </c>
      <c r="B549" s="124" t="s">
        <v>530</v>
      </c>
      <c r="C549" s="137">
        <v>1300</v>
      </c>
      <c r="D549" s="137" t="s">
        <v>48</v>
      </c>
      <c r="E549" s="127">
        <v>600000</v>
      </c>
      <c r="F549" s="128">
        <v>0</v>
      </c>
      <c r="G549" s="129">
        <f t="shared" si="141"/>
        <v>600000</v>
      </c>
      <c r="H549" s="130">
        <f t="shared" si="142"/>
        <v>33000</v>
      </c>
      <c r="I549" s="172">
        <v>3300</v>
      </c>
      <c r="J549" s="131">
        <f t="shared" si="143"/>
        <v>5.5E-2</v>
      </c>
      <c r="K549" s="131">
        <f t="shared" si="144"/>
        <v>18.181818181818183</v>
      </c>
      <c r="L549" s="115">
        <f t="shared" si="145"/>
        <v>8.581818181818182</v>
      </c>
    </row>
    <row r="550" spans="1:12">
      <c r="A550" s="109" t="s">
        <v>54</v>
      </c>
      <c r="B550" s="124" t="s">
        <v>531</v>
      </c>
      <c r="C550" s="137">
        <v>1350</v>
      </c>
      <c r="D550" s="137" t="s">
        <v>48</v>
      </c>
      <c r="E550" s="127">
        <v>600000</v>
      </c>
      <c r="F550" s="128">
        <v>0</v>
      </c>
      <c r="G550" s="129">
        <f t="shared" si="141"/>
        <v>600000</v>
      </c>
      <c r="H550" s="130">
        <f t="shared" si="142"/>
        <v>33000</v>
      </c>
      <c r="I550" s="172">
        <v>3300</v>
      </c>
      <c r="J550" s="131">
        <f t="shared" si="143"/>
        <v>5.5E-2</v>
      </c>
      <c r="K550" s="131">
        <f t="shared" si="144"/>
        <v>18.181818181818183</v>
      </c>
      <c r="L550" s="115">
        <f t="shared" si="145"/>
        <v>8.581818181818182</v>
      </c>
    </row>
    <row r="551" spans="1:12">
      <c r="A551" s="109" t="s">
        <v>54</v>
      </c>
      <c r="B551" s="124" t="s">
        <v>532</v>
      </c>
      <c r="C551" s="137">
        <v>1400</v>
      </c>
      <c r="D551" s="137" t="s">
        <v>48</v>
      </c>
      <c r="E551" s="127">
        <v>600000</v>
      </c>
      <c r="F551" s="128">
        <v>0</v>
      </c>
      <c r="G551" s="129">
        <f t="shared" si="141"/>
        <v>600000</v>
      </c>
      <c r="H551" s="130">
        <f t="shared" si="142"/>
        <v>33000</v>
      </c>
      <c r="I551" s="172">
        <v>3300</v>
      </c>
      <c r="J551" s="131">
        <f t="shared" si="143"/>
        <v>5.5E-2</v>
      </c>
      <c r="K551" s="131">
        <f t="shared" si="144"/>
        <v>18.181818181818183</v>
      </c>
      <c r="L551" s="115">
        <f t="shared" si="145"/>
        <v>8.581818181818182</v>
      </c>
    </row>
    <row r="552" spans="1:12">
      <c r="A552" s="109" t="s">
        <v>54</v>
      </c>
      <c r="B552" s="124" t="s">
        <v>533</v>
      </c>
      <c r="C552" s="137">
        <v>1450</v>
      </c>
      <c r="D552" s="137" t="s">
        <v>48</v>
      </c>
      <c r="E552" s="127">
        <v>600000</v>
      </c>
      <c r="F552" s="128">
        <v>0</v>
      </c>
      <c r="G552" s="129">
        <f t="shared" si="141"/>
        <v>600000</v>
      </c>
      <c r="H552" s="130">
        <f t="shared" si="142"/>
        <v>33000</v>
      </c>
      <c r="I552" s="172">
        <v>3300</v>
      </c>
      <c r="J552" s="131">
        <f t="shared" si="143"/>
        <v>5.5E-2</v>
      </c>
      <c r="K552" s="131">
        <f t="shared" si="144"/>
        <v>18.181818181818183</v>
      </c>
      <c r="L552" s="115">
        <f t="shared" si="145"/>
        <v>8.581818181818182</v>
      </c>
    </row>
    <row r="553" spans="1:12">
      <c r="A553" s="109" t="s">
        <v>54</v>
      </c>
      <c r="B553" s="124" t="s">
        <v>534</v>
      </c>
      <c r="C553" s="137">
        <v>1500</v>
      </c>
      <c r="D553" s="137" t="s">
        <v>48</v>
      </c>
      <c r="E553" s="127">
        <v>600000</v>
      </c>
      <c r="F553" s="128">
        <v>0</v>
      </c>
      <c r="G553" s="129">
        <f t="shared" si="141"/>
        <v>600000</v>
      </c>
      <c r="H553" s="130">
        <f t="shared" si="142"/>
        <v>33000</v>
      </c>
      <c r="I553" s="172">
        <v>3300</v>
      </c>
      <c r="J553" s="131">
        <f t="shared" si="143"/>
        <v>5.5E-2</v>
      </c>
      <c r="K553" s="131">
        <f t="shared" si="144"/>
        <v>18.181818181818183</v>
      </c>
      <c r="L553" s="115">
        <f t="shared" si="145"/>
        <v>8.581818181818182</v>
      </c>
    </row>
    <row r="554" spans="1:12">
      <c r="A554" s="109" t="s">
        <v>54</v>
      </c>
      <c r="B554" s="124" t="s">
        <v>535</v>
      </c>
      <c r="C554" s="137">
        <v>1530</v>
      </c>
      <c r="D554" s="137" t="s">
        <v>48</v>
      </c>
      <c r="E554" s="127">
        <v>600000</v>
      </c>
      <c r="F554" s="128">
        <v>0</v>
      </c>
      <c r="G554" s="129">
        <f t="shared" si="141"/>
        <v>600000</v>
      </c>
      <c r="H554" s="130">
        <f t="shared" si="142"/>
        <v>33000</v>
      </c>
      <c r="I554" s="172">
        <v>3300</v>
      </c>
      <c r="J554" s="131">
        <f>H554/G554</f>
        <v>5.5E-2</v>
      </c>
      <c r="K554" s="131">
        <f>G554/H554</f>
        <v>18.181818181818183</v>
      </c>
      <c r="L554" s="115">
        <f>K554/K$2</f>
        <v>8.581818181818182</v>
      </c>
    </row>
    <row r="563" spans="3:12">
      <c r="C563" s="110"/>
      <c r="E563" s="111"/>
      <c r="F563" s="112"/>
      <c r="G563" s="113"/>
      <c r="L563" s="115"/>
    </row>
    <row r="571" spans="3:12">
      <c r="C571" s="110"/>
      <c r="D571" s="141"/>
      <c r="E571" s="142"/>
      <c r="F571" s="143"/>
      <c r="G571" s="144"/>
      <c r="H571" s="145"/>
      <c r="I571" s="145"/>
      <c r="J571" s="132"/>
      <c r="K571" s="132"/>
      <c r="L571" s="146"/>
    </row>
    <row r="587" spans="3:12">
      <c r="C587" s="110"/>
      <c r="D587" s="141"/>
      <c r="E587" s="142"/>
      <c r="F587" s="112"/>
      <c r="G587" s="113"/>
      <c r="L587" s="115"/>
    </row>
    <row r="595" spans="3:12">
      <c r="C595" s="110"/>
      <c r="D595" s="110"/>
      <c r="E595" s="111"/>
      <c r="F595" s="112"/>
      <c r="G595" s="113"/>
      <c r="L595" s="115"/>
    </row>
    <row r="614" spans="3:12">
      <c r="C614" s="110"/>
      <c r="E614" s="111"/>
      <c r="F614" s="112"/>
      <c r="G614" s="113"/>
      <c r="H614" s="168"/>
      <c r="L614" s="115"/>
    </row>
    <row r="615" spans="3:12">
      <c r="C615" s="110"/>
      <c r="E615" s="111"/>
      <c r="F615" s="133"/>
      <c r="G615" s="134"/>
      <c r="H615" s="169"/>
      <c r="I615" s="170"/>
      <c r="J615" s="114"/>
      <c r="K615" s="114"/>
      <c r="L615" s="115"/>
    </row>
    <row r="629" spans="13:13">
      <c r="M629" s="171"/>
    </row>
  </sheetData>
  <phoneticPr fontId="1" type="noConversion"/>
  <conditionalFormatting sqref="M505:M522"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conditionalFormatting sqref="L614:L61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15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M505:M522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</conditionalFormatting>
  <conditionalFormatting sqref="M505:M52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</conditionalFormatting>
  <conditionalFormatting sqref="M505:M522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</conditionalFormatting>
  <conditionalFormatting sqref="M505:M522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</conditionalFormatting>
  <conditionalFormatting sqref="M505:M522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</conditionalFormatting>
  <conditionalFormatting sqref="M505:M522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</conditionalFormatting>
  <conditionalFormatting sqref="M505:M52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</conditionalFormatting>
  <conditionalFormatting sqref="L493:L502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493:L502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</conditionalFormatting>
  <conditionalFormatting sqref="L493:L502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</conditionalFormatting>
  <conditionalFormatting sqref="L493:L502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</conditionalFormatting>
  <conditionalFormatting sqref="L493:L502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</conditionalFormatting>
  <conditionalFormatting sqref="L493:L502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</conditionalFormatting>
  <conditionalFormatting sqref="L493:L502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</conditionalFormatting>
  <conditionalFormatting sqref="L493:L50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</conditionalFormatting>
  <conditionalFormatting sqref="L493:L50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</conditionalFormatting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</conditionalFormatting>
  <conditionalFormatting sqref="L6:L22"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</conditionalFormatting>
  <conditionalFormatting sqref="L25:L5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</conditionalFormatting>
  <conditionalFormatting sqref="L57:L86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</conditionalFormatting>
  <conditionalFormatting sqref="L89:L118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</conditionalFormatting>
  <conditionalFormatting sqref="L121:L150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</conditionalFormatting>
  <conditionalFormatting sqref="L153:L182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</conditionalFormatting>
  <conditionalFormatting sqref="L185:L214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</conditionalFormatting>
  <conditionalFormatting sqref="L217:L246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</conditionalFormatting>
  <conditionalFormatting sqref="L249:L26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89:L30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</conditionalFormatting>
  <conditionalFormatting sqref="L289:L30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11:L33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</conditionalFormatting>
  <conditionalFormatting sqref="L311:L33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33:L36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</conditionalFormatting>
  <conditionalFormatting sqref="L333:L362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65:L39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</conditionalFormatting>
  <conditionalFormatting sqref="L365:L39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397:L4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</conditionalFormatting>
  <conditionalFormatting sqref="L397:L42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29:L45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</conditionalFormatting>
  <conditionalFormatting sqref="L429:L45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61:L49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</conditionalFormatting>
  <conditionalFormatting sqref="L461:L49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525:L55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</conditionalFormatting>
  <conditionalFormatting sqref="L525:L55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</conditionalFormatting>
  <conditionalFormatting sqref="L525:L55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</conditionalFormatting>
  <conditionalFormatting sqref="L525:L55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</conditionalFormatting>
  <conditionalFormatting sqref="L525:L55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</conditionalFormatting>
  <conditionalFormatting sqref="L525:L55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</conditionalFormatting>
  <conditionalFormatting sqref="L525:L55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614:L615 L563 L571 M504:M522 L587 L595 L427 L4 L493:L50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571 L587 L427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L267:L287">
    <cfRule type="dataBar" priority="3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</conditionalFormatting>
  <conditionalFormatting sqref="L267:L287"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L615</xm:sqref>
        </x14:conditionalFormatting>
        <x14:conditionalFormatting xmlns:xm="http://schemas.microsoft.com/office/excel/2006/main"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M505:M522</xm:sqref>
        </x14:conditionalFormatting>
        <x14:conditionalFormatting xmlns:xm="http://schemas.microsoft.com/office/excel/2006/main"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 L563 L571 M504:M522 L587 L595 L427 L4 L493:L502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L571 L587 L427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L267:L287</xm:sqref>
        </x14:conditionalFormatting>
        <x14:conditionalFormatting xmlns:xm="http://schemas.microsoft.com/office/excel/2006/main"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AE1F-803E-44B8-AA23-D06E5DCD4BE9}">
  <dimension ref="A1:B40"/>
  <sheetViews>
    <sheetView workbookViewId="0">
      <selection sqref="A1:B40"/>
    </sheetView>
  </sheetViews>
  <sheetFormatPr defaultRowHeight="16.5"/>
  <sheetData>
    <row r="1" spans="1:2">
      <c r="A1" s="125">
        <v>300</v>
      </c>
      <c r="B1" s="128">
        <v>250000000</v>
      </c>
    </row>
    <row r="2" spans="1:2">
      <c r="A2" s="125">
        <v>600</v>
      </c>
      <c r="B2" s="128">
        <v>850000000</v>
      </c>
    </row>
    <row r="3" spans="1:2">
      <c r="A3" s="137">
        <v>1000</v>
      </c>
      <c r="B3" s="138">
        <v>2744056000</v>
      </c>
    </row>
    <row r="4" spans="1:2">
      <c r="A4" s="125">
        <v>1500</v>
      </c>
      <c r="B4" s="128">
        <v>5850000000</v>
      </c>
    </row>
    <row r="5" spans="1:2">
      <c r="A5" s="125">
        <v>2000</v>
      </c>
      <c r="B5" s="128">
        <v>9650000000</v>
      </c>
    </row>
    <row r="6" spans="1:2">
      <c r="A6" s="125">
        <v>2500</v>
      </c>
      <c r="B6" s="128">
        <v>14400000000</v>
      </c>
    </row>
    <row r="7" spans="1:2">
      <c r="A7" s="137">
        <v>3000</v>
      </c>
      <c r="B7" s="138">
        <v>18341848000</v>
      </c>
    </row>
    <row r="8" spans="1:2">
      <c r="A8" s="125">
        <v>3500</v>
      </c>
      <c r="B8" s="128">
        <v>19300000000</v>
      </c>
    </row>
    <row r="9" spans="1:2">
      <c r="A9" s="125">
        <v>4000</v>
      </c>
      <c r="B9" s="128">
        <v>24300000000</v>
      </c>
    </row>
    <row r="10" spans="1:2">
      <c r="A10" s="125">
        <v>4500</v>
      </c>
      <c r="B10" s="128">
        <v>31300000000</v>
      </c>
    </row>
    <row r="11" spans="1:2">
      <c r="A11" s="137">
        <v>5000</v>
      </c>
      <c r="B11" s="138">
        <v>47804344000</v>
      </c>
    </row>
    <row r="12" spans="1:2">
      <c r="A12" s="125">
        <v>5500</v>
      </c>
      <c r="B12" s="128">
        <v>39100000000</v>
      </c>
    </row>
    <row r="13" spans="1:2">
      <c r="A13" s="125">
        <v>6000</v>
      </c>
      <c r="B13" s="128">
        <v>57200000000</v>
      </c>
    </row>
    <row r="14" spans="1:2">
      <c r="A14" s="125">
        <v>6500</v>
      </c>
      <c r="B14" s="128">
        <v>67600000000</v>
      </c>
    </row>
    <row r="15" spans="1:2">
      <c r="A15" s="137">
        <v>7000</v>
      </c>
      <c r="B15" s="138">
        <v>79740101000</v>
      </c>
    </row>
    <row r="16" spans="1:2">
      <c r="A16" s="125">
        <v>7500</v>
      </c>
      <c r="B16" s="128">
        <v>95000000000</v>
      </c>
    </row>
    <row r="17" spans="1:2">
      <c r="A17" s="125">
        <v>8000</v>
      </c>
      <c r="B17" s="128">
        <v>99400000000</v>
      </c>
    </row>
    <row r="18" spans="1:2">
      <c r="A18" s="125">
        <v>8500</v>
      </c>
      <c r="B18" s="128">
        <v>111000000000</v>
      </c>
    </row>
    <row r="19" spans="1:2">
      <c r="A19" s="137">
        <v>9000</v>
      </c>
      <c r="B19" s="138">
        <v>129783016999.99998</v>
      </c>
    </row>
    <row r="20" spans="1:2">
      <c r="A20" s="125">
        <v>9500</v>
      </c>
      <c r="B20" s="128">
        <v>135000000000</v>
      </c>
    </row>
    <row r="21" spans="1:2">
      <c r="A21" s="125">
        <v>10000</v>
      </c>
      <c r="B21" s="128">
        <v>140000000000</v>
      </c>
    </row>
    <row r="22" spans="1:2">
      <c r="A22" s="125">
        <v>10500</v>
      </c>
      <c r="B22" s="128">
        <v>145000000000</v>
      </c>
    </row>
    <row r="23" spans="1:2">
      <c r="A23" s="137">
        <v>11000</v>
      </c>
      <c r="B23" s="138">
        <v>164535042000</v>
      </c>
    </row>
    <row r="24" spans="1:2">
      <c r="A24" s="125">
        <v>11500</v>
      </c>
      <c r="B24" s="128">
        <v>164500000000</v>
      </c>
    </row>
    <row r="25" spans="1:2">
      <c r="A25" s="125">
        <v>12000</v>
      </c>
      <c r="B25" s="128">
        <v>180000000000</v>
      </c>
    </row>
    <row r="26" spans="1:2">
      <c r="A26" s="125">
        <v>12500</v>
      </c>
      <c r="B26" s="128">
        <v>185000000000</v>
      </c>
    </row>
    <row r="27" spans="1:2">
      <c r="A27" s="137">
        <v>13000</v>
      </c>
      <c r="B27" s="138">
        <v>190188355000</v>
      </c>
    </row>
    <row r="28" spans="1:2">
      <c r="A28" s="125">
        <v>13500</v>
      </c>
      <c r="B28" s="128">
        <v>190000000000</v>
      </c>
    </row>
    <row r="29" spans="1:2">
      <c r="A29" s="125">
        <v>14000</v>
      </c>
      <c r="B29" s="128">
        <v>200000000000</v>
      </c>
    </row>
    <row r="30" spans="1:2">
      <c r="A30" s="125">
        <v>14500</v>
      </c>
      <c r="B30" s="128">
        <v>210000000000</v>
      </c>
    </row>
    <row r="31" spans="1:2">
      <c r="A31" s="26">
        <v>15000</v>
      </c>
      <c r="B31" s="81">
        <v>201543692000</v>
      </c>
    </row>
    <row r="32" spans="1:2">
      <c r="A32" s="177">
        <v>15500</v>
      </c>
      <c r="B32" s="178">
        <v>231000000000</v>
      </c>
    </row>
    <row r="33" spans="1:2">
      <c r="A33" s="177">
        <v>16000</v>
      </c>
      <c r="B33" s="178">
        <v>246000000000</v>
      </c>
    </row>
    <row r="34" spans="1:2">
      <c r="A34" s="177">
        <v>16500</v>
      </c>
      <c r="B34" s="178">
        <v>261000000000</v>
      </c>
    </row>
    <row r="35" spans="1:2">
      <c r="A35" s="26">
        <v>17000</v>
      </c>
      <c r="B35" s="81">
        <v>257869052000</v>
      </c>
    </row>
    <row r="36" spans="1:2">
      <c r="A36" s="177">
        <v>17500</v>
      </c>
      <c r="B36" s="178">
        <v>293000000000</v>
      </c>
    </row>
    <row r="37" spans="1:2">
      <c r="A37" s="177">
        <v>18000</v>
      </c>
      <c r="B37" s="178">
        <v>310000000000</v>
      </c>
    </row>
    <row r="38" spans="1:2">
      <c r="A38" s="177">
        <v>18500</v>
      </c>
      <c r="B38" s="178">
        <v>330000000000</v>
      </c>
    </row>
    <row r="39" spans="1:2">
      <c r="A39" s="26">
        <v>19000</v>
      </c>
      <c r="B39" s="81">
        <v>321126764000</v>
      </c>
    </row>
    <row r="40" spans="1:2">
      <c r="A40" s="177">
        <v>19500</v>
      </c>
      <c r="B40" s="178">
        <v>350000000000</v>
      </c>
    </row>
  </sheetData>
  <sortState xmlns:xlrd2="http://schemas.microsoft.com/office/spreadsheetml/2017/richdata2" ref="A1:B40">
    <sortCondition ref="A1:A4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재화 기준</vt:lpstr>
      <vt:lpstr>상품 구성</vt:lpstr>
      <vt:lpstr>돌발 상품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2025-09-25T14:12:01Z</dcterms:modified>
  <cp:category/>
  <cp:contentStatus/>
</cp:coreProperties>
</file>