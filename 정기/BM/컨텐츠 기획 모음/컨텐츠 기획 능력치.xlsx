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jg19\Desktop\"/>
    </mc:Choice>
  </mc:AlternateContent>
  <xr:revisionPtr revIDLastSave="0" documentId="8_{782B6803-EFEB-4D54-9BE7-464968EC2F17}" xr6:coauthVersionLast="47" xr6:coauthVersionMax="47" xr10:uidLastSave="{00000000-0000-0000-0000-000000000000}"/>
  <bookViews>
    <workbookView xWindow="4455" yWindow="4020" windowWidth="21810" windowHeight="11295" activeTab="1" xr2:uid="{3BF25590-3113-4B5B-812C-AC5FDFD7BF9A}"/>
  </bookViews>
  <sheets>
    <sheet name="패기" sheetId="1" r:id="rId1"/>
    <sheet name="신수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K16" i="2" s="1"/>
  <c r="J16" i="2" s="1"/>
  <c r="G16" i="2"/>
  <c r="F16" i="2" s="1"/>
  <c r="E16" i="2"/>
  <c r="I15" i="2"/>
  <c r="K15" i="2" s="1"/>
  <c r="J15" i="2" s="1"/>
  <c r="E15" i="2"/>
  <c r="G15" i="2" s="1"/>
  <c r="F15" i="2" s="1"/>
  <c r="I14" i="2"/>
  <c r="K14" i="2" s="1"/>
  <c r="J14" i="2" s="1"/>
  <c r="G14" i="2"/>
  <c r="F14" i="2" s="1"/>
  <c r="E14" i="2"/>
  <c r="I13" i="2"/>
  <c r="K13" i="2" s="1"/>
  <c r="J13" i="2" s="1"/>
  <c r="E13" i="2"/>
  <c r="G13" i="2" s="1"/>
  <c r="F13" i="2" s="1"/>
  <c r="I12" i="2"/>
  <c r="K12" i="2" s="1"/>
  <c r="J12" i="2" s="1"/>
  <c r="G12" i="2"/>
  <c r="F12" i="2" s="1"/>
  <c r="E12" i="2"/>
  <c r="I11" i="2"/>
  <c r="K11" i="2" s="1"/>
  <c r="J11" i="2" s="1"/>
  <c r="E11" i="2"/>
  <c r="G11" i="2" s="1"/>
  <c r="F11" i="2" s="1"/>
  <c r="I10" i="2"/>
  <c r="K10" i="2" s="1"/>
  <c r="J10" i="2" s="1"/>
  <c r="G10" i="2"/>
  <c r="F10" i="2" s="1"/>
  <c r="E10" i="2"/>
  <c r="I9" i="2"/>
  <c r="K9" i="2" s="1"/>
  <c r="J9" i="2" s="1"/>
  <c r="E9" i="2"/>
  <c r="G9" i="2" s="1"/>
  <c r="F9" i="2" s="1"/>
  <c r="I8" i="2"/>
  <c r="K8" i="2" s="1"/>
  <c r="J8" i="2" s="1"/>
  <c r="G8" i="2"/>
  <c r="F8" i="2" s="1"/>
  <c r="E8" i="2"/>
  <c r="I7" i="2"/>
  <c r="K7" i="2" s="1"/>
  <c r="J7" i="2" s="1"/>
  <c r="E7" i="2"/>
  <c r="G7" i="2" s="1"/>
  <c r="F7" i="2" s="1"/>
  <c r="I6" i="2"/>
  <c r="K6" i="2" s="1"/>
  <c r="J6" i="2" s="1"/>
  <c r="G6" i="2"/>
  <c r="F6" i="2" s="1"/>
  <c r="E6" i="2"/>
  <c r="I5" i="2"/>
  <c r="K5" i="2" s="1"/>
  <c r="J5" i="2" s="1"/>
  <c r="K4" i="2"/>
  <c r="J4" i="2" s="1"/>
  <c r="F11" i="1"/>
  <c r="I11" i="1" s="1"/>
  <c r="E11" i="1"/>
  <c r="H11" i="1" s="1"/>
  <c r="F10" i="1"/>
  <c r="I10" i="1" s="1"/>
  <c r="E10" i="1"/>
  <c r="H10" i="1" s="1"/>
  <c r="F9" i="1"/>
  <c r="I9" i="1" s="1"/>
  <c r="E9" i="1"/>
  <c r="H9" i="1" s="1"/>
  <c r="F8" i="1"/>
  <c r="I8" i="1" s="1"/>
  <c r="E8" i="1"/>
  <c r="H8" i="1" s="1"/>
  <c r="F7" i="1"/>
  <c r="I7" i="1" s="1"/>
  <c r="E7" i="1"/>
  <c r="H7" i="1" s="1"/>
  <c r="F6" i="1"/>
  <c r="I6" i="1" s="1"/>
  <c r="E6" i="1"/>
  <c r="H6" i="1" s="1"/>
  <c r="F5" i="1"/>
  <c r="I5" i="1" s="1"/>
  <c r="E5" i="1"/>
  <c r="H5" i="1" s="1"/>
  <c r="F4" i="1"/>
  <c r="I4" i="1" s="1"/>
  <c r="E4" i="1"/>
  <c r="H4" i="1" s="1"/>
</calcChain>
</file>

<file path=xl/sharedStrings.xml><?xml version="1.0" encoding="utf-8"?>
<sst xmlns="http://schemas.openxmlformats.org/spreadsheetml/2006/main" count="44" uniqueCount="38">
  <si>
    <t>패기</t>
    <phoneticPr fontId="3" type="noConversion"/>
  </si>
  <si>
    <t>업후 미는스테이지</t>
    <phoneticPr fontId="3" type="noConversion"/>
  </si>
  <si>
    <t>업전 미는스테이지</t>
    <phoneticPr fontId="3" type="noConversion"/>
  </si>
  <si>
    <t>신화1</t>
  </si>
  <si>
    <t>신화2</t>
  </si>
  <si>
    <t>신화3</t>
    <phoneticPr fontId="3" type="noConversion"/>
  </si>
  <si>
    <t>신화4</t>
    <phoneticPr fontId="3" type="noConversion"/>
  </si>
  <si>
    <t>전설</t>
    <phoneticPr fontId="3" type="noConversion"/>
  </si>
  <si>
    <t>200업(%)</t>
    <phoneticPr fontId="3" type="noConversion"/>
  </si>
  <si>
    <t>0업(%)</t>
    <phoneticPr fontId="3" type="noConversion"/>
  </si>
  <si>
    <t>등급</t>
    <phoneticPr fontId="3" type="noConversion"/>
  </si>
  <si>
    <t>빛 개별 스테이지</t>
    <phoneticPr fontId="3" type="noConversion"/>
  </si>
  <si>
    <t>빛 개별 공격력</t>
    <phoneticPr fontId="3" type="noConversion"/>
  </si>
  <si>
    <t>생짜 미는 스테이지</t>
    <phoneticPr fontId="3" type="noConversion"/>
  </si>
  <si>
    <t>생짜</t>
    <phoneticPr fontId="3" type="noConversion"/>
  </si>
  <si>
    <t>불 개별 스테이지</t>
    <phoneticPr fontId="3" type="noConversion"/>
  </si>
  <si>
    <t>불 개별 공격력</t>
    <phoneticPr fontId="3" type="noConversion"/>
  </si>
  <si>
    <t>빛 골획</t>
    <phoneticPr fontId="3" type="noConversion"/>
  </si>
  <si>
    <t>성</t>
    <phoneticPr fontId="3" type="noConversion"/>
  </si>
  <si>
    <t>타입</t>
  </si>
  <si>
    <t>공격력</t>
  </si>
  <si>
    <t>생명력</t>
  </si>
  <si>
    <t>골드획득량</t>
  </si>
  <si>
    <t>물1</t>
  </si>
  <si>
    <t>물2</t>
  </si>
  <si>
    <t>물3</t>
  </si>
  <si>
    <t>불1</t>
  </si>
  <si>
    <t>불2</t>
  </si>
  <si>
    <t>불3</t>
  </si>
  <si>
    <t>풀1</t>
  </si>
  <si>
    <t>풀2</t>
  </si>
  <si>
    <t>풀3</t>
  </si>
  <si>
    <t>빛1</t>
  </si>
  <si>
    <t>빛2</t>
  </si>
  <si>
    <t>빛3</t>
  </si>
  <si>
    <t>레벨</t>
  </si>
  <si>
    <t>경단비용</t>
  </si>
  <si>
    <t>성급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</si>
</sst>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1" fontId="0" fillId="0" borderId="0" xfId="0" applyNumberFormat="1">
      <alignment vertical="center"/>
    </xf>
    <xf numFmtId="0" fontId="2" fillId="2" borderId="0" xfId="3">
      <alignment vertical="center"/>
    </xf>
    <xf numFmtId="0" fontId="0" fillId="3" borderId="0" xfId="0" applyFill="1" applyAlignment="1">
      <alignment vertical="top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1" fontId="0" fillId="4" borderId="0" xfId="0" applyNumberFormat="1" applyFill="1">
      <alignment vertical="center"/>
    </xf>
    <xf numFmtId="9" fontId="0" fillId="4" borderId="0" xfId="0" applyNumberFormat="1" applyFill="1">
      <alignment vertical="center"/>
    </xf>
    <xf numFmtId="1" fontId="0" fillId="4" borderId="0" xfId="2" applyNumberFormat="1" applyFont="1" applyFill="1">
      <alignment vertical="center"/>
    </xf>
    <xf numFmtId="9" fontId="0" fillId="4" borderId="0" xfId="2" applyFont="1" applyFill="1">
      <alignment vertical="center"/>
    </xf>
    <xf numFmtId="9" fontId="0" fillId="3" borderId="0" xfId="2" applyFont="1" applyFill="1">
      <alignment vertical="center"/>
    </xf>
    <xf numFmtId="1" fontId="0" fillId="3" borderId="0" xfId="2" applyNumberFormat="1" applyFont="1" applyFill="1">
      <alignment vertical="center"/>
    </xf>
    <xf numFmtId="9" fontId="0" fillId="3" borderId="0" xfId="1" applyNumberFormat="1" applyFont="1" applyFill="1">
      <alignment vertical="center"/>
    </xf>
    <xf numFmtId="0" fontId="0" fillId="5" borderId="0" xfId="0" applyFill="1">
      <alignment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4">
    <cellStyle name="백분율" xfId="2" builtinId="5"/>
    <cellStyle name="쉼표 [0]" xfId="1" builtinId="6"/>
    <cellStyle name="좋음" xfId="3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7AC3C-2FDE-4CCB-9503-4C36FF152B64}">
  <dimension ref="B2:I11"/>
  <sheetViews>
    <sheetView workbookViewId="0">
      <selection activeCell="G16" sqref="G16"/>
    </sheetView>
  </sheetViews>
  <sheetFormatPr defaultRowHeight="16.5" x14ac:dyDescent="0.3"/>
  <sheetData>
    <row r="2" spans="2:9" x14ac:dyDescent="0.3">
      <c r="C2" t="s">
        <v>0</v>
      </c>
    </row>
    <row r="3" spans="2:9" x14ac:dyDescent="0.3">
      <c r="D3" t="s">
        <v>8</v>
      </c>
      <c r="G3" t="s">
        <v>9</v>
      </c>
      <c r="H3" t="s">
        <v>1</v>
      </c>
      <c r="I3" t="s">
        <v>2</v>
      </c>
    </row>
    <row r="4" spans="2:9" x14ac:dyDescent="0.3">
      <c r="B4" t="s">
        <v>3</v>
      </c>
      <c r="C4">
        <v>20</v>
      </c>
      <c r="D4">
        <v>4400</v>
      </c>
      <c r="E4">
        <f>D4/100</f>
        <v>44</v>
      </c>
      <c r="F4">
        <f>G4/100</f>
        <v>28</v>
      </c>
      <c r="G4">
        <v>2800</v>
      </c>
      <c r="H4" s="1">
        <f>30*LOG10(E4)</f>
        <v>49.303580294585622</v>
      </c>
      <c r="I4" s="1">
        <f>30*LOG10(F4)</f>
        <v>43.414740940266576</v>
      </c>
    </row>
    <row r="5" spans="2:9" x14ac:dyDescent="0.3">
      <c r="B5" t="s">
        <v>4</v>
      </c>
      <c r="C5">
        <v>19</v>
      </c>
      <c r="D5">
        <v>15000</v>
      </c>
      <c r="E5">
        <f t="shared" ref="E5:E11" si="0">D5/100</f>
        <v>150</v>
      </c>
      <c r="F5">
        <f t="shared" ref="F5:F11" si="1">G5/100</f>
        <v>14</v>
      </c>
      <c r="G5">
        <v>1400</v>
      </c>
      <c r="H5" s="1">
        <f t="shared" ref="H5:I11" si="2">30*LOG10(E5)</f>
        <v>65.28273777167044</v>
      </c>
      <c r="I5" s="1">
        <f t="shared" si="2"/>
        <v>34.383841070347138</v>
      </c>
    </row>
    <row r="6" spans="2:9" x14ac:dyDescent="0.3">
      <c r="B6" t="s">
        <v>5</v>
      </c>
      <c r="C6">
        <v>18</v>
      </c>
      <c r="D6">
        <v>253000</v>
      </c>
      <c r="E6">
        <f t="shared" si="0"/>
        <v>2530</v>
      </c>
      <c r="F6">
        <f t="shared" si="1"/>
        <v>7</v>
      </c>
      <c r="G6">
        <v>700</v>
      </c>
      <c r="H6" s="1">
        <f>40*LOG10(E6)</f>
        <v>136.12482084703271</v>
      </c>
      <c r="I6" s="1">
        <f t="shared" si="2"/>
        <v>25.352941200427704</v>
      </c>
    </row>
    <row r="7" spans="2:9" x14ac:dyDescent="0.3">
      <c r="B7" t="s">
        <v>6</v>
      </c>
      <c r="C7">
        <v>17</v>
      </c>
      <c r="D7">
        <v>146</v>
      </c>
      <c r="E7">
        <f t="shared" si="0"/>
        <v>1.46</v>
      </c>
      <c r="F7">
        <f t="shared" si="1"/>
        <v>3.56</v>
      </c>
      <c r="G7">
        <v>356</v>
      </c>
      <c r="H7" s="1">
        <f t="shared" si="2"/>
        <v>4.9305856735331126</v>
      </c>
      <c r="I7" s="1">
        <f t="shared" si="2"/>
        <v>16.543499939186255</v>
      </c>
    </row>
    <row r="8" spans="2:9" x14ac:dyDescent="0.3">
      <c r="B8" t="s">
        <v>7</v>
      </c>
      <c r="C8">
        <v>16</v>
      </c>
      <c r="D8">
        <v>765</v>
      </c>
      <c r="E8">
        <f t="shared" si="0"/>
        <v>7.65</v>
      </c>
      <c r="F8">
        <f t="shared" si="1"/>
        <v>1.65</v>
      </c>
      <c r="G8">
        <v>165</v>
      </c>
      <c r="H8" s="1">
        <f t="shared" si="2"/>
        <v>26.509843054608528</v>
      </c>
      <c r="I8" s="1">
        <f t="shared" si="2"/>
        <v>6.524518326417188</v>
      </c>
    </row>
    <row r="9" spans="2:9" x14ac:dyDescent="0.3">
      <c r="B9" t="s">
        <v>7</v>
      </c>
      <c r="C9">
        <v>15</v>
      </c>
      <c r="D9">
        <v>760</v>
      </c>
      <c r="E9">
        <f t="shared" si="0"/>
        <v>7.6</v>
      </c>
      <c r="F9">
        <f t="shared" si="1"/>
        <v>1.6</v>
      </c>
      <c r="G9">
        <v>160</v>
      </c>
      <c r="H9" s="1">
        <f t="shared" si="2"/>
        <v>26.424407768423741</v>
      </c>
      <c r="I9" s="1">
        <f t="shared" si="2"/>
        <v>6.1235994796777433</v>
      </c>
    </row>
    <row r="10" spans="2:9" x14ac:dyDescent="0.3">
      <c r="B10" t="s">
        <v>7</v>
      </c>
      <c r="C10">
        <v>14</v>
      </c>
      <c r="D10">
        <v>755</v>
      </c>
      <c r="E10">
        <f t="shared" si="0"/>
        <v>7.55</v>
      </c>
      <c r="F10">
        <f t="shared" si="1"/>
        <v>1.55</v>
      </c>
      <c r="G10">
        <v>155</v>
      </c>
      <c r="H10" s="1">
        <f t="shared" si="2"/>
        <v>26.338408548875648</v>
      </c>
      <c r="I10" s="1">
        <f t="shared" si="2"/>
        <v>5.7099509451087451</v>
      </c>
    </row>
    <row r="11" spans="2:9" x14ac:dyDescent="0.3">
      <c r="B11" t="s">
        <v>7</v>
      </c>
      <c r="C11">
        <v>13</v>
      </c>
      <c r="D11">
        <v>750</v>
      </c>
      <c r="E11">
        <f t="shared" si="0"/>
        <v>7.5</v>
      </c>
      <c r="F11">
        <f t="shared" si="1"/>
        <v>1.5</v>
      </c>
      <c r="G11">
        <v>150</v>
      </c>
      <c r="H11" s="1">
        <f t="shared" si="2"/>
        <v>26.251837901751003</v>
      </c>
      <c r="I11" s="1">
        <f t="shared" si="2"/>
        <v>5.2827377716704369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29A37-4F69-4716-BFD6-800ED9B3FEBC}">
  <dimension ref="C3:T34"/>
  <sheetViews>
    <sheetView tabSelected="1" topLeftCell="B15" workbookViewId="0">
      <selection activeCell="G23" sqref="G23"/>
    </sheetView>
  </sheetViews>
  <sheetFormatPr defaultRowHeight="16.5" x14ac:dyDescent="0.3"/>
  <sheetData>
    <row r="3" spans="3:20" x14ac:dyDescent="0.3">
      <c r="C3" s="2" t="s">
        <v>10</v>
      </c>
      <c r="D3" s="3" t="s">
        <v>11</v>
      </c>
      <c r="E3" s="4" t="s">
        <v>12</v>
      </c>
      <c r="F3" s="4" t="s">
        <v>13</v>
      </c>
      <c r="G3" s="4" t="s">
        <v>14</v>
      </c>
      <c r="H3" s="5" t="s">
        <v>15</v>
      </c>
      <c r="I3" s="5" t="s">
        <v>16</v>
      </c>
      <c r="J3" s="5" t="s">
        <v>13</v>
      </c>
      <c r="K3" s="5" t="s">
        <v>14</v>
      </c>
      <c r="M3" s="2" t="s">
        <v>10</v>
      </c>
      <c r="N3" s="1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</row>
    <row r="4" spans="3:20" x14ac:dyDescent="0.3">
      <c r="C4" s="2">
        <v>3</v>
      </c>
      <c r="D4" s="4">
        <v>0</v>
      </c>
      <c r="E4" s="4">
        <v>0</v>
      </c>
      <c r="F4" s="4"/>
      <c r="G4" s="4"/>
      <c r="H4" s="6">
        <v>0</v>
      </c>
      <c r="I4" s="7">
        <v>1</v>
      </c>
      <c r="J4" s="8">
        <f>30*LOG(K4)</f>
        <v>0</v>
      </c>
      <c r="K4" s="9">
        <f>(I4-1)*0.8+1</f>
        <v>1</v>
      </c>
      <c r="M4" s="2">
        <v>15</v>
      </c>
      <c r="N4" s="13">
        <v>500</v>
      </c>
      <c r="P4">
        <v>1</v>
      </c>
      <c r="Q4" t="s">
        <v>23</v>
      </c>
      <c r="R4">
        <v>650</v>
      </c>
      <c r="S4">
        <v>950</v>
      </c>
      <c r="T4">
        <v>0</v>
      </c>
    </row>
    <row r="5" spans="3:20" x14ac:dyDescent="0.3">
      <c r="C5" s="2">
        <v>4</v>
      </c>
      <c r="D5" s="4">
        <v>0</v>
      </c>
      <c r="E5" s="4">
        <v>0</v>
      </c>
      <c r="F5" s="4"/>
      <c r="G5" s="4"/>
      <c r="H5" s="6">
        <v>1</v>
      </c>
      <c r="I5" s="9">
        <f t="shared" ref="I5:I16" si="0">10^(H5/30)</f>
        <v>1.0797751623277096</v>
      </c>
      <c r="J5" s="8">
        <f t="shared" ref="J5:J16" si="1">30*LOG(K5)</f>
        <v>0.80604611663071013</v>
      </c>
      <c r="K5" s="9">
        <f>(I5-1)*0.8+1</f>
        <v>1.0638201298621677</v>
      </c>
      <c r="M5" s="2">
        <v>14</v>
      </c>
      <c r="N5" s="13">
        <v>300</v>
      </c>
      <c r="P5">
        <v>2</v>
      </c>
      <c r="Q5" t="s">
        <v>24</v>
      </c>
      <c r="R5">
        <v>800</v>
      </c>
      <c r="S5">
        <v>800</v>
      </c>
      <c r="T5">
        <v>0</v>
      </c>
    </row>
    <row r="6" spans="3:20" x14ac:dyDescent="0.3">
      <c r="C6" s="2">
        <v>5</v>
      </c>
      <c r="D6" s="4">
        <v>5</v>
      </c>
      <c r="E6" s="10">
        <f t="shared" ref="E6:E16" si="2">10^(D6/30)</f>
        <v>1.4677992676220697</v>
      </c>
      <c r="F6" s="11">
        <f>30*LOG(G6)</f>
        <v>4.141872007117084</v>
      </c>
      <c r="G6" s="10">
        <f>(E6-1)*0.8+1</f>
        <v>1.3742394140976557</v>
      </c>
      <c r="H6" s="5">
        <v>3</v>
      </c>
      <c r="I6" s="9">
        <f t="shared" si="0"/>
        <v>1.2589254117941673</v>
      </c>
      <c r="J6" s="8">
        <f t="shared" si="1"/>
        <v>2.4527327861906976</v>
      </c>
      <c r="K6" s="9">
        <f>(I6-1)*0.8+1</f>
        <v>1.2071403294353338</v>
      </c>
      <c r="M6" s="2">
        <v>13</v>
      </c>
      <c r="N6" s="13">
        <v>200</v>
      </c>
      <c r="P6">
        <v>3</v>
      </c>
      <c r="Q6" t="s">
        <v>25</v>
      </c>
      <c r="R6">
        <v>950</v>
      </c>
      <c r="S6">
        <v>650</v>
      </c>
      <c r="T6">
        <v>0</v>
      </c>
    </row>
    <row r="7" spans="3:20" x14ac:dyDescent="0.3">
      <c r="C7" s="2">
        <v>6</v>
      </c>
      <c r="D7" s="4">
        <v>10</v>
      </c>
      <c r="E7" s="10">
        <f t="shared" si="2"/>
        <v>2.1544346900318838</v>
      </c>
      <c r="F7" s="11">
        <f t="shared" ref="F7:F16" si="3">30*LOG(G7)</f>
        <v>8.5230891637938875</v>
      </c>
      <c r="G7" s="10">
        <f t="shared" ref="G7:G16" si="4">(E7-1)*0.8+1</f>
        <v>1.9235477520255071</v>
      </c>
      <c r="H7" s="5">
        <v>6</v>
      </c>
      <c r="I7" s="9">
        <f t="shared" si="0"/>
        <v>1.5848931924611136</v>
      </c>
      <c r="J7" s="8">
        <f t="shared" si="1"/>
        <v>5.0010232923370284</v>
      </c>
      <c r="K7" s="9">
        <f t="shared" ref="K7:K16" si="5">(I7-1)*0.8+1</f>
        <v>1.4679145539688909</v>
      </c>
      <c r="M7" s="2">
        <v>12</v>
      </c>
      <c r="N7" s="13">
        <v>150</v>
      </c>
      <c r="P7">
        <v>4</v>
      </c>
      <c r="Q7" t="s">
        <v>26</v>
      </c>
      <c r="R7">
        <v>700</v>
      </c>
      <c r="S7">
        <v>1000</v>
      </c>
      <c r="T7">
        <v>0</v>
      </c>
    </row>
    <row r="8" spans="3:20" x14ac:dyDescent="0.3">
      <c r="C8" s="2">
        <v>7</v>
      </c>
      <c r="D8" s="4">
        <v>15</v>
      </c>
      <c r="E8" s="10">
        <f t="shared" si="2"/>
        <v>3.1622776601683795</v>
      </c>
      <c r="F8" s="11">
        <f t="shared" si="3"/>
        <v>13.084030495989198</v>
      </c>
      <c r="G8" s="10">
        <f t="shared" si="4"/>
        <v>2.7298221281347037</v>
      </c>
      <c r="H8" s="5">
        <v>10</v>
      </c>
      <c r="I8" s="9">
        <f t="shared" si="0"/>
        <v>2.1544346900318838</v>
      </c>
      <c r="J8" s="8">
        <f t="shared" si="1"/>
        <v>8.5230891637938875</v>
      </c>
      <c r="K8" s="9">
        <f t="shared" si="5"/>
        <v>1.9235477520255071</v>
      </c>
      <c r="M8" s="2">
        <v>11</v>
      </c>
      <c r="N8" s="13">
        <v>100</v>
      </c>
      <c r="P8">
        <v>5</v>
      </c>
      <c r="Q8" t="s">
        <v>27</v>
      </c>
      <c r="R8">
        <v>850</v>
      </c>
      <c r="S8">
        <v>850</v>
      </c>
      <c r="T8">
        <v>0</v>
      </c>
    </row>
    <row r="9" spans="3:20" x14ac:dyDescent="0.3">
      <c r="C9" s="2">
        <v>8</v>
      </c>
      <c r="D9" s="4">
        <v>20</v>
      </c>
      <c r="E9" s="10">
        <f t="shared" si="2"/>
        <v>4.6415888336127793</v>
      </c>
      <c r="F9" s="11">
        <f t="shared" si="3"/>
        <v>17.77619795767443</v>
      </c>
      <c r="G9" s="10">
        <f t="shared" si="4"/>
        <v>3.9132710668902235</v>
      </c>
      <c r="H9" s="5">
        <v>15</v>
      </c>
      <c r="I9" s="9">
        <f t="shared" si="0"/>
        <v>3.1622776601683795</v>
      </c>
      <c r="J9" s="8">
        <f t="shared" si="1"/>
        <v>13.084030495989198</v>
      </c>
      <c r="K9" s="9">
        <f t="shared" si="5"/>
        <v>2.7298221281347037</v>
      </c>
      <c r="M9" s="2">
        <v>10</v>
      </c>
      <c r="N9" s="13">
        <v>70</v>
      </c>
      <c r="P9">
        <v>6</v>
      </c>
      <c r="Q9" t="s">
        <v>28</v>
      </c>
      <c r="R9">
        <v>1000</v>
      </c>
      <c r="S9">
        <v>700</v>
      </c>
      <c r="T9">
        <v>0</v>
      </c>
    </row>
    <row r="10" spans="3:20" x14ac:dyDescent="0.3">
      <c r="C10" s="2">
        <v>9</v>
      </c>
      <c r="D10" s="4">
        <v>25</v>
      </c>
      <c r="E10" s="10">
        <f t="shared" si="2"/>
        <v>6.812920690579614</v>
      </c>
      <c r="F10" s="11">
        <f t="shared" si="3"/>
        <v>22.562229497546682</v>
      </c>
      <c r="G10" s="10">
        <f t="shared" si="4"/>
        <v>5.650336552463691</v>
      </c>
      <c r="H10" s="5">
        <v>20</v>
      </c>
      <c r="I10" s="9">
        <f t="shared" si="0"/>
        <v>4.6415888336127793</v>
      </c>
      <c r="J10" s="8">
        <f t="shared" si="1"/>
        <v>17.77619795767443</v>
      </c>
      <c r="K10" s="9">
        <f t="shared" si="5"/>
        <v>3.9132710668902235</v>
      </c>
      <c r="M10" s="2">
        <v>9</v>
      </c>
      <c r="N10" s="13">
        <v>50</v>
      </c>
      <c r="P10">
        <v>7</v>
      </c>
      <c r="Q10" t="s">
        <v>29</v>
      </c>
      <c r="R10">
        <v>600</v>
      </c>
      <c r="S10">
        <v>900</v>
      </c>
      <c r="T10">
        <v>0</v>
      </c>
    </row>
    <row r="11" spans="3:20" x14ac:dyDescent="0.3">
      <c r="C11" s="2">
        <v>10</v>
      </c>
      <c r="D11" s="4">
        <v>30</v>
      </c>
      <c r="E11" s="10">
        <f t="shared" si="2"/>
        <v>10</v>
      </c>
      <c r="F11" s="11">
        <f t="shared" si="3"/>
        <v>27.414415571511501</v>
      </c>
      <c r="G11" s="10">
        <f t="shared" si="4"/>
        <v>8.1999999999999993</v>
      </c>
      <c r="H11" s="5">
        <v>25</v>
      </c>
      <c r="I11" s="9">
        <f t="shared" si="0"/>
        <v>6.812920690579614</v>
      </c>
      <c r="J11" s="8">
        <f t="shared" si="1"/>
        <v>22.562229497546682</v>
      </c>
      <c r="K11" s="9">
        <f t="shared" si="5"/>
        <v>5.650336552463691</v>
      </c>
      <c r="M11" s="2">
        <v>8</v>
      </c>
      <c r="N11" s="13">
        <v>30</v>
      </c>
      <c r="P11">
        <v>8</v>
      </c>
      <c r="Q11" t="s">
        <v>30</v>
      </c>
      <c r="R11">
        <v>750</v>
      </c>
      <c r="S11">
        <v>750</v>
      </c>
      <c r="T11">
        <v>0</v>
      </c>
    </row>
    <row r="12" spans="3:20" x14ac:dyDescent="0.3">
      <c r="C12" s="2">
        <v>11</v>
      </c>
      <c r="D12" s="4">
        <v>45</v>
      </c>
      <c r="E12" s="10">
        <f t="shared" si="2"/>
        <v>31.622776601683803</v>
      </c>
      <c r="F12" s="11">
        <f t="shared" si="3"/>
        <v>42.195296572266869</v>
      </c>
      <c r="G12" s="10">
        <f t="shared" si="4"/>
        <v>25.498221281347043</v>
      </c>
      <c r="H12" s="5">
        <v>35</v>
      </c>
      <c r="I12" s="9">
        <f t="shared" si="0"/>
        <v>14.677992676220699</v>
      </c>
      <c r="J12" s="8">
        <f t="shared" si="1"/>
        <v>32.312742009793837</v>
      </c>
      <c r="K12" s="9">
        <f t="shared" si="5"/>
        <v>11.94239414097656</v>
      </c>
      <c r="M12" s="2">
        <v>7</v>
      </c>
      <c r="N12" s="13">
        <v>20</v>
      </c>
      <c r="P12">
        <v>9</v>
      </c>
      <c r="Q12" t="s">
        <v>31</v>
      </c>
      <c r="R12">
        <v>900</v>
      </c>
      <c r="S12">
        <v>600</v>
      </c>
      <c r="T12">
        <v>0</v>
      </c>
    </row>
    <row r="13" spans="3:20" x14ac:dyDescent="0.3">
      <c r="C13" s="2">
        <v>12</v>
      </c>
      <c r="D13" s="4">
        <v>60</v>
      </c>
      <c r="E13" s="10">
        <f t="shared" si="2"/>
        <v>100</v>
      </c>
      <c r="F13" s="11">
        <f t="shared" si="3"/>
        <v>57.125231048524903</v>
      </c>
      <c r="G13" s="10">
        <f t="shared" si="4"/>
        <v>80.2</v>
      </c>
      <c r="H13" s="5">
        <v>45</v>
      </c>
      <c r="I13" s="9">
        <f t="shared" si="0"/>
        <v>31.622776601683803</v>
      </c>
      <c r="J13" s="8">
        <f t="shared" si="1"/>
        <v>42.195296572266869</v>
      </c>
      <c r="K13" s="9">
        <f t="shared" si="5"/>
        <v>25.498221281347043</v>
      </c>
      <c r="M13" s="2">
        <v>6</v>
      </c>
      <c r="N13" s="13">
        <v>10</v>
      </c>
      <c r="P13">
        <v>10</v>
      </c>
      <c r="Q13" t="s">
        <v>32</v>
      </c>
      <c r="R13">
        <v>800</v>
      </c>
      <c r="S13">
        <v>1000</v>
      </c>
      <c r="T13">
        <v>1000</v>
      </c>
    </row>
    <row r="14" spans="3:20" x14ac:dyDescent="0.3">
      <c r="C14" s="2">
        <v>13</v>
      </c>
      <c r="D14" s="4">
        <v>75</v>
      </c>
      <c r="E14" s="10">
        <f t="shared" si="2"/>
        <v>316.22776601683825</v>
      </c>
      <c r="F14" s="11">
        <f t="shared" si="3"/>
        <v>72.102995738427595</v>
      </c>
      <c r="G14" s="10">
        <f t="shared" si="4"/>
        <v>253.18221281347061</v>
      </c>
      <c r="H14" s="5">
        <v>55</v>
      </c>
      <c r="I14" s="9">
        <f t="shared" si="0"/>
        <v>68.129206905796124</v>
      </c>
      <c r="J14" s="8">
        <f t="shared" si="1"/>
        <v>52.140421389901775</v>
      </c>
      <c r="K14" s="9">
        <f t="shared" si="5"/>
        <v>54.703365524636901</v>
      </c>
      <c r="M14" s="2">
        <v>5</v>
      </c>
      <c r="N14" s="13">
        <v>5</v>
      </c>
      <c r="P14">
        <v>11</v>
      </c>
      <c r="Q14" t="s">
        <v>33</v>
      </c>
      <c r="R14">
        <v>950</v>
      </c>
      <c r="S14">
        <v>950</v>
      </c>
      <c r="T14">
        <v>1000</v>
      </c>
    </row>
    <row r="15" spans="3:20" x14ac:dyDescent="0.3">
      <c r="C15" s="2">
        <v>14</v>
      </c>
      <c r="D15" s="4">
        <v>90</v>
      </c>
      <c r="E15" s="10">
        <f t="shared" si="2"/>
        <v>1000</v>
      </c>
      <c r="F15" s="11">
        <f t="shared" si="3"/>
        <v>87.09595641128935</v>
      </c>
      <c r="G15" s="10">
        <f t="shared" si="4"/>
        <v>800.2</v>
      </c>
      <c r="H15" s="5">
        <v>65</v>
      </c>
      <c r="I15" s="9">
        <f t="shared" si="0"/>
        <v>146.77992676220697</v>
      </c>
      <c r="J15" s="8">
        <f t="shared" si="1"/>
        <v>62.114871836872489</v>
      </c>
      <c r="K15" s="9">
        <f t="shared" si="5"/>
        <v>117.62394140976558</v>
      </c>
      <c r="P15">
        <v>12</v>
      </c>
      <c r="Q15" t="s">
        <v>34</v>
      </c>
      <c r="R15">
        <v>1000</v>
      </c>
      <c r="S15">
        <v>800</v>
      </c>
      <c r="T15">
        <v>1000</v>
      </c>
    </row>
    <row r="16" spans="3:20" x14ac:dyDescent="0.3">
      <c r="C16" s="2">
        <v>15</v>
      </c>
      <c r="D16" s="4">
        <v>105</v>
      </c>
      <c r="E16" s="12">
        <f t="shared" si="2"/>
        <v>3162.2776601683804</v>
      </c>
      <c r="F16" s="11">
        <f t="shared" si="3"/>
        <v>102.09372958884889</v>
      </c>
      <c r="G16" s="10">
        <f t="shared" si="4"/>
        <v>2530.0221281347044</v>
      </c>
      <c r="H16" s="5">
        <v>75</v>
      </c>
      <c r="I16" s="9">
        <f t="shared" si="0"/>
        <v>316.22776601683825</v>
      </c>
      <c r="J16" s="8">
        <f t="shared" si="1"/>
        <v>72.102995738427595</v>
      </c>
      <c r="K16" s="9">
        <f t="shared" si="5"/>
        <v>253.18221281347061</v>
      </c>
    </row>
    <row r="21" spans="3:5" x14ac:dyDescent="0.3">
      <c r="C21" t="s">
        <v>37</v>
      </c>
      <c r="D21" s="14" t="s">
        <v>35</v>
      </c>
      <c r="E21" s="14" t="s">
        <v>36</v>
      </c>
    </row>
    <row r="22" spans="3:5" x14ac:dyDescent="0.3">
      <c r="C22">
        <v>3</v>
      </c>
      <c r="D22" s="15">
        <v>25</v>
      </c>
      <c r="E22" s="15">
        <v>325</v>
      </c>
    </row>
    <row r="23" spans="3:5" x14ac:dyDescent="0.3">
      <c r="C23">
        <v>4</v>
      </c>
      <c r="D23" s="15">
        <v>35</v>
      </c>
      <c r="E23" s="15">
        <v>630</v>
      </c>
    </row>
    <row r="24" spans="3:5" x14ac:dyDescent="0.3">
      <c r="C24">
        <v>5</v>
      </c>
      <c r="D24" s="15">
        <v>45</v>
      </c>
      <c r="E24" s="15">
        <v>1035</v>
      </c>
    </row>
    <row r="25" spans="3:5" x14ac:dyDescent="0.3">
      <c r="C25">
        <v>6</v>
      </c>
      <c r="D25" s="15">
        <v>65</v>
      </c>
      <c r="E25" s="15">
        <v>2145</v>
      </c>
    </row>
    <row r="26" spans="3:5" x14ac:dyDescent="0.3">
      <c r="C26">
        <v>7</v>
      </c>
      <c r="D26" s="15">
        <v>80</v>
      </c>
      <c r="E26" s="15">
        <v>3240</v>
      </c>
    </row>
    <row r="27" spans="3:5" x14ac:dyDescent="0.3">
      <c r="C27">
        <v>8</v>
      </c>
      <c r="D27" s="15">
        <v>100</v>
      </c>
      <c r="E27" s="15">
        <v>5050</v>
      </c>
    </row>
    <row r="28" spans="3:5" x14ac:dyDescent="0.3">
      <c r="C28">
        <v>9</v>
      </c>
      <c r="D28" s="15">
        <v>125</v>
      </c>
      <c r="E28" s="15">
        <v>7875</v>
      </c>
    </row>
    <row r="29" spans="3:5" x14ac:dyDescent="0.3">
      <c r="C29">
        <v>10</v>
      </c>
      <c r="D29" s="15">
        <v>150</v>
      </c>
      <c r="E29" s="15">
        <v>11325</v>
      </c>
    </row>
    <row r="30" spans="3:5" x14ac:dyDescent="0.3">
      <c r="C30">
        <v>11</v>
      </c>
      <c r="D30" s="15">
        <v>200</v>
      </c>
      <c r="E30" s="15">
        <v>20100</v>
      </c>
    </row>
    <row r="31" spans="3:5" x14ac:dyDescent="0.3">
      <c r="C31">
        <v>12</v>
      </c>
      <c r="D31" s="15">
        <v>225</v>
      </c>
      <c r="E31" s="15">
        <v>25425</v>
      </c>
    </row>
    <row r="32" spans="3:5" x14ac:dyDescent="0.3">
      <c r="C32">
        <v>13</v>
      </c>
      <c r="D32" s="15">
        <v>250</v>
      </c>
      <c r="E32" s="15">
        <v>31375</v>
      </c>
    </row>
    <row r="33" spans="3:5" x14ac:dyDescent="0.3">
      <c r="C33">
        <v>14</v>
      </c>
      <c r="D33" s="15">
        <v>270</v>
      </c>
      <c r="E33" s="15">
        <v>36585</v>
      </c>
    </row>
    <row r="34" spans="3:5" x14ac:dyDescent="0.3">
      <c r="C34">
        <v>15</v>
      </c>
      <c r="D34" s="15">
        <v>300</v>
      </c>
      <c r="E34" s="15">
        <v>45150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패기</vt:lpstr>
      <vt:lpstr>신수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2026-03-15T08:36:05Z</dcterms:created>
  <dcterms:modified xsi:type="dcterms:W3CDTF">2026-03-15T08:51:21Z</dcterms:modified>
</cp:coreProperties>
</file>