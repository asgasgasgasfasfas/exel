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JJG\엑셀\정기\BM\각성 절멸타 수치\"/>
    </mc:Choice>
  </mc:AlternateContent>
  <xr:revisionPtr revIDLastSave="0" documentId="13_ncr:1_{822974B6-ADD5-48C7-90AE-CDB1D6B68A2A}" xr6:coauthVersionLast="47" xr6:coauthVersionMax="47" xr10:uidLastSave="{00000000-0000-0000-0000-000000000000}"/>
  <bookViews>
    <workbookView xWindow="-120" yWindow="-120" windowWidth="38640" windowHeight="15720" firstSheet="5" activeTab="5" xr2:uid="{A99CFEC2-60A2-4309-B5ED-2C883047AF44}"/>
  </bookViews>
  <sheets>
    <sheet name="육성1 골드" sheetId="1" r:id="rId1"/>
    <sheet name="묘묙석" sheetId="4" r:id="rId2"/>
    <sheet name="나무계산" sheetId="5" r:id="rId3"/>
    <sheet name="Sheet2" sheetId="6" r:id="rId4"/>
    <sheet name="회심타절멸타 골드" sheetId="3" r:id="rId5"/>
    <sheet name="보물" sheetId="7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50" i="7" l="1"/>
  <c r="D550" i="7" s="1"/>
  <c r="D551" i="7" s="1"/>
  <c r="C551" i="7"/>
  <c r="C552" i="7" s="1"/>
  <c r="C553" i="7" s="1"/>
  <c r="C554" i="7" s="1"/>
  <c r="C555" i="7"/>
  <c r="C556" i="7" s="1"/>
  <c r="C557" i="7" s="1"/>
  <c r="C558" i="7" s="1"/>
  <c r="C559" i="7" s="1"/>
  <c r="C560" i="7" s="1"/>
  <c r="C561" i="7" s="1"/>
  <c r="C562" i="7" s="1"/>
  <c r="C563" i="7" s="1"/>
  <c r="C564" i="7" s="1"/>
  <c r="C565" i="7" s="1"/>
  <c r="C566" i="7" s="1"/>
  <c r="C567" i="7" s="1"/>
  <c r="C568" i="7" s="1"/>
  <c r="C569" i="7" s="1"/>
  <c r="C570" i="7" s="1"/>
  <c r="C571" i="7" s="1"/>
  <c r="C572" i="7" s="1"/>
  <c r="C573" i="7" s="1"/>
  <c r="C574" i="7" s="1"/>
  <c r="C575" i="7" s="1"/>
  <c r="C576" i="7" s="1"/>
  <c r="C577" i="7" s="1"/>
  <c r="C578" i="7" s="1"/>
  <c r="C579" i="7" s="1"/>
  <c r="C580" i="7" s="1"/>
  <c r="C581" i="7" s="1"/>
  <c r="C582" i="7" s="1"/>
  <c r="C583" i="7" s="1"/>
  <c r="C584" i="7" s="1"/>
  <c r="C585" i="7" s="1"/>
  <c r="C586" i="7" s="1"/>
  <c r="C587" i="7" s="1"/>
  <c r="C588" i="7" s="1"/>
  <c r="C589" i="7" s="1"/>
  <c r="C590" i="7" s="1"/>
  <c r="C591" i="7" s="1"/>
  <c r="C592" i="7" s="1"/>
  <c r="C593" i="7" s="1"/>
  <c r="C594" i="7" s="1"/>
  <c r="C595" i="7" s="1"/>
  <c r="C596" i="7" s="1"/>
  <c r="C597" i="7" s="1"/>
  <c r="C598" i="7" s="1"/>
  <c r="C599" i="7" s="1"/>
  <c r="C600" i="7" s="1"/>
  <c r="C601" i="7" s="1"/>
  <c r="C602" i="7" s="1"/>
  <c r="C603" i="7" s="1"/>
  <c r="C604" i="7" s="1"/>
  <c r="C605" i="7" s="1"/>
  <c r="C606" i="7" s="1"/>
  <c r="C607" i="7" s="1"/>
  <c r="C608" i="7" s="1"/>
  <c r="C609" i="7" s="1"/>
  <c r="C610" i="7" s="1"/>
  <c r="C611" i="7" s="1"/>
  <c r="C612" i="7" s="1"/>
  <c r="C613" i="7" s="1"/>
  <c r="C614" i="7" s="1"/>
  <c r="C615" i="7" s="1"/>
  <c r="C616" i="7" s="1"/>
  <c r="C617" i="7" s="1"/>
  <c r="C618" i="7" s="1"/>
  <c r="C619" i="7" s="1"/>
  <c r="C620" i="7" s="1"/>
  <c r="C621" i="7" s="1"/>
  <c r="C622" i="7" s="1"/>
  <c r="C623" i="7" s="1"/>
  <c r="C624" i="7" s="1"/>
  <c r="C625" i="7" s="1"/>
  <c r="C626" i="7" s="1"/>
  <c r="C627" i="7" s="1"/>
  <c r="C628" i="7" s="1"/>
  <c r="C629" i="7" s="1"/>
  <c r="C630" i="7" s="1"/>
  <c r="C631" i="7" s="1"/>
  <c r="C632" i="7" s="1"/>
  <c r="C633" i="7" s="1"/>
  <c r="C634" i="7" s="1"/>
  <c r="C635" i="7" s="1"/>
  <c r="C636" i="7" s="1"/>
  <c r="C637" i="7" s="1"/>
  <c r="C638" i="7" s="1"/>
  <c r="C639" i="7" s="1"/>
  <c r="C640" i="7" s="1"/>
  <c r="C641" i="7" s="1"/>
  <c r="C642" i="7" s="1"/>
  <c r="C643" i="7" s="1"/>
  <c r="C644" i="7" s="1"/>
  <c r="C645" i="7" s="1"/>
  <c r="C646" i="7" s="1"/>
  <c r="C647" i="7" s="1"/>
  <c r="C648" i="7" s="1"/>
  <c r="C649" i="7" s="1"/>
  <c r="C650" i="7" s="1"/>
  <c r="C651" i="7" s="1"/>
  <c r="C652" i="7" s="1"/>
  <c r="C653" i="7" s="1"/>
  <c r="C654" i="7" s="1"/>
  <c r="C655" i="7" s="1"/>
  <c r="C656" i="7" s="1"/>
  <c r="C657" i="7" s="1"/>
  <c r="C658" i="7" s="1"/>
  <c r="C659" i="7" s="1"/>
  <c r="C660" i="7" s="1"/>
  <c r="C661" i="7" s="1"/>
  <c r="C662" i="7" s="1"/>
  <c r="C663" i="7" s="1"/>
  <c r="C664" i="7" s="1"/>
  <c r="C665" i="7" s="1"/>
  <c r="C666" i="7" s="1"/>
  <c r="C667" i="7" s="1"/>
  <c r="C668" i="7" s="1"/>
  <c r="C669" i="7" s="1"/>
  <c r="C670" i="7" s="1"/>
  <c r="C671" i="7" s="1"/>
  <c r="C672" i="7" s="1"/>
  <c r="C673" i="7" s="1"/>
  <c r="C674" i="7" s="1"/>
  <c r="C675" i="7" s="1"/>
  <c r="C676" i="7" s="1"/>
  <c r="C677" i="7" s="1"/>
  <c r="C678" i="7" s="1"/>
  <c r="C679" i="7" s="1"/>
  <c r="C680" i="7" s="1"/>
  <c r="C681" i="7" s="1"/>
  <c r="C682" i="7" s="1"/>
  <c r="C683" i="7" s="1"/>
  <c r="C684" i="7" s="1"/>
  <c r="C685" i="7" s="1"/>
  <c r="C686" i="7" s="1"/>
  <c r="C687" i="7" s="1"/>
  <c r="C688" i="7" s="1"/>
  <c r="C689" i="7" s="1"/>
  <c r="C690" i="7" s="1"/>
  <c r="C691" i="7" s="1"/>
  <c r="C692" i="7" s="1"/>
  <c r="C693" i="7" s="1"/>
  <c r="C694" i="7" s="1"/>
  <c r="C695" i="7" s="1"/>
  <c r="C696" i="7" s="1"/>
  <c r="C697" i="7" s="1"/>
  <c r="C698" i="7" s="1"/>
  <c r="C699" i="7" s="1"/>
  <c r="C700" i="7" s="1"/>
  <c r="C701" i="7" s="1"/>
  <c r="C702" i="7" s="1"/>
  <c r="C703" i="7" s="1"/>
  <c r="C704" i="7" s="1"/>
  <c r="C705" i="7" s="1"/>
  <c r="C706" i="7" s="1"/>
  <c r="C707" i="7" s="1"/>
  <c r="C708" i="7" s="1"/>
  <c r="C709" i="7" s="1"/>
  <c r="C710" i="7" s="1"/>
  <c r="C711" i="7" s="1"/>
  <c r="C712" i="7" s="1"/>
  <c r="C713" i="7" s="1"/>
  <c r="C714" i="7" s="1"/>
  <c r="C715" i="7" s="1"/>
  <c r="C716" i="7" s="1"/>
  <c r="C717" i="7" s="1"/>
  <c r="C718" i="7" s="1"/>
  <c r="C719" i="7" s="1"/>
  <c r="C720" i="7" s="1"/>
  <c r="C721" i="7" s="1"/>
  <c r="C722" i="7" s="1"/>
  <c r="C723" i="7" s="1"/>
  <c r="C724" i="7" s="1"/>
  <c r="C725" i="7" s="1"/>
  <c r="C726" i="7" s="1"/>
  <c r="C727" i="7" s="1"/>
  <c r="C728" i="7" s="1"/>
  <c r="C729" i="7" s="1"/>
  <c r="C730" i="7" s="1"/>
  <c r="C731" i="7" s="1"/>
  <c r="C732" i="7" s="1"/>
  <c r="C733" i="7" s="1"/>
  <c r="C734" i="7" s="1"/>
  <c r="C735" i="7" s="1"/>
  <c r="C736" i="7" s="1"/>
  <c r="C737" i="7" s="1"/>
  <c r="C738" i="7" s="1"/>
  <c r="C739" i="7" s="1"/>
  <c r="C740" i="7" s="1"/>
  <c r="C741" i="7" s="1"/>
  <c r="C742" i="7" s="1"/>
  <c r="C743" i="7" s="1"/>
  <c r="C744" i="7" s="1"/>
  <c r="C745" i="7" s="1"/>
  <c r="C746" i="7" s="1"/>
  <c r="C747" i="7" s="1"/>
  <c r="C748" i="7" s="1"/>
  <c r="C749" i="7" s="1"/>
  <c r="C750" i="7" s="1"/>
  <c r="C751" i="7" s="1"/>
  <c r="C752" i="7" s="1"/>
  <c r="C753" i="7" s="1"/>
  <c r="C754" i="7" s="1"/>
  <c r="C755" i="7" s="1"/>
  <c r="C756" i="7" s="1"/>
  <c r="C757" i="7" s="1"/>
  <c r="C758" i="7" s="1"/>
  <c r="C759" i="7" s="1"/>
  <c r="C760" i="7" s="1"/>
  <c r="C761" i="7" s="1"/>
  <c r="C762" i="7" s="1"/>
  <c r="C763" i="7" s="1"/>
  <c r="C764" i="7" s="1"/>
  <c r="C765" i="7" s="1"/>
  <c r="C766" i="7" s="1"/>
  <c r="C767" i="7" s="1"/>
  <c r="C768" i="7" s="1"/>
  <c r="C769" i="7" s="1"/>
  <c r="C770" i="7" s="1"/>
  <c r="C771" i="7" s="1"/>
  <c r="C772" i="7" s="1"/>
  <c r="C773" i="7" s="1"/>
  <c r="C774" i="7" s="1"/>
  <c r="C775" i="7" s="1"/>
  <c r="C776" i="7" s="1"/>
  <c r="C777" i="7" s="1"/>
  <c r="C778" i="7" s="1"/>
  <c r="C779" i="7" s="1"/>
  <c r="C780" i="7" s="1"/>
  <c r="C781" i="7" s="1"/>
  <c r="C782" i="7" s="1"/>
  <c r="C783" i="7" s="1"/>
  <c r="C784" i="7" s="1"/>
  <c r="C785" i="7" s="1"/>
  <c r="C786" i="7" s="1"/>
  <c r="C787" i="7" s="1"/>
  <c r="C788" i="7" s="1"/>
  <c r="C789" i="7" s="1"/>
  <c r="C790" i="7" s="1"/>
  <c r="C791" i="7" s="1"/>
  <c r="C792" i="7" s="1"/>
  <c r="C793" i="7" s="1"/>
  <c r="C794" i="7" s="1"/>
  <c r="C795" i="7" s="1"/>
  <c r="C796" i="7" s="1"/>
  <c r="C797" i="7" s="1"/>
  <c r="C798" i="7" s="1"/>
  <c r="C799" i="7" s="1"/>
  <c r="C800" i="7" s="1"/>
  <c r="C801" i="7" s="1"/>
  <c r="C802" i="7" s="1"/>
  <c r="C803" i="7" s="1"/>
  <c r="C804" i="7" s="1"/>
  <c r="C805" i="7" s="1"/>
  <c r="C806" i="7" s="1"/>
  <c r="C807" i="7" s="1"/>
  <c r="C808" i="7" s="1"/>
  <c r="C809" i="7" s="1"/>
  <c r="C810" i="7" s="1"/>
  <c r="C811" i="7" s="1"/>
  <c r="C812" i="7" s="1"/>
  <c r="C813" i="7" s="1"/>
  <c r="C814" i="7" s="1"/>
  <c r="C815" i="7" s="1"/>
  <c r="C816" i="7" s="1"/>
  <c r="C817" i="7" s="1"/>
  <c r="C818" i="7" s="1"/>
  <c r="C819" i="7" s="1"/>
  <c r="C820" i="7" s="1"/>
  <c r="C821" i="7" s="1"/>
  <c r="C822" i="7" s="1"/>
  <c r="C823" i="7" s="1"/>
  <c r="C824" i="7" s="1"/>
  <c r="C825" i="7" s="1"/>
  <c r="C826" i="7" s="1"/>
  <c r="C827" i="7" s="1"/>
  <c r="C828" i="7" s="1"/>
  <c r="C829" i="7" s="1"/>
  <c r="C830" i="7" s="1"/>
  <c r="C831" i="7" s="1"/>
  <c r="C832" i="7" s="1"/>
  <c r="C833" i="7" s="1"/>
  <c r="C834" i="7" s="1"/>
  <c r="C835" i="7" s="1"/>
  <c r="C836" i="7" s="1"/>
  <c r="C837" i="7" s="1"/>
  <c r="C838" i="7" s="1"/>
  <c r="C839" i="7" s="1"/>
  <c r="C840" i="7" s="1"/>
  <c r="C841" i="7" s="1"/>
  <c r="C842" i="7" s="1"/>
  <c r="C843" i="7" s="1"/>
  <c r="C844" i="7" s="1"/>
  <c r="C845" i="7" s="1"/>
  <c r="C846" i="7" s="1"/>
  <c r="C847" i="7" s="1"/>
  <c r="C848" i="7" s="1"/>
  <c r="C849" i="7" s="1"/>
  <c r="C850" i="7" s="1"/>
  <c r="C851" i="7" s="1"/>
  <c r="C852" i="7" s="1"/>
  <c r="C853" i="7" s="1"/>
  <c r="C854" i="7" s="1"/>
  <c r="C855" i="7" s="1"/>
  <c r="C856" i="7" s="1"/>
  <c r="C857" i="7" s="1"/>
  <c r="C858" i="7" s="1"/>
  <c r="C859" i="7" s="1"/>
  <c r="C860" i="7" s="1"/>
  <c r="C861" i="7" s="1"/>
  <c r="C862" i="7" s="1"/>
  <c r="C863" i="7" s="1"/>
  <c r="C864" i="7" s="1"/>
  <c r="C865" i="7" s="1"/>
  <c r="C866" i="7" s="1"/>
  <c r="C867" i="7" s="1"/>
  <c r="C868" i="7" s="1"/>
  <c r="C869" i="7" s="1"/>
  <c r="C870" i="7" s="1"/>
  <c r="C871" i="7" s="1"/>
  <c r="C872" i="7" s="1"/>
  <c r="C873" i="7" s="1"/>
  <c r="C874" i="7" s="1"/>
  <c r="C875" i="7" s="1"/>
  <c r="C876" i="7" s="1"/>
  <c r="C877" i="7" s="1"/>
  <c r="C878" i="7" s="1"/>
  <c r="C879" i="7" s="1"/>
  <c r="C880" i="7" s="1"/>
  <c r="C881" i="7" s="1"/>
  <c r="C882" i="7" s="1"/>
  <c r="C883" i="7" s="1"/>
  <c r="C884" i="7" s="1"/>
  <c r="C885" i="7" s="1"/>
  <c r="C886" i="7" s="1"/>
  <c r="C887" i="7" s="1"/>
  <c r="C888" i="7" s="1"/>
  <c r="C889" i="7" s="1"/>
  <c r="C890" i="7" s="1"/>
  <c r="C891" i="7" s="1"/>
  <c r="C892" i="7" s="1"/>
  <c r="C893" i="7" s="1"/>
  <c r="C894" i="7" s="1"/>
  <c r="C895" i="7" s="1"/>
  <c r="C896" i="7" s="1"/>
  <c r="C897" i="7" s="1"/>
  <c r="C898" i="7" s="1"/>
  <c r="C899" i="7" s="1"/>
  <c r="C900" i="7" s="1"/>
  <c r="C901" i="7" s="1"/>
  <c r="C902" i="7" s="1"/>
  <c r="C903" i="7" s="1"/>
  <c r="C904" i="7" s="1"/>
  <c r="C905" i="7" s="1"/>
  <c r="C906" i="7" s="1"/>
  <c r="C907" i="7" s="1"/>
  <c r="C908" i="7" s="1"/>
  <c r="C909" i="7" s="1"/>
  <c r="C910" i="7" s="1"/>
  <c r="C911" i="7" s="1"/>
  <c r="C912" i="7" s="1"/>
  <c r="C913" i="7" s="1"/>
  <c r="C914" i="7" s="1"/>
  <c r="C915" i="7" s="1"/>
  <c r="C916" i="7" s="1"/>
  <c r="C917" i="7" s="1"/>
  <c r="C918" i="7" s="1"/>
  <c r="C919" i="7" s="1"/>
  <c r="C920" i="7" s="1"/>
  <c r="C921" i="7" s="1"/>
  <c r="C922" i="7" s="1"/>
  <c r="C923" i="7" s="1"/>
  <c r="C924" i="7" s="1"/>
  <c r="C925" i="7" s="1"/>
  <c r="C926" i="7" s="1"/>
  <c r="C927" i="7" s="1"/>
  <c r="C928" i="7" s="1"/>
  <c r="C929" i="7" s="1"/>
  <c r="C930" i="7" s="1"/>
  <c r="C931" i="7" s="1"/>
  <c r="C932" i="7" s="1"/>
  <c r="C933" i="7" s="1"/>
  <c r="C934" i="7" s="1"/>
  <c r="C935" i="7" s="1"/>
  <c r="C936" i="7" s="1"/>
  <c r="C937" i="7" s="1"/>
  <c r="C938" i="7" s="1"/>
  <c r="C939" i="7" s="1"/>
  <c r="C940" i="7" s="1"/>
  <c r="C941" i="7" s="1"/>
  <c r="C942" i="7" s="1"/>
  <c r="C943" i="7" s="1"/>
  <c r="C944" i="7" s="1"/>
  <c r="C945" i="7" s="1"/>
  <c r="C946" i="7" s="1"/>
  <c r="C947" i="7" s="1"/>
  <c r="C948" i="7" s="1"/>
  <c r="C949" i="7" s="1"/>
  <c r="C950" i="7" s="1"/>
  <c r="C951" i="7" s="1"/>
  <c r="C952" i="7" s="1"/>
  <c r="C953" i="7" s="1"/>
  <c r="C954" i="7" s="1"/>
  <c r="C955" i="7" s="1"/>
  <c r="C956" i="7" s="1"/>
  <c r="C957" i="7" s="1"/>
  <c r="C958" i="7" s="1"/>
  <c r="C959" i="7" s="1"/>
  <c r="C960" i="7" s="1"/>
  <c r="C961" i="7" s="1"/>
  <c r="C962" i="7" s="1"/>
  <c r="C963" i="7" s="1"/>
  <c r="C964" i="7" s="1"/>
  <c r="C965" i="7" s="1"/>
  <c r="C966" i="7" s="1"/>
  <c r="C967" i="7" s="1"/>
  <c r="C968" i="7" s="1"/>
  <c r="C969" i="7" s="1"/>
  <c r="C970" i="7" s="1"/>
  <c r="C971" i="7" s="1"/>
  <c r="C972" i="7" s="1"/>
  <c r="C973" i="7" s="1"/>
  <c r="C974" i="7" s="1"/>
  <c r="C975" i="7" s="1"/>
  <c r="C976" i="7" s="1"/>
  <c r="C977" i="7" s="1"/>
  <c r="C978" i="7" s="1"/>
  <c r="C979" i="7" s="1"/>
  <c r="C980" i="7" s="1"/>
  <c r="C981" i="7" s="1"/>
  <c r="C982" i="7" s="1"/>
  <c r="C983" i="7" s="1"/>
  <c r="C984" i="7" s="1"/>
  <c r="C985" i="7" s="1"/>
  <c r="C986" i="7" s="1"/>
  <c r="C987" i="7" s="1"/>
  <c r="C988" i="7" s="1"/>
  <c r="C989" i="7" s="1"/>
  <c r="C990" i="7" s="1"/>
  <c r="C991" i="7" s="1"/>
  <c r="C992" i="7" s="1"/>
  <c r="C993" i="7" s="1"/>
  <c r="C994" i="7" s="1"/>
  <c r="C995" i="7" s="1"/>
  <c r="C996" i="7" s="1"/>
  <c r="C997" i="7" s="1"/>
  <c r="C998" i="7" s="1"/>
  <c r="C999" i="7" s="1"/>
  <c r="C1000" i="7" s="1"/>
  <c r="C1001" i="7" s="1"/>
  <c r="C1002" i="7" s="1"/>
  <c r="C1003" i="7" s="1"/>
  <c r="C1004" i="7" s="1"/>
  <c r="C1005" i="7" s="1"/>
  <c r="C1006" i="7" s="1"/>
  <c r="C1007" i="7" s="1"/>
  <c r="C1008" i="7" s="1"/>
  <c r="C1009" i="7" s="1"/>
  <c r="C1010" i="7" s="1"/>
  <c r="C1011" i="7" s="1"/>
  <c r="C1012" i="7" s="1"/>
  <c r="C1013" i="7" s="1"/>
  <c r="C1014" i="7" s="1"/>
  <c r="C1015" i="7" s="1"/>
  <c r="C1016" i="7" s="1"/>
  <c r="C1017" i="7" s="1"/>
  <c r="C1018" i="7" s="1"/>
  <c r="C1019" i="7" s="1"/>
  <c r="C1020" i="7" s="1"/>
  <c r="C1021" i="7" s="1"/>
  <c r="C1022" i="7" s="1"/>
  <c r="C1023" i="7" s="1"/>
  <c r="C1024" i="7" s="1"/>
  <c r="C1025" i="7" s="1"/>
  <c r="C1026" i="7" s="1"/>
  <c r="C1027" i="7" s="1"/>
  <c r="C1028" i="7" s="1"/>
  <c r="C1029" i="7" s="1"/>
  <c r="C1030" i="7" s="1"/>
  <c r="C1031" i="7" s="1"/>
  <c r="C1032" i="7" s="1"/>
  <c r="C1033" i="7" s="1"/>
  <c r="C1034" i="7" s="1"/>
  <c r="C1035" i="7" s="1"/>
  <c r="C1036" i="7" s="1"/>
  <c r="C1037" i="7" s="1"/>
  <c r="C1038" i="7" s="1"/>
  <c r="C1039" i="7" s="1"/>
  <c r="C1040" i="7" s="1"/>
  <c r="C1041" i="7" s="1"/>
  <c r="C1042" i="7" s="1"/>
  <c r="C1043" i="7" s="1"/>
  <c r="C1044" i="7" s="1"/>
  <c r="C1045" i="7" s="1"/>
  <c r="C1046" i="7" s="1"/>
  <c r="C1047" i="7" s="1"/>
  <c r="C1048" i="7" s="1"/>
  <c r="C1049" i="7" s="1"/>
  <c r="C1050" i="7" s="1"/>
  <c r="C1051" i="7" s="1"/>
  <c r="C1052" i="7" s="1"/>
  <c r="C1053" i="7" s="1"/>
  <c r="C1054" i="7" s="1"/>
  <c r="C1055" i="7" s="1"/>
  <c r="C1056" i="7" s="1"/>
  <c r="C1057" i="7" s="1"/>
  <c r="C1058" i="7" s="1"/>
  <c r="C1059" i="7" s="1"/>
  <c r="C1060" i="7" s="1"/>
  <c r="C1061" i="7" s="1"/>
  <c r="C1062" i="7" s="1"/>
  <c r="C1063" i="7" s="1"/>
  <c r="C1064" i="7" s="1"/>
  <c r="C1065" i="7" s="1"/>
  <c r="C1066" i="7" s="1"/>
  <c r="C1067" i="7" s="1"/>
  <c r="C1068" i="7" s="1"/>
  <c r="C1069" i="7" s="1"/>
  <c r="C1070" i="7" s="1"/>
  <c r="C1071" i="7" s="1"/>
  <c r="C1072" i="7" s="1"/>
  <c r="C1073" i="7" s="1"/>
  <c r="C1074" i="7" s="1"/>
  <c r="C1075" i="7" s="1"/>
  <c r="C1076" i="7" s="1"/>
  <c r="C1077" i="7" s="1"/>
  <c r="C1078" i="7" s="1"/>
  <c r="C1079" i="7" s="1"/>
  <c r="C1080" i="7" s="1"/>
  <c r="C1081" i="7" s="1"/>
  <c r="C1082" i="7" s="1"/>
  <c r="C1083" i="7" s="1"/>
  <c r="C1084" i="7" s="1"/>
  <c r="C1085" i="7" s="1"/>
  <c r="C1086" i="7" s="1"/>
  <c r="C1087" i="7" s="1"/>
  <c r="C1088" i="7" s="1"/>
  <c r="C1089" i="7" s="1"/>
  <c r="C1090" i="7" s="1"/>
  <c r="C1091" i="7" s="1"/>
  <c r="C1092" i="7" s="1"/>
  <c r="C1093" i="7" s="1"/>
  <c r="C1094" i="7" s="1"/>
  <c r="C1095" i="7" s="1"/>
  <c r="C1096" i="7" s="1"/>
  <c r="C1097" i="7" s="1"/>
  <c r="C1098" i="7" s="1"/>
  <c r="C1099" i="7" s="1"/>
  <c r="C1100" i="7" s="1"/>
  <c r="C1101" i="7" s="1"/>
  <c r="C1102" i="7" s="1"/>
  <c r="C1103" i="7" s="1"/>
  <c r="C1104" i="7" s="1"/>
  <c r="C1105" i="7" s="1"/>
  <c r="C1106" i="7" s="1"/>
  <c r="C1107" i="7" s="1"/>
  <c r="C1108" i="7" s="1"/>
  <c r="C1109" i="7" s="1"/>
  <c r="C1110" i="7" s="1"/>
  <c r="C1111" i="7" s="1"/>
  <c r="C1112" i="7" s="1"/>
  <c r="C1113" i="7" s="1"/>
  <c r="C1114" i="7" s="1"/>
  <c r="C1115" i="7" s="1"/>
  <c r="C1116" i="7" s="1"/>
  <c r="C1117" i="7" s="1"/>
  <c r="C1118" i="7" s="1"/>
  <c r="C1119" i="7" s="1"/>
  <c r="C1120" i="7" s="1"/>
  <c r="C1121" i="7" s="1"/>
  <c r="C1122" i="7" s="1"/>
  <c r="C1123" i="7" s="1"/>
  <c r="C1124" i="7" s="1"/>
  <c r="C1125" i="7" s="1"/>
  <c r="C1126" i="7" s="1"/>
  <c r="C1127" i="7" s="1"/>
  <c r="C1128" i="7" s="1"/>
  <c r="C1129" i="7" s="1"/>
  <c r="C1130" i="7" s="1"/>
  <c r="C1131" i="7" s="1"/>
  <c r="C1132" i="7" s="1"/>
  <c r="C1133" i="7" s="1"/>
  <c r="C1134" i="7" s="1"/>
  <c r="C1135" i="7" s="1"/>
  <c r="C1136" i="7" s="1"/>
  <c r="C1137" i="7" s="1"/>
  <c r="C1138" i="7" s="1"/>
  <c r="C1139" i="7" s="1"/>
  <c r="C1140" i="7" s="1"/>
  <c r="C1141" i="7" s="1"/>
  <c r="C1142" i="7" s="1"/>
  <c r="C1143" i="7" s="1"/>
  <c r="C1144" i="7" s="1"/>
  <c r="C1145" i="7" s="1"/>
  <c r="C1146" i="7" s="1"/>
  <c r="C1147" i="7" s="1"/>
  <c r="C1148" i="7" s="1"/>
  <c r="C1149" i="7" s="1"/>
  <c r="C1150" i="7" s="1"/>
  <c r="C1151" i="7" s="1"/>
  <c r="C1152" i="7" s="1"/>
  <c r="C1153" i="7" s="1"/>
  <c r="C1154" i="7" s="1"/>
  <c r="C1155" i="7" s="1"/>
  <c r="C1156" i="7" s="1"/>
  <c r="C1157" i="7" s="1"/>
  <c r="C1158" i="7" s="1"/>
  <c r="C1159" i="7" s="1"/>
  <c r="C1160" i="7" s="1"/>
  <c r="C1161" i="7" s="1"/>
  <c r="C1162" i="7" s="1"/>
  <c r="C1163" i="7" s="1"/>
  <c r="C1164" i="7" s="1"/>
  <c r="C1165" i="7" s="1"/>
  <c r="C1166" i="7" s="1"/>
  <c r="C1167" i="7" s="1"/>
  <c r="C1168" i="7" s="1"/>
  <c r="C1169" i="7" s="1"/>
  <c r="C1170" i="7" s="1"/>
  <c r="C1171" i="7" s="1"/>
  <c r="C1172" i="7" s="1"/>
  <c r="C1173" i="7" s="1"/>
  <c r="C1174" i="7" s="1"/>
  <c r="C1175" i="7" s="1"/>
  <c r="C1176" i="7" s="1"/>
  <c r="C1177" i="7" s="1"/>
  <c r="C1178" i="7" s="1"/>
  <c r="C1179" i="7" s="1"/>
  <c r="C1180" i="7" s="1"/>
  <c r="C1181" i="7" s="1"/>
  <c r="C1182" i="7" s="1"/>
  <c r="C1183" i="7" s="1"/>
  <c r="C1184" i="7" s="1"/>
  <c r="C1185" i="7" s="1"/>
  <c r="C1186" i="7" s="1"/>
  <c r="C1187" i="7" s="1"/>
  <c r="C1188" i="7" s="1"/>
  <c r="C1189" i="7" s="1"/>
  <c r="C1190" i="7" s="1"/>
  <c r="C1191" i="7" s="1"/>
  <c r="C1192" i="7" s="1"/>
  <c r="C1193" i="7" s="1"/>
  <c r="C1194" i="7" s="1"/>
  <c r="C1195" i="7" s="1"/>
  <c r="C1196" i="7" s="1"/>
  <c r="C1197" i="7" s="1"/>
  <c r="C1198" i="7" s="1"/>
  <c r="C1199" i="7" s="1"/>
  <c r="C1200" i="7" s="1"/>
  <c r="C1201" i="7" s="1"/>
  <c r="C1202" i="7" s="1"/>
  <c r="C1203" i="7" s="1"/>
  <c r="C1204" i="7" s="1"/>
  <c r="C1205" i="7" s="1"/>
  <c r="C1206" i="7" s="1"/>
  <c r="C1207" i="7" s="1"/>
  <c r="C1208" i="7" s="1"/>
  <c r="C1209" i="7" s="1"/>
  <c r="C1210" i="7" s="1"/>
  <c r="C1211" i="7" s="1"/>
  <c r="C1212" i="7" s="1"/>
  <c r="C1213" i="7" s="1"/>
  <c r="C1214" i="7" s="1"/>
  <c r="C1215" i="7" s="1"/>
  <c r="C1216" i="7" s="1"/>
  <c r="C1217" i="7" s="1"/>
  <c r="C1218" i="7" s="1"/>
  <c r="C1219" i="7" s="1"/>
  <c r="C1220" i="7" s="1"/>
  <c r="C1221" i="7" s="1"/>
  <c r="C1222" i="7" s="1"/>
  <c r="C1223" i="7" s="1"/>
  <c r="C1224" i="7" s="1"/>
  <c r="C1225" i="7" s="1"/>
  <c r="C1226" i="7" s="1"/>
  <c r="C1227" i="7" s="1"/>
  <c r="C1228" i="7" s="1"/>
  <c r="C1229" i="7" s="1"/>
  <c r="C1230" i="7" s="1"/>
  <c r="C1231" i="7" s="1"/>
  <c r="C1232" i="7" s="1"/>
  <c r="C1233" i="7" s="1"/>
  <c r="C1234" i="7" s="1"/>
  <c r="C1235" i="7" s="1"/>
  <c r="C1236" i="7" s="1"/>
  <c r="C1237" i="7" s="1"/>
  <c r="C1238" i="7" s="1"/>
  <c r="C1239" i="7" s="1"/>
  <c r="C1240" i="7" s="1"/>
  <c r="C1241" i="7" s="1"/>
  <c r="C1242" i="7" s="1"/>
  <c r="C1243" i="7" s="1"/>
  <c r="C1244" i="7" s="1"/>
  <c r="C1245" i="7" s="1"/>
  <c r="C1246" i="7" s="1"/>
  <c r="C1247" i="7" s="1"/>
  <c r="C1248" i="7" s="1"/>
  <c r="C1249" i="7" s="1"/>
  <c r="C1250" i="7" s="1"/>
  <c r="C1251" i="7" s="1"/>
  <c r="C1252" i="7" s="1"/>
  <c r="C1253" i="7" s="1"/>
  <c r="C1254" i="7" s="1"/>
  <c r="C1255" i="7" s="1"/>
  <c r="C1256" i="7" s="1"/>
  <c r="C1257" i="7" s="1"/>
  <c r="C1258" i="7" s="1"/>
  <c r="C1259" i="7" s="1"/>
  <c r="C1260" i="7" s="1"/>
  <c r="C1261" i="7" s="1"/>
  <c r="C1262" i="7" s="1"/>
  <c r="C1263" i="7" s="1"/>
  <c r="C1264" i="7" s="1"/>
  <c r="C1265" i="7" s="1"/>
  <c r="C1266" i="7" s="1"/>
  <c r="C1267" i="7" s="1"/>
  <c r="C1268" i="7" s="1"/>
  <c r="C1269" i="7" s="1"/>
  <c r="C1270" i="7" s="1"/>
  <c r="C1271" i="7" s="1"/>
  <c r="C1272" i="7" s="1"/>
  <c r="C1273" i="7" s="1"/>
  <c r="C1274" i="7" s="1"/>
  <c r="C1275" i="7" s="1"/>
  <c r="C1276" i="7" s="1"/>
  <c r="C1277" i="7" s="1"/>
  <c r="C1278" i="7" s="1"/>
  <c r="C1279" i="7" s="1"/>
  <c r="C1280" i="7" s="1"/>
  <c r="C1281" i="7" s="1"/>
  <c r="C1282" i="7" s="1"/>
  <c r="C1283" i="7" s="1"/>
  <c r="C1284" i="7" s="1"/>
  <c r="C1285" i="7" s="1"/>
  <c r="C1286" i="7" s="1"/>
  <c r="C1287" i="7" s="1"/>
  <c r="C1288" i="7" s="1"/>
  <c r="C1289" i="7" s="1"/>
  <c r="C1290" i="7" s="1"/>
  <c r="C1291" i="7" s="1"/>
  <c r="C1292" i="7" s="1"/>
  <c r="C1293" i="7" s="1"/>
  <c r="C1294" i="7" s="1"/>
  <c r="C1295" i="7" s="1"/>
  <c r="C1296" i="7" s="1"/>
  <c r="C1297" i="7" s="1"/>
  <c r="C1298" i="7" s="1"/>
  <c r="C1299" i="7" s="1"/>
  <c r="C1300" i="7" s="1"/>
  <c r="C1301" i="7" s="1"/>
  <c r="C1302" i="7" s="1"/>
  <c r="C1303" i="7" s="1"/>
  <c r="C1304" i="7" s="1"/>
  <c r="C1305" i="7" s="1"/>
  <c r="C1306" i="7" s="1"/>
  <c r="C1307" i="7" s="1"/>
  <c r="C1308" i="7" s="1"/>
  <c r="C1309" i="7" s="1"/>
  <c r="C1310" i="7" s="1"/>
  <c r="C1311" i="7" s="1"/>
  <c r="C1312" i="7" s="1"/>
  <c r="C1313" i="7" s="1"/>
  <c r="C1314" i="7" s="1"/>
  <c r="C1315" i="7" s="1"/>
  <c r="C1316" i="7" s="1"/>
  <c r="C1317" i="7" s="1"/>
  <c r="C1318" i="7" s="1"/>
  <c r="C1319" i="7" s="1"/>
  <c r="C1320" i="7" s="1"/>
  <c r="C1321" i="7" s="1"/>
  <c r="C1322" i="7" s="1"/>
  <c r="C1323" i="7" s="1"/>
  <c r="C1324" i="7" s="1"/>
  <c r="C1325" i="7" s="1"/>
  <c r="C1326" i="7" s="1"/>
  <c r="C1327" i="7" s="1"/>
  <c r="C1328" i="7" s="1"/>
  <c r="C1329" i="7" s="1"/>
  <c r="C1330" i="7" s="1"/>
  <c r="C1331" i="7" s="1"/>
  <c r="C1332" i="7" s="1"/>
  <c r="C1333" i="7" s="1"/>
  <c r="C1334" i="7" s="1"/>
  <c r="C1335" i="7" s="1"/>
  <c r="C1336" i="7" s="1"/>
  <c r="C1337" i="7" s="1"/>
  <c r="C1338" i="7" s="1"/>
  <c r="C1339" i="7" s="1"/>
  <c r="C1340" i="7" s="1"/>
  <c r="C1341" i="7" s="1"/>
  <c r="C1342" i="7" s="1"/>
  <c r="C1343" i="7" s="1"/>
  <c r="C1344" i="7" s="1"/>
  <c r="C1345" i="7" s="1"/>
  <c r="C1346" i="7" s="1"/>
  <c r="C1347" i="7" s="1"/>
  <c r="C1348" i="7" s="1"/>
  <c r="C1349" i="7" s="1"/>
  <c r="C1350" i="7" s="1"/>
  <c r="C1351" i="7" s="1"/>
  <c r="C1352" i="7" s="1"/>
  <c r="C1353" i="7" s="1"/>
  <c r="C1354" i="7" s="1"/>
  <c r="C1355" i="7" s="1"/>
  <c r="C1356" i="7" s="1"/>
  <c r="C1357" i="7" s="1"/>
  <c r="C1358" i="7" s="1"/>
  <c r="C1359" i="7" s="1"/>
  <c r="C1360" i="7" s="1"/>
  <c r="C1361" i="7" s="1"/>
  <c r="C1362" i="7" s="1"/>
  <c r="C1363" i="7" s="1"/>
  <c r="C1364" i="7" s="1"/>
  <c r="C1365" i="7" s="1"/>
  <c r="C1366" i="7" s="1"/>
  <c r="C1367" i="7" s="1"/>
  <c r="C1368" i="7" s="1"/>
  <c r="C1369" i="7" s="1"/>
  <c r="C1370" i="7" s="1"/>
  <c r="C1371" i="7" s="1"/>
  <c r="C1372" i="7" s="1"/>
  <c r="C1373" i="7" s="1"/>
  <c r="C1374" i="7" s="1"/>
  <c r="C1375" i="7" s="1"/>
  <c r="C1376" i="7" s="1"/>
  <c r="C1377" i="7" s="1"/>
  <c r="C1378" i="7" s="1"/>
  <c r="C1379" i="7" s="1"/>
  <c r="C1380" i="7" s="1"/>
  <c r="C1381" i="7" s="1"/>
  <c r="C1382" i="7" s="1"/>
  <c r="C1383" i="7" s="1"/>
  <c r="C1384" i="7" s="1"/>
  <c r="C1385" i="7" s="1"/>
  <c r="C1386" i="7" s="1"/>
  <c r="C1387" i="7" s="1"/>
  <c r="C1388" i="7" s="1"/>
  <c r="C1389" i="7" s="1"/>
  <c r="C1390" i="7" s="1"/>
  <c r="C1391" i="7" s="1"/>
  <c r="C1392" i="7" s="1"/>
  <c r="C1393" i="7" s="1"/>
  <c r="C1394" i="7" s="1"/>
  <c r="C1395" i="7" s="1"/>
  <c r="C1396" i="7" s="1"/>
  <c r="C1397" i="7" s="1"/>
  <c r="C1398" i="7" s="1"/>
  <c r="C1399" i="7" s="1"/>
  <c r="C1400" i="7" s="1"/>
  <c r="C1401" i="7" s="1"/>
  <c r="C1402" i="7" s="1"/>
  <c r="C1403" i="7" s="1"/>
  <c r="C1404" i="7" s="1"/>
  <c r="C1405" i="7" s="1"/>
  <c r="C1406" i="7" s="1"/>
  <c r="C1407" i="7" s="1"/>
  <c r="C1408" i="7" s="1"/>
  <c r="C1409" i="7" s="1"/>
  <c r="C1410" i="7" s="1"/>
  <c r="C1411" i="7" s="1"/>
  <c r="C1412" i="7" s="1"/>
  <c r="C1413" i="7" s="1"/>
  <c r="C1414" i="7" s="1"/>
  <c r="C1415" i="7" s="1"/>
  <c r="C1416" i="7" s="1"/>
  <c r="C1417" i="7" s="1"/>
  <c r="C1418" i="7" s="1"/>
  <c r="C1419" i="7" s="1"/>
  <c r="C1420" i="7" s="1"/>
  <c r="C1421" i="7" s="1"/>
  <c r="C1422" i="7" s="1"/>
  <c r="C1423" i="7" s="1"/>
  <c r="C1424" i="7" s="1"/>
  <c r="C1425" i="7" s="1"/>
  <c r="C1426" i="7" s="1"/>
  <c r="C1427" i="7" s="1"/>
  <c r="C1428" i="7" s="1"/>
  <c r="C1429" i="7" s="1"/>
  <c r="C1430" i="7" s="1"/>
  <c r="C1431" i="7" s="1"/>
  <c r="C1432" i="7" s="1"/>
  <c r="C1433" i="7" s="1"/>
  <c r="C1434" i="7" s="1"/>
  <c r="C1435" i="7" s="1"/>
  <c r="C1436" i="7" s="1"/>
  <c r="C1437" i="7" s="1"/>
  <c r="C1438" i="7" s="1"/>
  <c r="C1439" i="7" s="1"/>
  <c r="C1440" i="7" s="1"/>
  <c r="C1441" i="7" s="1"/>
  <c r="C1442" i="7" s="1"/>
  <c r="C1443" i="7" s="1"/>
  <c r="C1444" i="7" s="1"/>
  <c r="C1445" i="7" s="1"/>
  <c r="C1446" i="7" s="1"/>
  <c r="C1447" i="7" s="1"/>
  <c r="C1448" i="7" s="1"/>
  <c r="C1449" i="7" s="1"/>
  <c r="C1450" i="7" s="1"/>
  <c r="C1451" i="7" s="1"/>
  <c r="C1452" i="7" s="1"/>
  <c r="C1453" i="7" s="1"/>
  <c r="C1454" i="7" s="1"/>
  <c r="C1455" i="7" s="1"/>
  <c r="C1456" i="7" s="1"/>
  <c r="C1457" i="7" s="1"/>
  <c r="C1458" i="7" s="1"/>
  <c r="C1459" i="7" s="1"/>
  <c r="C1460" i="7" s="1"/>
  <c r="C1461" i="7" s="1"/>
  <c r="C1462" i="7" s="1"/>
  <c r="C1463" i="7" s="1"/>
  <c r="C1464" i="7" s="1"/>
  <c r="C1465" i="7" s="1"/>
  <c r="C1466" i="7" s="1"/>
  <c r="C1467" i="7" s="1"/>
  <c r="C1468" i="7" s="1"/>
  <c r="C1469" i="7" s="1"/>
  <c r="C1470" i="7" s="1"/>
  <c r="C1471" i="7" s="1"/>
  <c r="C1472" i="7" s="1"/>
  <c r="C1473" i="7" s="1"/>
  <c r="C1474" i="7" s="1"/>
  <c r="C1475" i="7" s="1"/>
  <c r="C1476" i="7" s="1"/>
  <c r="C1477" i="7" s="1"/>
  <c r="C1478" i="7" s="1"/>
  <c r="C1479" i="7" s="1"/>
  <c r="C1480" i="7" s="1"/>
  <c r="C1481" i="7" s="1"/>
  <c r="C1482" i="7" s="1"/>
  <c r="C1483" i="7" s="1"/>
  <c r="C1484" i="7" s="1"/>
  <c r="C1485" i="7" s="1"/>
  <c r="C1486" i="7" s="1"/>
  <c r="C1487" i="7" s="1"/>
  <c r="C1488" i="7" s="1"/>
  <c r="C1489" i="7" s="1"/>
  <c r="C1490" i="7" s="1"/>
  <c r="C1491" i="7" s="1"/>
  <c r="C1492" i="7" s="1"/>
  <c r="C1493" i="7" s="1"/>
  <c r="C1494" i="7" s="1"/>
  <c r="C1495" i="7" s="1"/>
  <c r="C1496" i="7" s="1"/>
  <c r="C1497" i="7" s="1"/>
  <c r="C1498" i="7" s="1"/>
  <c r="C1499" i="7" s="1"/>
  <c r="C1500" i="7" s="1"/>
  <c r="C1501" i="7" s="1"/>
  <c r="C1502" i="7" s="1"/>
  <c r="C1503" i="7" s="1"/>
  <c r="C1504" i="7" s="1"/>
  <c r="C1505" i="7" s="1"/>
  <c r="C1506" i="7" s="1"/>
  <c r="C1507" i="7" s="1"/>
  <c r="C1508" i="7" s="1"/>
  <c r="C1509" i="7" s="1"/>
  <c r="C1510" i="7" s="1"/>
  <c r="C1511" i="7" s="1"/>
  <c r="C1512" i="7" s="1"/>
  <c r="C1513" i="7" s="1"/>
  <c r="C1514" i="7" s="1"/>
  <c r="C1515" i="7" s="1"/>
  <c r="C1516" i="7" s="1"/>
  <c r="C1517" i="7" s="1"/>
  <c r="C1518" i="7" s="1"/>
  <c r="C1519" i="7" s="1"/>
  <c r="C1520" i="7" s="1"/>
  <c r="C1521" i="7" s="1"/>
  <c r="C1522" i="7" s="1"/>
  <c r="C1523" i="7" s="1"/>
  <c r="C1524" i="7" s="1"/>
  <c r="C1525" i="7" s="1"/>
  <c r="C1526" i="7" s="1"/>
  <c r="C1527" i="7" s="1"/>
  <c r="C1528" i="7" s="1"/>
  <c r="C1529" i="7" s="1"/>
  <c r="C1530" i="7" s="1"/>
  <c r="C1531" i="7" s="1"/>
  <c r="C1532" i="7" s="1"/>
  <c r="C1533" i="7" s="1"/>
  <c r="C1534" i="7" s="1"/>
  <c r="C1535" i="7" s="1"/>
  <c r="C1536" i="7" s="1"/>
  <c r="C1537" i="7" s="1"/>
  <c r="C1538" i="7" s="1"/>
  <c r="C1539" i="7" s="1"/>
  <c r="C1540" i="7" s="1"/>
  <c r="C1541" i="7" s="1"/>
  <c r="C1542" i="7" s="1"/>
  <c r="C1543" i="7" s="1"/>
  <c r="C1544" i="7" s="1"/>
  <c r="C1545" i="7" s="1"/>
  <c r="C1546" i="7" s="1"/>
  <c r="C1547" i="7" s="1"/>
  <c r="C1548" i="7" s="1"/>
  <c r="C1549" i="7" s="1"/>
  <c r="C1550" i="7" s="1"/>
  <c r="C1551" i="7" s="1"/>
  <c r="C1552" i="7" s="1"/>
  <c r="C1553" i="7" s="1"/>
  <c r="C1554" i="7" s="1"/>
  <c r="C1555" i="7" s="1"/>
  <c r="C1556" i="7" s="1"/>
  <c r="C1557" i="7" s="1"/>
  <c r="C1558" i="7" s="1"/>
  <c r="C1559" i="7" s="1"/>
  <c r="C1560" i="7" s="1"/>
  <c r="C1561" i="7" s="1"/>
  <c r="C1562" i="7" s="1"/>
  <c r="C1563" i="7" s="1"/>
  <c r="C1564" i="7" s="1"/>
  <c r="C1565" i="7" s="1"/>
  <c r="C1566" i="7" s="1"/>
  <c r="C1567" i="7" s="1"/>
  <c r="C1568" i="7" s="1"/>
  <c r="C1569" i="7" s="1"/>
  <c r="C1570" i="7" s="1"/>
  <c r="C1571" i="7" s="1"/>
  <c r="C1572" i="7" s="1"/>
  <c r="C1573" i="7" s="1"/>
  <c r="C1574" i="7" s="1"/>
  <c r="C1575" i="7" s="1"/>
  <c r="C1576" i="7" s="1"/>
  <c r="C1577" i="7" s="1"/>
  <c r="C1578" i="7" s="1"/>
  <c r="C1579" i="7" s="1"/>
  <c r="C1580" i="7" s="1"/>
  <c r="C1581" i="7" s="1"/>
  <c r="C1582" i="7" s="1"/>
  <c r="C1583" i="7" s="1"/>
  <c r="C1584" i="7" s="1"/>
  <c r="C1585" i="7" s="1"/>
  <c r="C1586" i="7" s="1"/>
  <c r="C1587" i="7" s="1"/>
  <c r="C1588" i="7" s="1"/>
  <c r="C1589" i="7" s="1"/>
  <c r="C1590" i="7" s="1"/>
  <c r="C1591" i="7" s="1"/>
  <c r="C1592" i="7" s="1"/>
  <c r="C1593" i="7" s="1"/>
  <c r="C1594" i="7" s="1"/>
  <c r="C1595" i="7" s="1"/>
  <c r="C1596" i="7" s="1"/>
  <c r="C1597" i="7" s="1"/>
  <c r="C1598" i="7" s="1"/>
  <c r="C1599" i="7" s="1"/>
  <c r="C1600" i="7" s="1"/>
  <c r="C1601" i="7" s="1"/>
  <c r="C1602" i="7" s="1"/>
  <c r="C1603" i="7" s="1"/>
  <c r="C1604" i="7" s="1"/>
  <c r="C1605" i="7" s="1"/>
  <c r="C1606" i="7" s="1"/>
  <c r="C1607" i="7" s="1"/>
  <c r="C1608" i="7" s="1"/>
  <c r="C1609" i="7" s="1"/>
  <c r="C1610" i="7" s="1"/>
  <c r="C1611" i="7" s="1"/>
  <c r="C1612" i="7" s="1"/>
  <c r="C1613" i="7" s="1"/>
  <c r="C1614" i="7" s="1"/>
  <c r="C1615" i="7" s="1"/>
  <c r="C1616" i="7" s="1"/>
  <c r="C1617" i="7" s="1"/>
  <c r="C1618" i="7" s="1"/>
  <c r="C1619" i="7" s="1"/>
  <c r="C1620" i="7" s="1"/>
  <c r="C1621" i="7" s="1"/>
  <c r="C1622" i="7" s="1"/>
  <c r="C1623" i="7" s="1"/>
  <c r="C1624" i="7" s="1"/>
  <c r="C1625" i="7" s="1"/>
  <c r="C1626" i="7" s="1"/>
  <c r="C1627" i="7" s="1"/>
  <c r="C1628" i="7" s="1"/>
  <c r="C1629" i="7" s="1"/>
  <c r="C1630" i="7" s="1"/>
  <c r="C1631" i="7" s="1"/>
  <c r="C1632" i="7" s="1"/>
  <c r="C1633" i="7" s="1"/>
  <c r="C1634" i="7" s="1"/>
  <c r="C1635" i="7" s="1"/>
  <c r="C1636" i="7" s="1"/>
  <c r="C1637" i="7" s="1"/>
  <c r="C1638" i="7" s="1"/>
  <c r="C1639" i="7" s="1"/>
  <c r="C1640" i="7" s="1"/>
  <c r="C1641" i="7" s="1"/>
  <c r="C1642" i="7" s="1"/>
  <c r="C1643" i="7" s="1"/>
  <c r="C1644" i="7" s="1"/>
  <c r="C1645" i="7" s="1"/>
  <c r="C1646" i="7" s="1"/>
  <c r="C1647" i="7" s="1"/>
  <c r="C1648" i="7" s="1"/>
  <c r="C1649" i="7" s="1"/>
  <c r="C1650" i="7" s="1"/>
  <c r="C1651" i="7" s="1"/>
  <c r="C1652" i="7" s="1"/>
  <c r="C1653" i="7" s="1"/>
  <c r="C1654" i="7" s="1"/>
  <c r="C1655" i="7" s="1"/>
  <c r="C1656" i="7" s="1"/>
  <c r="C1657" i="7" s="1"/>
  <c r="C1658" i="7" s="1"/>
  <c r="C1659" i="7" s="1"/>
  <c r="C1660" i="7" s="1"/>
  <c r="C1661" i="7" s="1"/>
  <c r="C1662" i="7" s="1"/>
  <c r="C1663" i="7" s="1"/>
  <c r="C1664" i="7" s="1"/>
  <c r="C1665" i="7" s="1"/>
  <c r="C1666" i="7" s="1"/>
  <c r="C1667" i="7" s="1"/>
  <c r="V30" i="7"/>
  <c r="U30" i="7"/>
  <c r="T30" i="7"/>
  <c r="S30" i="7"/>
  <c r="R30" i="7"/>
  <c r="V29" i="7"/>
  <c r="U29" i="7"/>
  <c r="T29" i="7"/>
  <c r="S29" i="7"/>
  <c r="R29" i="7"/>
  <c r="V28" i="7"/>
  <c r="U28" i="7"/>
  <c r="T28" i="7"/>
  <c r="S28" i="7"/>
  <c r="R28" i="7"/>
  <c r="V27" i="7"/>
  <c r="U27" i="7"/>
  <c r="T27" i="7"/>
  <c r="S27" i="7"/>
  <c r="R27" i="7"/>
  <c r="V22" i="7"/>
  <c r="U22" i="7"/>
  <c r="T22" i="7"/>
  <c r="S22" i="7"/>
  <c r="R22" i="7"/>
  <c r="V21" i="7"/>
  <c r="U21" i="7"/>
  <c r="T21" i="7"/>
  <c r="S21" i="7"/>
  <c r="R21" i="7"/>
  <c r="V20" i="7"/>
  <c r="U20" i="7"/>
  <c r="T20" i="7"/>
  <c r="S20" i="7"/>
  <c r="R20" i="7"/>
  <c r="V19" i="7"/>
  <c r="U19" i="7"/>
  <c r="T19" i="7"/>
  <c r="S19" i="7"/>
  <c r="R19" i="7"/>
  <c r="V18" i="7"/>
  <c r="U18" i="7"/>
  <c r="T18" i="7"/>
  <c r="S18" i="7"/>
  <c r="R18" i="7"/>
  <c r="V17" i="7"/>
  <c r="U17" i="7"/>
  <c r="T17" i="7"/>
  <c r="S17" i="7"/>
  <c r="R17" i="7"/>
  <c r="V16" i="7"/>
  <c r="U16" i="7"/>
  <c r="T16" i="7"/>
  <c r="S16" i="7"/>
  <c r="R16" i="7"/>
  <c r="C16" i="7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C35" i="7" s="1"/>
  <c r="C36" i="7" s="1"/>
  <c r="C37" i="7" s="1"/>
  <c r="C38" i="7" s="1"/>
  <c r="C39" i="7" s="1"/>
  <c r="C40" i="7" s="1"/>
  <c r="C41" i="7" s="1"/>
  <c r="C42" i="7" s="1"/>
  <c r="C43" i="7" s="1"/>
  <c r="C44" i="7" s="1"/>
  <c r="C45" i="7" s="1"/>
  <c r="C46" i="7" s="1"/>
  <c r="C47" i="7" s="1"/>
  <c r="C48" i="7" s="1"/>
  <c r="C49" i="7" s="1"/>
  <c r="C50" i="7" s="1"/>
  <c r="C51" i="7" s="1"/>
  <c r="C52" i="7" s="1"/>
  <c r="C53" i="7" s="1"/>
  <c r="C54" i="7" s="1"/>
  <c r="C55" i="7" s="1"/>
  <c r="C56" i="7" s="1"/>
  <c r="C57" i="7" s="1"/>
  <c r="C58" i="7" s="1"/>
  <c r="C59" i="7" s="1"/>
  <c r="C60" i="7" s="1"/>
  <c r="C61" i="7" s="1"/>
  <c r="C62" i="7" s="1"/>
  <c r="C63" i="7" s="1"/>
  <c r="C64" i="7" s="1"/>
  <c r="C65" i="7" s="1"/>
  <c r="C66" i="7" s="1"/>
  <c r="C67" i="7" s="1"/>
  <c r="C68" i="7" s="1"/>
  <c r="C69" i="7" s="1"/>
  <c r="C70" i="7" s="1"/>
  <c r="C71" i="7" s="1"/>
  <c r="C72" i="7" s="1"/>
  <c r="C73" i="7" s="1"/>
  <c r="C74" i="7" s="1"/>
  <c r="C75" i="7" s="1"/>
  <c r="C76" i="7" s="1"/>
  <c r="C77" i="7" s="1"/>
  <c r="C78" i="7" s="1"/>
  <c r="C79" i="7" s="1"/>
  <c r="C80" i="7" s="1"/>
  <c r="C81" i="7" s="1"/>
  <c r="C82" i="7" s="1"/>
  <c r="C83" i="7" s="1"/>
  <c r="C84" i="7" s="1"/>
  <c r="C85" i="7" s="1"/>
  <c r="C86" i="7" s="1"/>
  <c r="C87" i="7" s="1"/>
  <c r="C88" i="7" s="1"/>
  <c r="C89" i="7" s="1"/>
  <c r="C90" i="7" s="1"/>
  <c r="C91" i="7" s="1"/>
  <c r="C92" i="7" s="1"/>
  <c r="C93" i="7" s="1"/>
  <c r="C94" i="7" s="1"/>
  <c r="C95" i="7" s="1"/>
  <c r="C96" i="7" s="1"/>
  <c r="C97" i="7" s="1"/>
  <c r="C98" i="7" s="1"/>
  <c r="C99" i="7" s="1"/>
  <c r="C100" i="7" s="1"/>
  <c r="C101" i="7" s="1"/>
  <c r="C102" i="7" s="1"/>
  <c r="C103" i="7" s="1"/>
  <c r="C104" i="7" s="1"/>
  <c r="C105" i="7" s="1"/>
  <c r="C106" i="7" s="1"/>
  <c r="C107" i="7" s="1"/>
  <c r="C108" i="7" s="1"/>
  <c r="C109" i="7" s="1"/>
  <c r="C110" i="7" s="1"/>
  <c r="C111" i="7" s="1"/>
  <c r="C112" i="7" s="1"/>
  <c r="C113" i="7" s="1"/>
  <c r="C114" i="7" s="1"/>
  <c r="C115" i="7" s="1"/>
  <c r="C116" i="7" s="1"/>
  <c r="C117" i="7" s="1"/>
  <c r="C118" i="7" s="1"/>
  <c r="C119" i="7" s="1"/>
  <c r="C120" i="7" s="1"/>
  <c r="C121" i="7" s="1"/>
  <c r="C122" i="7" s="1"/>
  <c r="C123" i="7" s="1"/>
  <c r="C124" i="7" s="1"/>
  <c r="C125" i="7" s="1"/>
  <c r="C126" i="7" s="1"/>
  <c r="C127" i="7" s="1"/>
  <c r="C128" i="7" s="1"/>
  <c r="C129" i="7" s="1"/>
  <c r="C130" i="7" s="1"/>
  <c r="C131" i="7" s="1"/>
  <c r="C132" i="7" s="1"/>
  <c r="C133" i="7" s="1"/>
  <c r="C134" i="7" s="1"/>
  <c r="C135" i="7" s="1"/>
  <c r="C136" i="7" s="1"/>
  <c r="C137" i="7" s="1"/>
  <c r="C138" i="7" s="1"/>
  <c r="C139" i="7" s="1"/>
  <c r="C140" i="7" s="1"/>
  <c r="C141" i="7" s="1"/>
  <c r="C142" i="7" s="1"/>
  <c r="C143" i="7" s="1"/>
  <c r="C144" i="7" s="1"/>
  <c r="C145" i="7" s="1"/>
  <c r="C146" i="7" s="1"/>
  <c r="C147" i="7" s="1"/>
  <c r="C148" i="7" s="1"/>
  <c r="C149" i="7" s="1"/>
  <c r="C150" i="7" s="1"/>
  <c r="C151" i="7" s="1"/>
  <c r="C152" i="7" s="1"/>
  <c r="C153" i="7" s="1"/>
  <c r="C154" i="7" s="1"/>
  <c r="C155" i="7" s="1"/>
  <c r="C156" i="7" s="1"/>
  <c r="C157" i="7" s="1"/>
  <c r="C158" i="7" s="1"/>
  <c r="C159" i="7" s="1"/>
  <c r="C160" i="7" s="1"/>
  <c r="C161" i="7" s="1"/>
  <c r="C162" i="7" s="1"/>
  <c r="C163" i="7" s="1"/>
  <c r="C164" i="7" s="1"/>
  <c r="C165" i="7" s="1"/>
  <c r="C166" i="7" s="1"/>
  <c r="C167" i="7" s="1"/>
  <c r="C168" i="7" s="1"/>
  <c r="C169" i="7" s="1"/>
  <c r="C170" i="7" s="1"/>
  <c r="C171" i="7" s="1"/>
  <c r="C172" i="7" s="1"/>
  <c r="C173" i="7" s="1"/>
  <c r="C174" i="7" s="1"/>
  <c r="C175" i="7" s="1"/>
  <c r="C176" i="7" s="1"/>
  <c r="C177" i="7" s="1"/>
  <c r="C178" i="7" s="1"/>
  <c r="C179" i="7" s="1"/>
  <c r="C180" i="7" s="1"/>
  <c r="C181" i="7" s="1"/>
  <c r="C182" i="7" s="1"/>
  <c r="C183" i="7" s="1"/>
  <c r="C184" i="7" s="1"/>
  <c r="C185" i="7" s="1"/>
  <c r="C186" i="7" s="1"/>
  <c r="C187" i="7" s="1"/>
  <c r="C188" i="7" s="1"/>
  <c r="C189" i="7" s="1"/>
  <c r="C190" i="7" s="1"/>
  <c r="C191" i="7" s="1"/>
  <c r="C192" i="7" s="1"/>
  <c r="C193" i="7" s="1"/>
  <c r="C194" i="7" s="1"/>
  <c r="C195" i="7" s="1"/>
  <c r="C196" i="7" s="1"/>
  <c r="C197" i="7" s="1"/>
  <c r="C198" i="7" s="1"/>
  <c r="C199" i="7" s="1"/>
  <c r="C200" i="7" s="1"/>
  <c r="C201" i="7" s="1"/>
  <c r="C202" i="7" s="1"/>
  <c r="C203" i="7" s="1"/>
  <c r="C204" i="7" s="1"/>
  <c r="C205" i="7" s="1"/>
  <c r="C206" i="7" s="1"/>
  <c r="C207" i="7" s="1"/>
  <c r="C208" i="7" s="1"/>
  <c r="C209" i="7" s="1"/>
  <c r="C210" i="7" s="1"/>
  <c r="C211" i="7" s="1"/>
  <c r="C212" i="7" s="1"/>
  <c r="C213" i="7" s="1"/>
  <c r="C214" i="7" s="1"/>
  <c r="C215" i="7" s="1"/>
  <c r="C216" i="7" s="1"/>
  <c r="C217" i="7" s="1"/>
  <c r="C218" i="7" s="1"/>
  <c r="C219" i="7" s="1"/>
  <c r="C220" i="7" s="1"/>
  <c r="C221" i="7" s="1"/>
  <c r="C222" i="7" s="1"/>
  <c r="C223" i="7" s="1"/>
  <c r="C224" i="7" s="1"/>
  <c r="C225" i="7" s="1"/>
  <c r="C226" i="7" s="1"/>
  <c r="C227" i="7" s="1"/>
  <c r="C228" i="7" s="1"/>
  <c r="C229" i="7" s="1"/>
  <c r="C230" i="7" s="1"/>
  <c r="C231" i="7" s="1"/>
  <c r="C232" i="7" s="1"/>
  <c r="C233" i="7" s="1"/>
  <c r="C234" i="7" s="1"/>
  <c r="C235" i="7" s="1"/>
  <c r="C236" i="7" s="1"/>
  <c r="C237" i="7" s="1"/>
  <c r="C238" i="7" s="1"/>
  <c r="C239" i="7" s="1"/>
  <c r="C240" i="7" s="1"/>
  <c r="C241" i="7" s="1"/>
  <c r="C242" i="7" s="1"/>
  <c r="C243" i="7" s="1"/>
  <c r="C244" i="7" s="1"/>
  <c r="C245" i="7" s="1"/>
  <c r="C246" i="7" s="1"/>
  <c r="C247" i="7" s="1"/>
  <c r="C248" i="7" s="1"/>
  <c r="C249" i="7" s="1"/>
  <c r="C250" i="7" s="1"/>
  <c r="C251" i="7" s="1"/>
  <c r="C252" i="7" s="1"/>
  <c r="C253" i="7" s="1"/>
  <c r="C254" i="7" s="1"/>
  <c r="C255" i="7" s="1"/>
  <c r="C256" i="7" s="1"/>
  <c r="C257" i="7" s="1"/>
  <c r="C258" i="7" s="1"/>
  <c r="C259" i="7" s="1"/>
  <c r="C260" i="7" s="1"/>
  <c r="C261" i="7" s="1"/>
  <c r="C262" i="7" s="1"/>
  <c r="C263" i="7" s="1"/>
  <c r="C264" i="7" s="1"/>
  <c r="C265" i="7" s="1"/>
  <c r="C266" i="7" s="1"/>
  <c r="C267" i="7" s="1"/>
  <c r="C268" i="7" s="1"/>
  <c r="C269" i="7" s="1"/>
  <c r="C270" i="7" s="1"/>
  <c r="C271" i="7" s="1"/>
  <c r="C272" i="7" s="1"/>
  <c r="C273" i="7" s="1"/>
  <c r="C274" i="7" s="1"/>
  <c r="C275" i="7" s="1"/>
  <c r="C276" i="7" s="1"/>
  <c r="C277" i="7" s="1"/>
  <c r="C278" i="7" s="1"/>
  <c r="C279" i="7" s="1"/>
  <c r="C280" i="7" s="1"/>
  <c r="C281" i="7" s="1"/>
  <c r="C282" i="7" s="1"/>
  <c r="C283" i="7" s="1"/>
  <c r="C284" i="7" s="1"/>
  <c r="C285" i="7" s="1"/>
  <c r="C286" i="7" s="1"/>
  <c r="C287" i="7" s="1"/>
  <c r="C288" i="7" s="1"/>
  <c r="C289" i="7" s="1"/>
  <c r="C290" i="7" s="1"/>
  <c r="C291" i="7" s="1"/>
  <c r="C292" i="7" s="1"/>
  <c r="C293" i="7" s="1"/>
  <c r="C294" i="7" s="1"/>
  <c r="C295" i="7" s="1"/>
  <c r="C296" i="7" s="1"/>
  <c r="C297" i="7" s="1"/>
  <c r="C298" i="7" s="1"/>
  <c r="C299" i="7" s="1"/>
  <c r="C300" i="7" s="1"/>
  <c r="C301" i="7" s="1"/>
  <c r="C302" i="7" s="1"/>
  <c r="C303" i="7" s="1"/>
  <c r="C304" i="7" s="1"/>
  <c r="C305" i="7" s="1"/>
  <c r="C306" i="7" s="1"/>
  <c r="C307" i="7" s="1"/>
  <c r="C308" i="7" s="1"/>
  <c r="C309" i="7" s="1"/>
  <c r="C310" i="7" s="1"/>
  <c r="C311" i="7" s="1"/>
  <c r="C312" i="7" s="1"/>
  <c r="C313" i="7" s="1"/>
  <c r="C314" i="7" s="1"/>
  <c r="C315" i="7" s="1"/>
  <c r="C316" i="7" s="1"/>
  <c r="C317" i="7" s="1"/>
  <c r="C318" i="7" s="1"/>
  <c r="C319" i="7" s="1"/>
  <c r="C320" i="7" s="1"/>
  <c r="C321" i="7" s="1"/>
  <c r="C322" i="7" s="1"/>
  <c r="C323" i="7" s="1"/>
  <c r="C324" i="7" s="1"/>
  <c r="C325" i="7" s="1"/>
  <c r="C326" i="7" s="1"/>
  <c r="C327" i="7" s="1"/>
  <c r="C328" i="7" s="1"/>
  <c r="C329" i="7" s="1"/>
  <c r="C330" i="7" s="1"/>
  <c r="C331" i="7" s="1"/>
  <c r="C332" i="7" s="1"/>
  <c r="C333" i="7" s="1"/>
  <c r="C334" i="7" s="1"/>
  <c r="C335" i="7" s="1"/>
  <c r="C336" i="7" s="1"/>
  <c r="C337" i="7" s="1"/>
  <c r="C338" i="7" s="1"/>
  <c r="C339" i="7" s="1"/>
  <c r="C340" i="7" s="1"/>
  <c r="C341" i="7" s="1"/>
  <c r="C342" i="7" s="1"/>
  <c r="C343" i="7" s="1"/>
  <c r="C344" i="7" s="1"/>
  <c r="C345" i="7" s="1"/>
  <c r="C346" i="7" s="1"/>
  <c r="C347" i="7" s="1"/>
  <c r="C348" i="7" s="1"/>
  <c r="C349" i="7" s="1"/>
  <c r="C350" i="7" s="1"/>
  <c r="C351" i="7" s="1"/>
  <c r="C352" i="7" s="1"/>
  <c r="C353" i="7" s="1"/>
  <c r="C354" i="7" s="1"/>
  <c r="C355" i="7" s="1"/>
  <c r="C356" i="7" s="1"/>
  <c r="C357" i="7" s="1"/>
  <c r="C358" i="7" s="1"/>
  <c r="C359" i="7" s="1"/>
  <c r="C360" i="7" s="1"/>
  <c r="C361" i="7" s="1"/>
  <c r="C362" i="7" s="1"/>
  <c r="C363" i="7" s="1"/>
  <c r="C364" i="7" s="1"/>
  <c r="C365" i="7" s="1"/>
  <c r="C366" i="7" s="1"/>
  <c r="C367" i="7" s="1"/>
  <c r="C368" i="7" s="1"/>
  <c r="C369" i="7" s="1"/>
  <c r="C370" i="7" s="1"/>
  <c r="C371" i="7" s="1"/>
  <c r="C372" i="7" s="1"/>
  <c r="C373" i="7" s="1"/>
  <c r="C374" i="7" s="1"/>
  <c r="C375" i="7" s="1"/>
  <c r="C376" i="7" s="1"/>
  <c r="C377" i="7" s="1"/>
  <c r="C378" i="7" s="1"/>
  <c r="C379" i="7" s="1"/>
  <c r="C380" i="7" s="1"/>
  <c r="C381" i="7" s="1"/>
  <c r="C382" i="7" s="1"/>
  <c r="C383" i="7" s="1"/>
  <c r="C384" i="7" s="1"/>
  <c r="C385" i="7" s="1"/>
  <c r="C386" i="7" s="1"/>
  <c r="C387" i="7" s="1"/>
  <c r="C388" i="7" s="1"/>
  <c r="C389" i="7" s="1"/>
  <c r="C390" i="7" s="1"/>
  <c r="C391" i="7" s="1"/>
  <c r="C392" i="7" s="1"/>
  <c r="C393" i="7" s="1"/>
  <c r="C394" i="7" s="1"/>
  <c r="C395" i="7" s="1"/>
  <c r="C396" i="7" s="1"/>
  <c r="C397" i="7" s="1"/>
  <c r="C398" i="7" s="1"/>
  <c r="C399" i="7" s="1"/>
  <c r="C400" i="7" s="1"/>
  <c r="C401" i="7" s="1"/>
  <c r="C402" i="7" s="1"/>
  <c r="C403" i="7" s="1"/>
  <c r="C404" i="7" s="1"/>
  <c r="C405" i="7" s="1"/>
  <c r="C406" i="7" s="1"/>
  <c r="C407" i="7" s="1"/>
  <c r="C408" i="7" s="1"/>
  <c r="C409" i="7" s="1"/>
  <c r="C410" i="7" s="1"/>
  <c r="C411" i="7" s="1"/>
  <c r="C412" i="7" s="1"/>
  <c r="C413" i="7" s="1"/>
  <c r="C414" i="7" s="1"/>
  <c r="C415" i="7" s="1"/>
  <c r="C416" i="7" s="1"/>
  <c r="C417" i="7" s="1"/>
  <c r="C418" i="7" s="1"/>
  <c r="C419" i="7" s="1"/>
  <c r="C420" i="7" s="1"/>
  <c r="C421" i="7" s="1"/>
  <c r="C422" i="7" s="1"/>
  <c r="C423" i="7" s="1"/>
  <c r="C424" i="7" s="1"/>
  <c r="C425" i="7" s="1"/>
  <c r="C426" i="7" s="1"/>
  <c r="C427" i="7" s="1"/>
  <c r="C428" i="7" s="1"/>
  <c r="C429" i="7" s="1"/>
  <c r="C430" i="7" s="1"/>
  <c r="C431" i="7" s="1"/>
  <c r="C432" i="7" s="1"/>
  <c r="C433" i="7" s="1"/>
  <c r="C434" i="7" s="1"/>
  <c r="C435" i="7" s="1"/>
  <c r="C436" i="7" s="1"/>
  <c r="C437" i="7" s="1"/>
  <c r="C438" i="7" s="1"/>
  <c r="C439" i="7" s="1"/>
  <c r="C440" i="7" s="1"/>
  <c r="C441" i="7" s="1"/>
  <c r="C442" i="7" s="1"/>
  <c r="C443" i="7" s="1"/>
  <c r="C444" i="7" s="1"/>
  <c r="C445" i="7" s="1"/>
  <c r="C446" i="7" s="1"/>
  <c r="C447" i="7" s="1"/>
  <c r="C448" i="7" s="1"/>
  <c r="C449" i="7" s="1"/>
  <c r="C450" i="7" s="1"/>
  <c r="C451" i="7" s="1"/>
  <c r="C452" i="7" s="1"/>
  <c r="C453" i="7" s="1"/>
  <c r="C454" i="7" s="1"/>
  <c r="C455" i="7" s="1"/>
  <c r="C456" i="7" s="1"/>
  <c r="C457" i="7" s="1"/>
  <c r="C458" i="7" s="1"/>
  <c r="C459" i="7" s="1"/>
  <c r="C460" i="7" s="1"/>
  <c r="C461" i="7" s="1"/>
  <c r="C462" i="7" s="1"/>
  <c r="C463" i="7" s="1"/>
  <c r="C464" i="7" s="1"/>
  <c r="C465" i="7" s="1"/>
  <c r="C466" i="7" s="1"/>
  <c r="C467" i="7" s="1"/>
  <c r="C468" i="7" s="1"/>
  <c r="C469" i="7" s="1"/>
  <c r="C470" i="7" s="1"/>
  <c r="C471" i="7" s="1"/>
  <c r="C472" i="7" s="1"/>
  <c r="C473" i="7" s="1"/>
  <c r="C474" i="7" s="1"/>
  <c r="C475" i="7" s="1"/>
  <c r="C476" i="7" s="1"/>
  <c r="C477" i="7" s="1"/>
  <c r="C478" i="7" s="1"/>
  <c r="C479" i="7" s="1"/>
  <c r="C480" i="7" s="1"/>
  <c r="C481" i="7" s="1"/>
  <c r="C482" i="7" s="1"/>
  <c r="C483" i="7" s="1"/>
  <c r="C484" i="7" s="1"/>
  <c r="C485" i="7" s="1"/>
  <c r="C486" i="7" s="1"/>
  <c r="C487" i="7" s="1"/>
  <c r="C488" i="7" s="1"/>
  <c r="C489" i="7" s="1"/>
  <c r="C490" i="7" s="1"/>
  <c r="C491" i="7" s="1"/>
  <c r="C492" i="7" s="1"/>
  <c r="C493" i="7" s="1"/>
  <c r="C494" i="7" s="1"/>
  <c r="C495" i="7" s="1"/>
  <c r="C496" i="7" s="1"/>
  <c r="C497" i="7" s="1"/>
  <c r="C498" i="7" s="1"/>
  <c r="C499" i="7" s="1"/>
  <c r="C500" i="7" s="1"/>
  <c r="C501" i="7" s="1"/>
  <c r="C502" i="7" s="1"/>
  <c r="C503" i="7" s="1"/>
  <c r="C504" i="7" s="1"/>
  <c r="C505" i="7" s="1"/>
  <c r="C506" i="7" s="1"/>
  <c r="C507" i="7" s="1"/>
  <c r="C508" i="7" s="1"/>
  <c r="C509" i="7" s="1"/>
  <c r="C510" i="7" s="1"/>
  <c r="C511" i="7" s="1"/>
  <c r="C512" i="7" s="1"/>
  <c r="C513" i="7" s="1"/>
  <c r="C514" i="7" s="1"/>
  <c r="C515" i="7" s="1"/>
  <c r="C516" i="7" s="1"/>
  <c r="C517" i="7" s="1"/>
  <c r="C518" i="7" s="1"/>
  <c r="C519" i="7" s="1"/>
  <c r="C520" i="7" s="1"/>
  <c r="C521" i="7" s="1"/>
  <c r="C522" i="7" s="1"/>
  <c r="C523" i="7" s="1"/>
  <c r="C524" i="7" s="1"/>
  <c r="C525" i="7" s="1"/>
  <c r="C526" i="7" s="1"/>
  <c r="C527" i="7" s="1"/>
  <c r="C528" i="7" s="1"/>
  <c r="C529" i="7" s="1"/>
  <c r="C530" i="7" s="1"/>
  <c r="C531" i="7" s="1"/>
  <c r="C532" i="7" s="1"/>
  <c r="C533" i="7" s="1"/>
  <c r="C534" i="7" s="1"/>
  <c r="C535" i="7" s="1"/>
  <c r="C536" i="7" s="1"/>
  <c r="C537" i="7" s="1"/>
  <c r="C538" i="7" s="1"/>
  <c r="C539" i="7" s="1"/>
  <c r="C540" i="7" s="1"/>
  <c r="C541" i="7" s="1"/>
  <c r="C542" i="7" s="1"/>
  <c r="C543" i="7" s="1"/>
  <c r="C544" i="7" s="1"/>
  <c r="C545" i="7" s="1"/>
  <c r="C546" i="7" s="1"/>
  <c r="C547" i="7" s="1"/>
  <c r="C548" i="7" s="1"/>
  <c r="C549" i="7" s="1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B27" i="7" s="1"/>
  <c r="B28" i="7" s="1"/>
  <c r="B29" i="7" s="1"/>
  <c r="B30" i="7" s="1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B69" i="7" s="1"/>
  <c r="B70" i="7" s="1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B81" i="7" s="1"/>
  <c r="B82" i="7" s="1"/>
  <c r="B83" i="7" s="1"/>
  <c r="B84" i="7" s="1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B95" i="7" s="1"/>
  <c r="B96" i="7" s="1"/>
  <c r="B97" i="7" s="1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B108" i="7" s="1"/>
  <c r="B109" i="7" s="1"/>
  <c r="B110" i="7" s="1"/>
  <c r="B111" i="7" s="1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B122" i="7" s="1"/>
  <c r="B123" i="7" s="1"/>
  <c r="B124" i="7" s="1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B135" i="7" s="1"/>
  <c r="B136" i="7" s="1"/>
  <c r="B137" i="7" s="1"/>
  <c r="B138" i="7" s="1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B149" i="7" s="1"/>
  <c r="B150" i="7" s="1"/>
  <c r="B151" i="7" s="1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B162" i="7" s="1"/>
  <c r="B163" i="7" s="1"/>
  <c r="B164" i="7" s="1"/>
  <c r="B165" i="7" s="1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B176" i="7" s="1"/>
  <c r="B177" i="7" s="1"/>
  <c r="B178" i="7" s="1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B189" i="7" s="1"/>
  <c r="B190" i="7" s="1"/>
  <c r="B191" i="7" s="1"/>
  <c r="B192" i="7" s="1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B203" i="7" s="1"/>
  <c r="B204" i="7" s="1"/>
  <c r="B205" i="7" s="1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B216" i="7" s="1"/>
  <c r="B217" i="7" s="1"/>
  <c r="B218" i="7" s="1"/>
  <c r="B219" i="7" s="1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B230" i="7" s="1"/>
  <c r="B231" i="7" s="1"/>
  <c r="B232" i="7" s="1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B243" i="7" s="1"/>
  <c r="B244" i="7" s="1"/>
  <c r="B245" i="7" s="1"/>
  <c r="B246" i="7" s="1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B257" i="7" s="1"/>
  <c r="B258" i="7" s="1"/>
  <c r="B259" i="7" s="1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B270" i="7" s="1"/>
  <c r="B271" i="7" s="1"/>
  <c r="B272" i="7" s="1"/>
  <c r="B273" i="7" s="1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B284" i="7" s="1"/>
  <c r="B285" i="7" s="1"/>
  <c r="B286" i="7" s="1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B297" i="7" s="1"/>
  <c r="B298" i="7" s="1"/>
  <c r="B299" i="7" s="1"/>
  <c r="B300" i="7" s="1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B311" i="7" s="1"/>
  <c r="B312" i="7" s="1"/>
  <c r="B313" i="7" s="1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B324" i="7" s="1"/>
  <c r="B325" i="7" s="1"/>
  <c r="B326" i="7" s="1"/>
  <c r="B327" i="7" s="1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B338" i="7" s="1"/>
  <c r="B339" i="7" s="1"/>
  <c r="B340" i="7" s="1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B351" i="7" s="1"/>
  <c r="B352" i="7" s="1"/>
  <c r="B353" i="7" s="1"/>
  <c r="B354" i="7" s="1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B365" i="7" s="1"/>
  <c r="B366" i="7" s="1"/>
  <c r="B367" i="7" s="1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B378" i="7" s="1"/>
  <c r="B379" i="7" s="1"/>
  <c r="B380" i="7" s="1"/>
  <c r="B381" i="7" s="1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B392" i="7" s="1"/>
  <c r="B393" i="7" s="1"/>
  <c r="B394" i="7" s="1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B405" i="7" s="1"/>
  <c r="B406" i="7" s="1"/>
  <c r="B407" i="7" s="1"/>
  <c r="B408" i="7" s="1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B419" i="7" s="1"/>
  <c r="B420" i="7" s="1"/>
  <c r="B421" i="7" s="1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B432" i="7" s="1"/>
  <c r="B433" i="7" s="1"/>
  <c r="B434" i="7" s="1"/>
  <c r="B435" i="7" s="1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B446" i="7" s="1"/>
  <c r="B447" i="7" s="1"/>
  <c r="B448" i="7" s="1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B459" i="7" s="1"/>
  <c r="B460" i="7" s="1"/>
  <c r="B461" i="7" s="1"/>
  <c r="B462" i="7" s="1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B473" i="7" s="1"/>
  <c r="B474" i="7" s="1"/>
  <c r="B475" i="7" s="1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B486" i="7" s="1"/>
  <c r="B487" i="7" s="1"/>
  <c r="B488" i="7" s="1"/>
  <c r="B489" i="7" s="1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B500" i="7" s="1"/>
  <c r="B501" i="7" s="1"/>
  <c r="B502" i="7" s="1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B513" i="7" s="1"/>
  <c r="B514" i="7" s="1"/>
  <c r="B515" i="7" s="1"/>
  <c r="B516" i="7" s="1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B527" i="7" s="1"/>
  <c r="B528" i="7" s="1"/>
  <c r="B529" i="7" s="1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B540" i="7" s="1"/>
  <c r="B541" i="7" s="1"/>
  <c r="B542" i="7" s="1"/>
  <c r="B543" i="7" s="1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B554" i="7" s="1"/>
  <c r="B555" i="7" s="1"/>
  <c r="B556" i="7" s="1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B567" i="7" s="1"/>
  <c r="B568" i="7" s="1"/>
  <c r="B569" i="7" s="1"/>
  <c r="B570" i="7" s="1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B581" i="7" s="1"/>
  <c r="B582" i="7" s="1"/>
  <c r="B583" i="7" s="1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B594" i="7" s="1"/>
  <c r="B595" i="7" s="1"/>
  <c r="B596" i="7" s="1"/>
  <c r="B597" i="7" s="1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B608" i="7" s="1"/>
  <c r="B609" i="7" s="1"/>
  <c r="B610" i="7" s="1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B621" i="7" s="1"/>
  <c r="B622" i="7" s="1"/>
  <c r="B623" i="7" s="1"/>
  <c r="B624" i="7" s="1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B635" i="7" s="1"/>
  <c r="B636" i="7" s="1"/>
  <c r="B637" i="7" s="1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B648" i="7" s="1"/>
  <c r="B649" i="7" s="1"/>
  <c r="B650" i="7" s="1"/>
  <c r="B651" i="7" s="1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B662" i="7" s="1"/>
  <c r="B663" i="7" s="1"/>
  <c r="B664" i="7" s="1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B675" i="7" s="1"/>
  <c r="B676" i="7" s="1"/>
  <c r="B677" i="7" s="1"/>
  <c r="B678" i="7" s="1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B689" i="7" s="1"/>
  <c r="B690" i="7" s="1"/>
  <c r="B691" i="7" s="1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B702" i="7" s="1"/>
  <c r="B703" i="7" s="1"/>
  <c r="B704" i="7" s="1"/>
  <c r="B705" i="7" s="1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B716" i="7" s="1"/>
  <c r="B717" i="7" s="1"/>
  <c r="B718" i="7" s="1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B729" i="7" s="1"/>
  <c r="B730" i="7" s="1"/>
  <c r="B731" i="7" s="1"/>
  <c r="B732" i="7" s="1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B743" i="7" s="1"/>
  <c r="B744" i="7" s="1"/>
  <c r="B745" i="7" s="1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B756" i="7" s="1"/>
  <c r="B757" i="7" s="1"/>
  <c r="B758" i="7" s="1"/>
  <c r="B759" i="7" s="1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B770" i="7" s="1"/>
  <c r="B771" i="7" s="1"/>
  <c r="B772" i="7" s="1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B783" i="7" s="1"/>
  <c r="B784" i="7" s="1"/>
  <c r="B785" i="7" s="1"/>
  <c r="B786" i="7" s="1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B797" i="7" s="1"/>
  <c r="B798" i="7" s="1"/>
  <c r="B799" i="7" s="1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B810" i="7" s="1"/>
  <c r="B811" i="7" s="1"/>
  <c r="B812" i="7" s="1"/>
  <c r="B813" i="7" s="1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B824" i="7" s="1"/>
  <c r="B825" i="7" s="1"/>
  <c r="B826" i="7" s="1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B837" i="7" s="1"/>
  <c r="B838" i="7" s="1"/>
  <c r="B839" i="7" s="1"/>
  <c r="B840" i="7" s="1"/>
  <c r="B841" i="7" s="1"/>
  <c r="B842" i="7" s="1"/>
  <c r="B843" i="7" s="1"/>
  <c r="B844" i="7" s="1"/>
  <c r="B845" i="7" s="1"/>
  <c r="B846" i="7" s="1"/>
  <c r="B847" i="7" s="1"/>
  <c r="B848" i="7" s="1"/>
  <c r="B849" i="7" s="1"/>
  <c r="B850" i="7" s="1"/>
  <c r="B851" i="7" s="1"/>
  <c r="B852" i="7" s="1"/>
  <c r="B853" i="7" s="1"/>
  <c r="B854" i="7" s="1"/>
  <c r="B855" i="7" s="1"/>
  <c r="B856" i="7" s="1"/>
  <c r="B857" i="7" s="1"/>
  <c r="B858" i="7" s="1"/>
  <c r="B859" i="7" s="1"/>
  <c r="B860" i="7" s="1"/>
  <c r="B861" i="7" s="1"/>
  <c r="B862" i="7" s="1"/>
  <c r="B863" i="7" s="1"/>
  <c r="B864" i="7" s="1"/>
  <c r="B865" i="7" s="1"/>
  <c r="B866" i="7" s="1"/>
  <c r="B867" i="7" s="1"/>
  <c r="B868" i="7" s="1"/>
  <c r="B869" i="7" s="1"/>
  <c r="B870" i="7" s="1"/>
  <c r="B871" i="7" s="1"/>
  <c r="B872" i="7" s="1"/>
  <c r="B873" i="7" s="1"/>
  <c r="B874" i="7" s="1"/>
  <c r="B875" i="7" s="1"/>
  <c r="B876" i="7" s="1"/>
  <c r="B877" i="7" s="1"/>
  <c r="B878" i="7" s="1"/>
  <c r="B879" i="7" s="1"/>
  <c r="B880" i="7" s="1"/>
  <c r="B881" i="7" s="1"/>
  <c r="B882" i="7" s="1"/>
  <c r="B883" i="7" s="1"/>
  <c r="B884" i="7" s="1"/>
  <c r="B885" i="7" s="1"/>
  <c r="B886" i="7" s="1"/>
  <c r="B887" i="7" s="1"/>
  <c r="B888" i="7" s="1"/>
  <c r="B889" i="7" s="1"/>
  <c r="B890" i="7" s="1"/>
  <c r="B891" i="7" s="1"/>
  <c r="B892" i="7" s="1"/>
  <c r="B893" i="7" s="1"/>
  <c r="B894" i="7" s="1"/>
  <c r="B895" i="7" s="1"/>
  <c r="B896" i="7" s="1"/>
  <c r="B897" i="7" s="1"/>
  <c r="B898" i="7" s="1"/>
  <c r="B899" i="7" s="1"/>
  <c r="B900" i="7" s="1"/>
  <c r="B901" i="7" s="1"/>
  <c r="B902" i="7" s="1"/>
  <c r="B903" i="7" s="1"/>
  <c r="B904" i="7" s="1"/>
  <c r="B905" i="7" s="1"/>
  <c r="B906" i="7" s="1"/>
  <c r="B907" i="7" s="1"/>
  <c r="B908" i="7" s="1"/>
  <c r="B909" i="7" s="1"/>
  <c r="B910" i="7" s="1"/>
  <c r="B911" i="7" s="1"/>
  <c r="B912" i="7" s="1"/>
  <c r="B913" i="7" s="1"/>
  <c r="B914" i="7" s="1"/>
  <c r="B915" i="7" s="1"/>
  <c r="B916" i="7" s="1"/>
  <c r="B917" i="7" s="1"/>
  <c r="B918" i="7" s="1"/>
  <c r="B919" i="7" s="1"/>
  <c r="B920" i="7" s="1"/>
  <c r="B921" i="7" s="1"/>
  <c r="B922" i="7" s="1"/>
  <c r="B923" i="7" s="1"/>
  <c r="B924" i="7" s="1"/>
  <c r="B925" i="7" s="1"/>
  <c r="B926" i="7" s="1"/>
  <c r="B927" i="7" s="1"/>
  <c r="B928" i="7" s="1"/>
  <c r="B929" i="7" s="1"/>
  <c r="B930" i="7" s="1"/>
  <c r="B931" i="7" s="1"/>
  <c r="B932" i="7" s="1"/>
  <c r="B933" i="7" s="1"/>
  <c r="B934" i="7" s="1"/>
  <c r="B935" i="7" s="1"/>
  <c r="B936" i="7" s="1"/>
  <c r="B937" i="7" s="1"/>
  <c r="B938" i="7" s="1"/>
  <c r="B939" i="7" s="1"/>
  <c r="B940" i="7" s="1"/>
  <c r="B941" i="7" s="1"/>
  <c r="B942" i="7" s="1"/>
  <c r="B943" i="7" s="1"/>
  <c r="B944" i="7" s="1"/>
  <c r="B945" i="7" s="1"/>
  <c r="B946" i="7" s="1"/>
  <c r="B947" i="7" s="1"/>
  <c r="B948" i="7" s="1"/>
  <c r="B949" i="7" s="1"/>
  <c r="B950" i="7" s="1"/>
  <c r="B951" i="7" s="1"/>
  <c r="B952" i="7" s="1"/>
  <c r="B953" i="7" s="1"/>
  <c r="B954" i="7" s="1"/>
  <c r="B955" i="7" s="1"/>
  <c r="B956" i="7" s="1"/>
  <c r="B957" i="7" s="1"/>
  <c r="B958" i="7" s="1"/>
  <c r="B959" i="7" s="1"/>
  <c r="B960" i="7" s="1"/>
  <c r="B961" i="7" s="1"/>
  <c r="B962" i="7" s="1"/>
  <c r="B963" i="7" s="1"/>
  <c r="B964" i="7" s="1"/>
  <c r="B965" i="7" s="1"/>
  <c r="B966" i="7" s="1"/>
  <c r="B967" i="7" s="1"/>
  <c r="B968" i="7" s="1"/>
  <c r="B969" i="7" s="1"/>
  <c r="B970" i="7" s="1"/>
  <c r="B971" i="7" s="1"/>
  <c r="B972" i="7" s="1"/>
  <c r="B973" i="7" s="1"/>
  <c r="B974" i="7" s="1"/>
  <c r="B975" i="7" s="1"/>
  <c r="B976" i="7" s="1"/>
  <c r="B977" i="7" s="1"/>
  <c r="B978" i="7" s="1"/>
  <c r="B979" i="7" s="1"/>
  <c r="B980" i="7" s="1"/>
  <c r="B981" i="7" s="1"/>
  <c r="B982" i="7" s="1"/>
  <c r="B983" i="7" s="1"/>
  <c r="B984" i="7" s="1"/>
  <c r="B985" i="7" s="1"/>
  <c r="B986" i="7" s="1"/>
  <c r="B987" i="7" s="1"/>
  <c r="B988" i="7" s="1"/>
  <c r="B989" i="7" s="1"/>
  <c r="B990" i="7" s="1"/>
  <c r="B991" i="7" s="1"/>
  <c r="B992" i="7" s="1"/>
  <c r="B993" i="7" s="1"/>
  <c r="B994" i="7" s="1"/>
  <c r="B995" i="7" s="1"/>
  <c r="B996" i="7" s="1"/>
  <c r="B997" i="7" s="1"/>
  <c r="B998" i="7" s="1"/>
  <c r="B999" i="7" s="1"/>
  <c r="B1000" i="7" s="1"/>
  <c r="B1001" i="7" s="1"/>
  <c r="B1002" i="7" s="1"/>
  <c r="B1003" i="7" s="1"/>
  <c r="B1004" i="7" s="1"/>
  <c r="B1005" i="7" s="1"/>
  <c r="B1006" i="7" s="1"/>
  <c r="B1007" i="7" s="1"/>
  <c r="B1008" i="7" s="1"/>
  <c r="B1009" i="7" s="1"/>
  <c r="B1010" i="7" s="1"/>
  <c r="B1011" i="7" s="1"/>
  <c r="B1012" i="7" s="1"/>
  <c r="B1013" i="7" s="1"/>
  <c r="B1014" i="7" s="1"/>
  <c r="B1015" i="7" s="1"/>
  <c r="B1016" i="7" s="1"/>
  <c r="B1017" i="7" s="1"/>
  <c r="B1018" i="7" s="1"/>
  <c r="B1019" i="7" s="1"/>
  <c r="B1020" i="7" s="1"/>
  <c r="B1021" i="7" s="1"/>
  <c r="B1022" i="7" s="1"/>
  <c r="B1023" i="7" s="1"/>
  <c r="B1024" i="7" s="1"/>
  <c r="B1025" i="7" s="1"/>
  <c r="B1026" i="7" s="1"/>
  <c r="B1027" i="7" s="1"/>
  <c r="B1028" i="7" s="1"/>
  <c r="B1029" i="7" s="1"/>
  <c r="B1030" i="7" s="1"/>
  <c r="B1031" i="7" s="1"/>
  <c r="B1032" i="7" s="1"/>
  <c r="B1033" i="7" s="1"/>
  <c r="B1034" i="7" s="1"/>
  <c r="B1035" i="7" s="1"/>
  <c r="B1036" i="7" s="1"/>
  <c r="B1037" i="7" s="1"/>
  <c r="B1038" i="7" s="1"/>
  <c r="B1039" i="7" s="1"/>
  <c r="B1040" i="7" s="1"/>
  <c r="B1041" i="7" s="1"/>
  <c r="B1042" i="7" s="1"/>
  <c r="B1043" i="7" s="1"/>
  <c r="B1044" i="7" s="1"/>
  <c r="B1045" i="7" s="1"/>
  <c r="B1046" i="7" s="1"/>
  <c r="B1047" i="7" s="1"/>
  <c r="B1048" i="7" s="1"/>
  <c r="B1049" i="7" s="1"/>
  <c r="B1050" i="7" s="1"/>
  <c r="B1051" i="7" s="1"/>
  <c r="B1052" i="7" s="1"/>
  <c r="B1053" i="7" s="1"/>
  <c r="B1054" i="7" s="1"/>
  <c r="B1055" i="7" s="1"/>
  <c r="B1056" i="7" s="1"/>
  <c r="B1057" i="7" s="1"/>
  <c r="B1058" i="7" s="1"/>
  <c r="B1059" i="7" s="1"/>
  <c r="B1060" i="7" s="1"/>
  <c r="B1061" i="7" s="1"/>
  <c r="B1062" i="7" s="1"/>
  <c r="B1063" i="7" s="1"/>
  <c r="B1064" i="7" s="1"/>
  <c r="B1065" i="7" s="1"/>
  <c r="B1066" i="7" s="1"/>
  <c r="B1067" i="7" s="1"/>
  <c r="B1068" i="7" s="1"/>
  <c r="B1069" i="7" s="1"/>
  <c r="B1070" i="7" s="1"/>
  <c r="B1071" i="7" s="1"/>
  <c r="B1072" i="7" s="1"/>
  <c r="B1073" i="7" s="1"/>
  <c r="B1074" i="7" s="1"/>
  <c r="B1075" i="7" s="1"/>
  <c r="B1076" i="7" s="1"/>
  <c r="B1077" i="7" s="1"/>
  <c r="B1078" i="7" s="1"/>
  <c r="B1079" i="7" s="1"/>
  <c r="B1080" i="7" s="1"/>
  <c r="B1081" i="7" s="1"/>
  <c r="B1082" i="7" s="1"/>
  <c r="B1083" i="7" s="1"/>
  <c r="B1084" i="7" s="1"/>
  <c r="B1085" i="7" s="1"/>
  <c r="B1086" i="7" s="1"/>
  <c r="B1087" i="7" s="1"/>
  <c r="B1088" i="7" s="1"/>
  <c r="B1089" i="7" s="1"/>
  <c r="B1090" i="7" s="1"/>
  <c r="B1091" i="7" s="1"/>
  <c r="B1092" i="7" s="1"/>
  <c r="B1093" i="7" s="1"/>
  <c r="B1094" i="7" s="1"/>
  <c r="B1095" i="7" s="1"/>
  <c r="B1096" i="7" s="1"/>
  <c r="B1097" i="7" s="1"/>
  <c r="B1098" i="7" s="1"/>
  <c r="B1099" i="7" s="1"/>
  <c r="B1100" i="7" s="1"/>
  <c r="B1101" i="7" s="1"/>
  <c r="B1102" i="7" s="1"/>
  <c r="B1103" i="7" s="1"/>
  <c r="B1104" i="7" s="1"/>
  <c r="B1105" i="7" s="1"/>
  <c r="B1106" i="7" s="1"/>
  <c r="B1107" i="7" s="1"/>
  <c r="B1108" i="7" s="1"/>
  <c r="B1109" i="7" s="1"/>
  <c r="B1110" i="7" s="1"/>
  <c r="B1111" i="7" s="1"/>
  <c r="B1112" i="7" s="1"/>
  <c r="B1113" i="7" s="1"/>
  <c r="B1114" i="7" s="1"/>
  <c r="B1115" i="7" s="1"/>
  <c r="B1116" i="7" s="1"/>
  <c r="B1117" i="7" s="1"/>
  <c r="B1118" i="7" s="1"/>
  <c r="B1119" i="7" s="1"/>
  <c r="B1120" i="7" s="1"/>
  <c r="B1121" i="7" s="1"/>
  <c r="B1122" i="7" s="1"/>
  <c r="B1123" i="7" s="1"/>
  <c r="B1124" i="7" s="1"/>
  <c r="B1125" i="7" s="1"/>
  <c r="B1126" i="7" s="1"/>
  <c r="B1127" i="7" s="1"/>
  <c r="B1128" i="7" s="1"/>
  <c r="B1129" i="7" s="1"/>
  <c r="B1130" i="7" s="1"/>
  <c r="B1131" i="7" s="1"/>
  <c r="B1132" i="7" s="1"/>
  <c r="B1133" i="7" s="1"/>
  <c r="B1134" i="7" s="1"/>
  <c r="B1135" i="7" s="1"/>
  <c r="B1136" i="7" s="1"/>
  <c r="B1137" i="7" s="1"/>
  <c r="B1138" i="7" s="1"/>
  <c r="B1139" i="7" s="1"/>
  <c r="B1140" i="7" s="1"/>
  <c r="B1141" i="7" s="1"/>
  <c r="B1142" i="7" s="1"/>
  <c r="B1143" i="7" s="1"/>
  <c r="B1144" i="7" s="1"/>
  <c r="B1145" i="7" s="1"/>
  <c r="B1146" i="7" s="1"/>
  <c r="B1147" i="7" s="1"/>
  <c r="B1148" i="7" s="1"/>
  <c r="B1149" i="7" s="1"/>
  <c r="B1150" i="7" s="1"/>
  <c r="B1151" i="7" s="1"/>
  <c r="B1152" i="7" s="1"/>
  <c r="B1153" i="7" s="1"/>
  <c r="B1154" i="7" s="1"/>
  <c r="B1155" i="7" s="1"/>
  <c r="B1156" i="7" s="1"/>
  <c r="B1157" i="7" s="1"/>
  <c r="B1158" i="7" s="1"/>
  <c r="B1159" i="7" s="1"/>
  <c r="B1160" i="7" s="1"/>
  <c r="B1161" i="7" s="1"/>
  <c r="B1162" i="7" s="1"/>
  <c r="B1163" i="7" s="1"/>
  <c r="B1164" i="7" s="1"/>
  <c r="B1165" i="7" s="1"/>
  <c r="B1166" i="7" s="1"/>
  <c r="B1167" i="7" s="1"/>
  <c r="B1168" i="7" s="1"/>
  <c r="B1169" i="7" s="1"/>
  <c r="B1170" i="7" s="1"/>
  <c r="B1171" i="7" s="1"/>
  <c r="B1172" i="7" s="1"/>
  <c r="B1173" i="7" s="1"/>
  <c r="B1174" i="7" s="1"/>
  <c r="B1175" i="7" s="1"/>
  <c r="B1176" i="7" s="1"/>
  <c r="B1177" i="7" s="1"/>
  <c r="B1178" i="7" s="1"/>
  <c r="B1179" i="7" s="1"/>
  <c r="B1180" i="7" s="1"/>
  <c r="B1181" i="7" s="1"/>
  <c r="B1182" i="7" s="1"/>
  <c r="B1183" i="7" s="1"/>
  <c r="B1184" i="7" s="1"/>
  <c r="B1185" i="7" s="1"/>
  <c r="B1186" i="7" s="1"/>
  <c r="B1187" i="7" s="1"/>
  <c r="B1188" i="7" s="1"/>
  <c r="B1189" i="7" s="1"/>
  <c r="B1190" i="7" s="1"/>
  <c r="B1191" i="7" s="1"/>
  <c r="B1192" i="7" s="1"/>
  <c r="B1193" i="7" s="1"/>
  <c r="B1194" i="7" s="1"/>
  <c r="B1195" i="7" s="1"/>
  <c r="B1196" i="7" s="1"/>
  <c r="B1197" i="7" s="1"/>
  <c r="B1198" i="7" s="1"/>
  <c r="B1199" i="7" s="1"/>
  <c r="B1200" i="7" s="1"/>
  <c r="B1201" i="7" s="1"/>
  <c r="B1202" i="7" s="1"/>
  <c r="B1203" i="7" s="1"/>
  <c r="B1204" i="7" s="1"/>
  <c r="B1205" i="7" s="1"/>
  <c r="B1206" i="7" s="1"/>
  <c r="B1207" i="7" s="1"/>
  <c r="B1208" i="7" s="1"/>
  <c r="B1209" i="7" s="1"/>
  <c r="B1210" i="7" s="1"/>
  <c r="B1211" i="7" s="1"/>
  <c r="B1212" i="7" s="1"/>
  <c r="B1213" i="7" s="1"/>
  <c r="B1214" i="7" s="1"/>
  <c r="B1215" i="7" s="1"/>
  <c r="B1216" i="7" s="1"/>
  <c r="B1217" i="7" s="1"/>
  <c r="B1218" i="7" s="1"/>
  <c r="B1219" i="7" s="1"/>
  <c r="B1220" i="7" s="1"/>
  <c r="B1221" i="7" s="1"/>
  <c r="B1222" i="7" s="1"/>
  <c r="B1223" i="7" s="1"/>
  <c r="B1224" i="7" s="1"/>
  <c r="B1225" i="7" s="1"/>
  <c r="B1226" i="7" s="1"/>
  <c r="B1227" i="7" s="1"/>
  <c r="B1228" i="7" s="1"/>
  <c r="B1229" i="7" s="1"/>
  <c r="B1230" i="7" s="1"/>
  <c r="B1231" i="7" s="1"/>
  <c r="B1232" i="7" s="1"/>
  <c r="B1233" i="7" s="1"/>
  <c r="B1234" i="7" s="1"/>
  <c r="B1235" i="7" s="1"/>
  <c r="B1236" i="7" s="1"/>
  <c r="B1237" i="7" s="1"/>
  <c r="B1238" i="7" s="1"/>
  <c r="B1239" i="7" s="1"/>
  <c r="B1240" i="7" s="1"/>
  <c r="B1241" i="7" s="1"/>
  <c r="B1242" i="7" s="1"/>
  <c r="B1243" i="7" s="1"/>
  <c r="B1244" i="7" s="1"/>
  <c r="B1245" i="7" s="1"/>
  <c r="B1246" i="7" s="1"/>
  <c r="B1247" i="7" s="1"/>
  <c r="B1248" i="7" s="1"/>
  <c r="B1249" i="7" s="1"/>
  <c r="B1250" i="7" s="1"/>
  <c r="B1251" i="7" s="1"/>
  <c r="B1252" i="7" s="1"/>
  <c r="B1253" i="7" s="1"/>
  <c r="B1254" i="7" s="1"/>
  <c r="B1255" i="7" s="1"/>
  <c r="B1256" i="7" s="1"/>
  <c r="B1257" i="7" s="1"/>
  <c r="B1258" i="7" s="1"/>
  <c r="B1259" i="7" s="1"/>
  <c r="B1260" i="7" s="1"/>
  <c r="B1261" i="7" s="1"/>
  <c r="B1262" i="7" s="1"/>
  <c r="B1263" i="7" s="1"/>
  <c r="B1264" i="7" s="1"/>
  <c r="B1265" i="7" s="1"/>
  <c r="B1266" i="7" s="1"/>
  <c r="B1267" i="7" s="1"/>
  <c r="B1268" i="7" s="1"/>
  <c r="B1269" i="7" s="1"/>
  <c r="B1270" i="7" s="1"/>
  <c r="B1271" i="7" s="1"/>
  <c r="B1272" i="7" s="1"/>
  <c r="B1273" i="7" s="1"/>
  <c r="B1274" i="7" s="1"/>
  <c r="B1275" i="7" s="1"/>
  <c r="B1276" i="7" s="1"/>
  <c r="B1277" i="7" s="1"/>
  <c r="B1278" i="7" s="1"/>
  <c r="B1279" i="7" s="1"/>
  <c r="B1280" i="7" s="1"/>
  <c r="B1281" i="7" s="1"/>
  <c r="B1282" i="7" s="1"/>
  <c r="B1283" i="7" s="1"/>
  <c r="B1284" i="7" s="1"/>
  <c r="B1285" i="7" s="1"/>
  <c r="B1286" i="7" s="1"/>
  <c r="B1287" i="7" s="1"/>
  <c r="B1288" i="7" s="1"/>
  <c r="B1289" i="7" s="1"/>
  <c r="B1290" i="7" s="1"/>
  <c r="B1291" i="7" s="1"/>
  <c r="B1292" i="7" s="1"/>
  <c r="B1293" i="7" s="1"/>
  <c r="B1294" i="7" s="1"/>
  <c r="B1295" i="7" s="1"/>
  <c r="B1296" i="7" s="1"/>
  <c r="B1297" i="7" s="1"/>
  <c r="B1298" i="7" s="1"/>
  <c r="B1299" i="7" s="1"/>
  <c r="B1300" i="7" s="1"/>
  <c r="B1301" i="7" s="1"/>
  <c r="B1302" i="7" s="1"/>
  <c r="B1303" i="7" s="1"/>
  <c r="B1304" i="7" s="1"/>
  <c r="B1305" i="7" s="1"/>
  <c r="B1306" i="7" s="1"/>
  <c r="B1307" i="7" s="1"/>
  <c r="B1308" i="7" s="1"/>
  <c r="B1309" i="7" s="1"/>
  <c r="B1310" i="7" s="1"/>
  <c r="B1311" i="7" s="1"/>
  <c r="B1312" i="7" s="1"/>
  <c r="B1313" i="7" s="1"/>
  <c r="B1314" i="7" s="1"/>
  <c r="B1315" i="7" s="1"/>
  <c r="B1316" i="7" s="1"/>
  <c r="B1317" i="7" s="1"/>
  <c r="B1318" i="7" s="1"/>
  <c r="B1319" i="7" s="1"/>
  <c r="B1320" i="7" s="1"/>
  <c r="B1321" i="7" s="1"/>
  <c r="B1322" i="7" s="1"/>
  <c r="B1323" i="7" s="1"/>
  <c r="B1324" i="7" s="1"/>
  <c r="B1325" i="7" s="1"/>
  <c r="B1326" i="7" s="1"/>
  <c r="B1327" i="7" s="1"/>
  <c r="B1328" i="7" s="1"/>
  <c r="B1329" i="7" s="1"/>
  <c r="B1330" i="7" s="1"/>
  <c r="B1331" i="7" s="1"/>
  <c r="B1332" i="7" s="1"/>
  <c r="B1333" i="7" s="1"/>
  <c r="B1334" i="7" s="1"/>
  <c r="B1335" i="7" s="1"/>
  <c r="B1336" i="7" s="1"/>
  <c r="B1337" i="7" s="1"/>
  <c r="B1338" i="7" s="1"/>
  <c r="B1339" i="7" s="1"/>
  <c r="B1340" i="7" s="1"/>
  <c r="B1341" i="7" s="1"/>
  <c r="B1342" i="7" s="1"/>
  <c r="B1343" i="7" s="1"/>
  <c r="B1344" i="7" s="1"/>
  <c r="B1345" i="7" s="1"/>
  <c r="B1346" i="7" s="1"/>
  <c r="B1347" i="7" s="1"/>
  <c r="B1348" i="7" s="1"/>
  <c r="B1349" i="7" s="1"/>
  <c r="B1350" i="7" s="1"/>
  <c r="B1351" i="7" s="1"/>
  <c r="B1352" i="7" s="1"/>
  <c r="B1353" i="7" s="1"/>
  <c r="B1354" i="7" s="1"/>
  <c r="B1355" i="7" s="1"/>
  <c r="B1356" i="7" s="1"/>
  <c r="B1357" i="7" s="1"/>
  <c r="B1358" i="7" s="1"/>
  <c r="B1359" i="7" s="1"/>
  <c r="B1360" i="7" s="1"/>
  <c r="B1361" i="7" s="1"/>
  <c r="B1362" i="7" s="1"/>
  <c r="B1363" i="7" s="1"/>
  <c r="B1364" i="7" s="1"/>
  <c r="B1365" i="7" s="1"/>
  <c r="B1366" i="7" s="1"/>
  <c r="B1367" i="7" s="1"/>
  <c r="B1368" i="7" s="1"/>
  <c r="B1369" i="7" s="1"/>
  <c r="B1370" i="7" s="1"/>
  <c r="B1371" i="7" s="1"/>
  <c r="B1372" i="7" s="1"/>
  <c r="B1373" i="7" s="1"/>
  <c r="B1374" i="7" s="1"/>
  <c r="B1375" i="7" s="1"/>
  <c r="B1376" i="7" s="1"/>
  <c r="B1377" i="7" s="1"/>
  <c r="B1378" i="7" s="1"/>
  <c r="B1379" i="7" s="1"/>
  <c r="B1380" i="7" s="1"/>
  <c r="B1381" i="7" s="1"/>
  <c r="B1382" i="7" s="1"/>
  <c r="B1383" i="7" s="1"/>
  <c r="B1384" i="7" s="1"/>
  <c r="B1385" i="7" s="1"/>
  <c r="B1386" i="7" s="1"/>
  <c r="B1387" i="7" s="1"/>
  <c r="B1388" i="7" s="1"/>
  <c r="B1389" i="7" s="1"/>
  <c r="B1390" i="7" s="1"/>
  <c r="B1391" i="7" s="1"/>
  <c r="B1392" i="7" s="1"/>
  <c r="B1393" i="7" s="1"/>
  <c r="B1394" i="7" s="1"/>
  <c r="B1395" i="7" s="1"/>
  <c r="B1396" i="7" s="1"/>
  <c r="B1397" i="7" s="1"/>
  <c r="B1398" i="7" s="1"/>
  <c r="B1399" i="7" s="1"/>
  <c r="B1400" i="7" s="1"/>
  <c r="B1401" i="7" s="1"/>
  <c r="B1402" i="7" s="1"/>
  <c r="B1403" i="7" s="1"/>
  <c r="B1404" i="7" s="1"/>
  <c r="B1405" i="7" s="1"/>
  <c r="B1406" i="7" s="1"/>
  <c r="B1407" i="7" s="1"/>
  <c r="B1408" i="7" s="1"/>
  <c r="B1409" i="7" s="1"/>
  <c r="B1410" i="7" s="1"/>
  <c r="B1411" i="7" s="1"/>
  <c r="B1412" i="7" s="1"/>
  <c r="B1413" i="7" s="1"/>
  <c r="B1414" i="7" s="1"/>
  <c r="B1415" i="7" s="1"/>
  <c r="B1416" i="7" s="1"/>
  <c r="B1417" i="7" s="1"/>
  <c r="B1418" i="7" s="1"/>
  <c r="B1419" i="7" s="1"/>
  <c r="B1420" i="7" s="1"/>
  <c r="B1421" i="7" s="1"/>
  <c r="B1422" i="7" s="1"/>
  <c r="B1423" i="7" s="1"/>
  <c r="B1424" i="7" s="1"/>
  <c r="B1425" i="7" s="1"/>
  <c r="B1426" i="7" s="1"/>
  <c r="B1427" i="7" s="1"/>
  <c r="B1428" i="7" s="1"/>
  <c r="B1429" i="7" s="1"/>
  <c r="B1430" i="7" s="1"/>
  <c r="B1431" i="7" s="1"/>
  <c r="B1432" i="7" s="1"/>
  <c r="B1433" i="7" s="1"/>
  <c r="B1434" i="7" s="1"/>
  <c r="B1435" i="7" s="1"/>
  <c r="B1436" i="7" s="1"/>
  <c r="B1437" i="7" s="1"/>
  <c r="B1438" i="7" s="1"/>
  <c r="B1439" i="7" s="1"/>
  <c r="B1440" i="7" s="1"/>
  <c r="B1441" i="7" s="1"/>
  <c r="B1442" i="7" s="1"/>
  <c r="B1443" i="7" s="1"/>
  <c r="B1444" i="7" s="1"/>
  <c r="B1445" i="7" s="1"/>
  <c r="B1446" i="7" s="1"/>
  <c r="B1447" i="7" s="1"/>
  <c r="B1448" i="7" s="1"/>
  <c r="B1449" i="7" s="1"/>
  <c r="B1450" i="7" s="1"/>
  <c r="B1451" i="7" s="1"/>
  <c r="B1452" i="7" s="1"/>
  <c r="B1453" i="7" s="1"/>
  <c r="B1454" i="7" s="1"/>
  <c r="B1455" i="7" s="1"/>
  <c r="B1456" i="7" s="1"/>
  <c r="B1457" i="7" s="1"/>
  <c r="B1458" i="7" s="1"/>
  <c r="B1459" i="7" s="1"/>
  <c r="B1460" i="7" s="1"/>
  <c r="B1461" i="7" s="1"/>
  <c r="B1462" i="7" s="1"/>
  <c r="B1463" i="7" s="1"/>
  <c r="B1464" i="7" s="1"/>
  <c r="B1465" i="7" s="1"/>
  <c r="B1466" i="7" s="1"/>
  <c r="B1467" i="7" s="1"/>
  <c r="B1468" i="7" s="1"/>
  <c r="B1469" i="7" s="1"/>
  <c r="B1470" i="7" s="1"/>
  <c r="B1471" i="7" s="1"/>
  <c r="B1472" i="7" s="1"/>
  <c r="B1473" i="7" s="1"/>
  <c r="B1474" i="7" s="1"/>
  <c r="B1475" i="7" s="1"/>
  <c r="B1476" i="7" s="1"/>
  <c r="B1477" i="7" s="1"/>
  <c r="B1478" i="7" s="1"/>
  <c r="B1479" i="7" s="1"/>
  <c r="B1480" i="7" s="1"/>
  <c r="B1481" i="7" s="1"/>
  <c r="B1482" i="7" s="1"/>
  <c r="B1483" i="7" s="1"/>
  <c r="B1484" i="7" s="1"/>
  <c r="B1485" i="7" s="1"/>
  <c r="B1486" i="7" s="1"/>
  <c r="B1487" i="7" s="1"/>
  <c r="B1488" i="7" s="1"/>
  <c r="B1489" i="7" s="1"/>
  <c r="B1490" i="7" s="1"/>
  <c r="B1491" i="7" s="1"/>
  <c r="B1492" i="7" s="1"/>
  <c r="B1493" i="7" s="1"/>
  <c r="B1494" i="7" s="1"/>
  <c r="B1495" i="7" s="1"/>
  <c r="B1496" i="7" s="1"/>
  <c r="B1497" i="7" s="1"/>
  <c r="B1498" i="7" s="1"/>
  <c r="B1499" i="7" s="1"/>
  <c r="B1500" i="7" s="1"/>
  <c r="B1501" i="7" s="1"/>
  <c r="B1502" i="7" s="1"/>
  <c r="B1503" i="7" s="1"/>
  <c r="B1504" i="7" s="1"/>
  <c r="B1505" i="7" s="1"/>
  <c r="B1506" i="7" s="1"/>
  <c r="B1507" i="7" s="1"/>
  <c r="B1508" i="7" s="1"/>
  <c r="B1509" i="7" s="1"/>
  <c r="B1510" i="7" s="1"/>
  <c r="B1511" i="7" s="1"/>
  <c r="B1512" i="7" s="1"/>
  <c r="B1513" i="7" s="1"/>
  <c r="B1514" i="7" s="1"/>
  <c r="B1515" i="7" s="1"/>
  <c r="B1516" i="7" s="1"/>
  <c r="B1517" i="7" s="1"/>
  <c r="B1518" i="7" s="1"/>
  <c r="B1519" i="7" s="1"/>
  <c r="B1520" i="7" s="1"/>
  <c r="B1521" i="7" s="1"/>
  <c r="B1522" i="7" s="1"/>
  <c r="B1523" i="7" s="1"/>
  <c r="B1524" i="7" s="1"/>
  <c r="B1525" i="7" s="1"/>
  <c r="B1526" i="7" s="1"/>
  <c r="B1527" i="7" s="1"/>
  <c r="B1528" i="7" s="1"/>
  <c r="B1529" i="7" s="1"/>
  <c r="B1530" i="7" s="1"/>
  <c r="B1531" i="7" s="1"/>
  <c r="B1532" i="7" s="1"/>
  <c r="B1533" i="7" s="1"/>
  <c r="B1534" i="7" s="1"/>
  <c r="B1535" i="7" s="1"/>
  <c r="B1536" i="7" s="1"/>
  <c r="B1537" i="7" s="1"/>
  <c r="B1538" i="7" s="1"/>
  <c r="B1539" i="7" s="1"/>
  <c r="B1540" i="7" s="1"/>
  <c r="B1541" i="7" s="1"/>
  <c r="B1542" i="7" s="1"/>
  <c r="B1543" i="7" s="1"/>
  <c r="B1544" i="7" s="1"/>
  <c r="B1545" i="7" s="1"/>
  <c r="B1546" i="7" s="1"/>
  <c r="B1547" i="7" s="1"/>
  <c r="B1548" i="7" s="1"/>
  <c r="B1549" i="7" s="1"/>
  <c r="B1550" i="7" s="1"/>
  <c r="B1551" i="7" s="1"/>
  <c r="B1552" i="7" s="1"/>
  <c r="B1553" i="7" s="1"/>
  <c r="B1554" i="7" s="1"/>
  <c r="B1555" i="7" s="1"/>
  <c r="B1556" i="7" s="1"/>
  <c r="B1557" i="7" s="1"/>
  <c r="B1558" i="7" s="1"/>
  <c r="B1559" i="7" s="1"/>
  <c r="B1560" i="7" s="1"/>
  <c r="B1561" i="7" s="1"/>
  <c r="B1562" i="7" s="1"/>
  <c r="B1563" i="7" s="1"/>
  <c r="B1564" i="7" s="1"/>
  <c r="B1565" i="7" s="1"/>
  <c r="B1566" i="7" s="1"/>
  <c r="B1567" i="7" s="1"/>
  <c r="B1568" i="7" s="1"/>
  <c r="B1569" i="7" s="1"/>
  <c r="B1570" i="7" s="1"/>
  <c r="B1571" i="7" s="1"/>
  <c r="B1572" i="7" s="1"/>
  <c r="B1573" i="7" s="1"/>
  <c r="B1574" i="7" s="1"/>
  <c r="B1575" i="7" s="1"/>
  <c r="B1576" i="7" s="1"/>
  <c r="B1577" i="7" s="1"/>
  <c r="B1578" i="7" s="1"/>
  <c r="B1579" i="7" s="1"/>
  <c r="B1580" i="7" s="1"/>
  <c r="B1581" i="7" s="1"/>
  <c r="B1582" i="7" s="1"/>
  <c r="B1583" i="7" s="1"/>
  <c r="B1584" i="7" s="1"/>
  <c r="B1585" i="7" s="1"/>
  <c r="B1586" i="7" s="1"/>
  <c r="B1587" i="7" s="1"/>
  <c r="B1588" i="7" s="1"/>
  <c r="B1589" i="7" s="1"/>
  <c r="B1590" i="7" s="1"/>
  <c r="B1591" i="7" s="1"/>
  <c r="B1592" i="7" s="1"/>
  <c r="B1593" i="7" s="1"/>
  <c r="B1594" i="7" s="1"/>
  <c r="B1595" i="7" s="1"/>
  <c r="B1596" i="7" s="1"/>
  <c r="B1597" i="7" s="1"/>
  <c r="B1598" i="7" s="1"/>
  <c r="B1599" i="7" s="1"/>
  <c r="B1600" i="7" s="1"/>
  <c r="B1601" i="7" s="1"/>
  <c r="B1602" i="7" s="1"/>
  <c r="B1603" i="7" s="1"/>
  <c r="B1604" i="7" s="1"/>
  <c r="B1605" i="7" s="1"/>
  <c r="B1606" i="7" s="1"/>
  <c r="B1607" i="7" s="1"/>
  <c r="B1608" i="7" s="1"/>
  <c r="B1609" i="7" s="1"/>
  <c r="B1610" i="7" s="1"/>
  <c r="B1611" i="7" s="1"/>
  <c r="B1612" i="7" s="1"/>
  <c r="B1613" i="7" s="1"/>
  <c r="B1614" i="7" s="1"/>
  <c r="B1615" i="7" s="1"/>
  <c r="B1616" i="7" s="1"/>
  <c r="B1617" i="7" s="1"/>
  <c r="B1618" i="7" s="1"/>
  <c r="B1619" i="7" s="1"/>
  <c r="B1620" i="7" s="1"/>
  <c r="B1621" i="7" s="1"/>
  <c r="B1622" i="7" s="1"/>
  <c r="B1623" i="7" s="1"/>
  <c r="B1624" i="7" s="1"/>
  <c r="B1625" i="7" s="1"/>
  <c r="B1626" i="7" s="1"/>
  <c r="B1627" i="7" s="1"/>
  <c r="B1628" i="7" s="1"/>
  <c r="B1629" i="7" s="1"/>
  <c r="B1630" i="7" s="1"/>
  <c r="B1631" i="7" s="1"/>
  <c r="B1632" i="7" s="1"/>
  <c r="B1633" i="7" s="1"/>
  <c r="B1634" i="7" s="1"/>
  <c r="B1635" i="7" s="1"/>
  <c r="B1636" i="7" s="1"/>
  <c r="B1637" i="7" s="1"/>
  <c r="B1638" i="7" s="1"/>
  <c r="B1639" i="7" s="1"/>
  <c r="B1640" i="7" s="1"/>
  <c r="B1641" i="7" s="1"/>
  <c r="B1642" i="7" s="1"/>
  <c r="B1643" i="7" s="1"/>
  <c r="B1644" i="7" s="1"/>
  <c r="B1645" i="7" s="1"/>
  <c r="B1646" i="7" s="1"/>
  <c r="B1647" i="7" s="1"/>
  <c r="B1648" i="7" s="1"/>
  <c r="B1649" i="7" s="1"/>
  <c r="B1650" i="7" s="1"/>
  <c r="B1651" i="7" s="1"/>
  <c r="B1652" i="7" s="1"/>
  <c r="B1653" i="7" s="1"/>
  <c r="B1654" i="7" s="1"/>
  <c r="B1655" i="7" s="1"/>
  <c r="B1656" i="7" s="1"/>
  <c r="B1657" i="7" s="1"/>
  <c r="B1658" i="7" s="1"/>
  <c r="B1659" i="7" s="1"/>
  <c r="B1660" i="7" s="1"/>
  <c r="B1661" i="7" s="1"/>
  <c r="B1662" i="7" s="1"/>
  <c r="B1663" i="7" s="1"/>
  <c r="B1664" i="7" s="1"/>
  <c r="B1665" i="7" s="1"/>
  <c r="B1666" i="7" s="1"/>
  <c r="B1667" i="7" s="1"/>
  <c r="L15" i="7"/>
  <c r="D15" i="7"/>
  <c r="C15" i="7"/>
  <c r="L127" i="3"/>
  <c r="M127" i="3" s="1"/>
  <c r="H127" i="3"/>
  <c r="L126" i="3"/>
  <c r="M126" i="3" s="1"/>
  <c r="H126" i="3"/>
  <c r="L125" i="3"/>
  <c r="M125" i="3" s="1"/>
  <c r="H125" i="3"/>
  <c r="L124" i="3"/>
  <c r="M124" i="3" s="1"/>
  <c r="H124" i="3"/>
  <c r="L123" i="3"/>
  <c r="M123" i="3" s="1"/>
  <c r="H123" i="3"/>
  <c r="L122" i="3"/>
  <c r="M122" i="3" s="1"/>
  <c r="H122" i="3"/>
  <c r="L121" i="3"/>
  <c r="M121" i="3" s="1"/>
  <c r="H121" i="3"/>
  <c r="L120" i="3"/>
  <c r="M120" i="3" s="1"/>
  <c r="H120" i="3"/>
  <c r="L119" i="3"/>
  <c r="M119" i="3" s="1"/>
  <c r="H119" i="3"/>
  <c r="L118" i="3"/>
  <c r="M118" i="3" s="1"/>
  <c r="L117" i="3"/>
  <c r="M117" i="3" s="1"/>
  <c r="L116" i="3"/>
  <c r="M116" i="3" s="1"/>
  <c r="L115" i="3"/>
  <c r="M115" i="3" s="1"/>
  <c r="M114" i="3"/>
  <c r="L114" i="3"/>
  <c r="L113" i="3"/>
  <c r="M113" i="3" s="1"/>
  <c r="L112" i="3"/>
  <c r="M112" i="3" s="1"/>
  <c r="L111" i="3"/>
  <c r="M111" i="3" s="1"/>
  <c r="L110" i="3"/>
  <c r="M110" i="3" s="1"/>
  <c r="L109" i="3"/>
  <c r="M109" i="3" s="1"/>
  <c r="M108" i="3"/>
  <c r="L108" i="3"/>
  <c r="E25" i="3"/>
  <c r="G28" i="3"/>
  <c r="D552" i="7" l="1"/>
  <c r="D553" i="7" s="1"/>
  <c r="D554" i="7" s="1"/>
  <c r="D555" i="7" s="1"/>
  <c r="D556" i="7" s="1"/>
  <c r="D557" i="7" s="1"/>
  <c r="D558" i="7" s="1"/>
  <c r="D559" i="7" s="1"/>
  <c r="D560" i="7" s="1"/>
  <c r="D561" i="7" s="1"/>
  <c r="D562" i="7" s="1"/>
  <c r="D563" i="7" s="1"/>
  <c r="D564" i="7" s="1"/>
  <c r="D565" i="7" s="1"/>
  <c r="D566" i="7" s="1"/>
  <c r="D567" i="7" s="1"/>
  <c r="D568" i="7" s="1"/>
  <c r="D569" i="7" s="1"/>
  <c r="D570" i="7" s="1"/>
  <c r="D571" i="7" s="1"/>
  <c r="D572" i="7" s="1"/>
  <c r="D573" i="7" s="1"/>
  <c r="D574" i="7" s="1"/>
  <c r="D575" i="7" s="1"/>
  <c r="D576" i="7" s="1"/>
  <c r="D577" i="7" s="1"/>
  <c r="D578" i="7" s="1"/>
  <c r="D579" i="7" s="1"/>
  <c r="D580" i="7" s="1"/>
  <c r="D581" i="7" s="1"/>
  <c r="D582" i="7" s="1"/>
  <c r="D583" i="7" s="1"/>
  <c r="D584" i="7" s="1"/>
  <c r="D585" i="7" s="1"/>
  <c r="D586" i="7" s="1"/>
  <c r="D587" i="7" s="1"/>
  <c r="D588" i="7" s="1"/>
  <c r="D589" i="7" s="1"/>
  <c r="D590" i="7" s="1"/>
  <c r="D591" i="7" s="1"/>
  <c r="D592" i="7" s="1"/>
  <c r="D593" i="7" s="1"/>
  <c r="D594" i="7" s="1"/>
  <c r="D595" i="7" s="1"/>
  <c r="D596" i="7" s="1"/>
  <c r="D597" i="7" s="1"/>
  <c r="D598" i="7" s="1"/>
  <c r="D599" i="7" s="1"/>
  <c r="D600" i="7" s="1"/>
  <c r="D601" i="7" s="1"/>
  <c r="D602" i="7" s="1"/>
  <c r="D603" i="7" s="1"/>
  <c r="D604" i="7" s="1"/>
  <c r="D605" i="7" s="1"/>
  <c r="D606" i="7" s="1"/>
  <c r="D607" i="7" s="1"/>
  <c r="D608" i="7" s="1"/>
  <c r="D609" i="7" s="1"/>
  <c r="D610" i="7" s="1"/>
  <c r="D611" i="7" s="1"/>
  <c r="D612" i="7" s="1"/>
  <c r="D613" i="7" s="1"/>
  <c r="D614" i="7" s="1"/>
  <c r="D615" i="7" s="1"/>
  <c r="D616" i="7" s="1"/>
  <c r="D617" i="7" s="1"/>
  <c r="D618" i="7" s="1"/>
  <c r="D619" i="7" s="1"/>
  <c r="D620" i="7" s="1"/>
  <c r="D621" i="7" s="1"/>
  <c r="D622" i="7" s="1"/>
  <c r="D623" i="7" s="1"/>
  <c r="D624" i="7" s="1"/>
  <c r="D625" i="7" s="1"/>
  <c r="D626" i="7" s="1"/>
  <c r="D627" i="7" s="1"/>
  <c r="D628" i="7" s="1"/>
  <c r="D629" i="7" s="1"/>
  <c r="D630" i="7" s="1"/>
  <c r="D631" i="7" s="1"/>
  <c r="D632" i="7" s="1"/>
  <c r="D633" i="7" s="1"/>
  <c r="D634" i="7" s="1"/>
  <c r="D635" i="7" s="1"/>
  <c r="D636" i="7" s="1"/>
  <c r="D637" i="7" s="1"/>
  <c r="D638" i="7" s="1"/>
  <c r="D639" i="7" s="1"/>
  <c r="D640" i="7" s="1"/>
  <c r="D641" i="7" s="1"/>
  <c r="D642" i="7" s="1"/>
  <c r="D643" i="7" s="1"/>
  <c r="D644" i="7" s="1"/>
  <c r="D645" i="7" s="1"/>
  <c r="D646" i="7" s="1"/>
  <c r="D647" i="7" s="1"/>
  <c r="D648" i="7" s="1"/>
  <c r="D649" i="7" s="1"/>
  <c r="D650" i="7" s="1"/>
  <c r="D651" i="7" s="1"/>
  <c r="D652" i="7" s="1"/>
  <c r="D653" i="7" s="1"/>
  <c r="D654" i="7" s="1"/>
  <c r="D655" i="7" s="1"/>
  <c r="D656" i="7" s="1"/>
  <c r="D657" i="7" s="1"/>
  <c r="D658" i="7" s="1"/>
  <c r="D659" i="7" s="1"/>
  <c r="D660" i="7" s="1"/>
  <c r="D661" i="7" s="1"/>
  <c r="D662" i="7" s="1"/>
  <c r="D663" i="7" s="1"/>
  <c r="D664" i="7" s="1"/>
  <c r="D665" i="7" s="1"/>
  <c r="D666" i="7" s="1"/>
  <c r="D667" i="7" s="1"/>
  <c r="D668" i="7" s="1"/>
  <c r="D669" i="7" s="1"/>
  <c r="D670" i="7" s="1"/>
  <c r="D671" i="7" s="1"/>
  <c r="D672" i="7" s="1"/>
  <c r="D673" i="7" s="1"/>
  <c r="D674" i="7" s="1"/>
  <c r="D675" i="7" s="1"/>
  <c r="D676" i="7" s="1"/>
  <c r="D677" i="7" s="1"/>
  <c r="D678" i="7" s="1"/>
  <c r="D679" i="7" s="1"/>
  <c r="D680" i="7" s="1"/>
  <c r="D681" i="7" s="1"/>
  <c r="D682" i="7" s="1"/>
  <c r="D683" i="7" s="1"/>
  <c r="D684" i="7" s="1"/>
  <c r="D685" i="7" s="1"/>
  <c r="D686" i="7" s="1"/>
  <c r="D687" i="7" s="1"/>
  <c r="D688" i="7" s="1"/>
  <c r="D689" i="7" s="1"/>
  <c r="D690" i="7" s="1"/>
  <c r="D691" i="7" s="1"/>
  <c r="D692" i="7" s="1"/>
  <c r="D693" i="7" s="1"/>
  <c r="D694" i="7" s="1"/>
  <c r="D695" i="7" s="1"/>
  <c r="D696" i="7" s="1"/>
  <c r="D697" i="7" s="1"/>
  <c r="D698" i="7" s="1"/>
  <c r="D699" i="7" s="1"/>
  <c r="D700" i="7" s="1"/>
  <c r="D701" i="7" s="1"/>
  <c r="D702" i="7" s="1"/>
  <c r="D703" i="7" s="1"/>
  <c r="D704" i="7" s="1"/>
  <c r="D705" i="7" s="1"/>
  <c r="D706" i="7" s="1"/>
  <c r="D707" i="7" s="1"/>
  <c r="D708" i="7" s="1"/>
  <c r="D709" i="7" s="1"/>
  <c r="D710" i="7" s="1"/>
  <c r="D711" i="7" s="1"/>
  <c r="D712" i="7" s="1"/>
  <c r="D713" i="7" s="1"/>
  <c r="D714" i="7" s="1"/>
  <c r="D715" i="7" s="1"/>
  <c r="D716" i="7" s="1"/>
  <c r="D717" i="7" s="1"/>
  <c r="D718" i="7" s="1"/>
  <c r="D719" i="7" s="1"/>
  <c r="D720" i="7" s="1"/>
  <c r="D721" i="7" s="1"/>
  <c r="D722" i="7" s="1"/>
  <c r="D723" i="7" s="1"/>
  <c r="D724" i="7" s="1"/>
  <c r="D725" i="7" s="1"/>
  <c r="D726" i="7" s="1"/>
  <c r="D727" i="7" s="1"/>
  <c r="D728" i="7" s="1"/>
  <c r="D729" i="7" s="1"/>
  <c r="D730" i="7" s="1"/>
  <c r="D731" i="7" s="1"/>
  <c r="D732" i="7" s="1"/>
  <c r="D733" i="7" s="1"/>
  <c r="D734" i="7" s="1"/>
  <c r="D735" i="7" s="1"/>
  <c r="D736" i="7" s="1"/>
  <c r="D737" i="7" s="1"/>
  <c r="D738" i="7" s="1"/>
  <c r="D739" i="7" s="1"/>
  <c r="D740" i="7" s="1"/>
  <c r="D741" i="7" s="1"/>
  <c r="D742" i="7" s="1"/>
  <c r="D743" i="7" s="1"/>
  <c r="D744" i="7" s="1"/>
  <c r="D745" i="7" s="1"/>
  <c r="D746" i="7" s="1"/>
  <c r="D747" i="7" s="1"/>
  <c r="D748" i="7" s="1"/>
  <c r="D749" i="7" s="1"/>
  <c r="D750" i="7" s="1"/>
  <c r="D751" i="7" s="1"/>
  <c r="D752" i="7" s="1"/>
  <c r="D753" i="7" s="1"/>
  <c r="D754" i="7" s="1"/>
  <c r="D755" i="7" s="1"/>
  <c r="D756" i="7" s="1"/>
  <c r="D757" i="7" s="1"/>
  <c r="D758" i="7" s="1"/>
  <c r="D759" i="7" s="1"/>
  <c r="D760" i="7" s="1"/>
  <c r="D761" i="7" s="1"/>
  <c r="D762" i="7" s="1"/>
  <c r="D763" i="7" s="1"/>
  <c r="D764" i="7" s="1"/>
  <c r="D765" i="7" s="1"/>
  <c r="D766" i="7" s="1"/>
  <c r="D767" i="7" s="1"/>
  <c r="D768" i="7" s="1"/>
  <c r="D769" i="7" s="1"/>
  <c r="D770" i="7" s="1"/>
  <c r="D771" i="7" s="1"/>
  <c r="D772" i="7" s="1"/>
  <c r="D773" i="7" s="1"/>
  <c r="D774" i="7" s="1"/>
  <c r="D775" i="7" s="1"/>
  <c r="D776" i="7" s="1"/>
  <c r="D777" i="7" s="1"/>
  <c r="D778" i="7" s="1"/>
  <c r="D779" i="7" s="1"/>
  <c r="D780" i="7" s="1"/>
  <c r="D781" i="7" s="1"/>
  <c r="D782" i="7" s="1"/>
  <c r="D783" i="7" s="1"/>
  <c r="D784" i="7" s="1"/>
  <c r="D785" i="7" s="1"/>
  <c r="D786" i="7" s="1"/>
  <c r="D787" i="7" s="1"/>
  <c r="D788" i="7" s="1"/>
  <c r="D789" i="7" s="1"/>
  <c r="D790" i="7" s="1"/>
  <c r="D791" i="7" s="1"/>
  <c r="D792" i="7" s="1"/>
  <c r="D793" i="7" s="1"/>
  <c r="D794" i="7" s="1"/>
  <c r="D795" i="7" s="1"/>
  <c r="D796" i="7" s="1"/>
  <c r="D797" i="7" s="1"/>
  <c r="D798" i="7" s="1"/>
  <c r="D799" i="7" s="1"/>
  <c r="D800" i="7" s="1"/>
  <c r="D801" i="7" s="1"/>
  <c r="D802" i="7" s="1"/>
  <c r="D803" i="7" s="1"/>
  <c r="D804" i="7" s="1"/>
  <c r="D805" i="7" s="1"/>
  <c r="D806" i="7" s="1"/>
  <c r="D807" i="7" s="1"/>
  <c r="D808" i="7" s="1"/>
  <c r="D809" i="7" s="1"/>
  <c r="D810" i="7" s="1"/>
  <c r="D811" i="7" s="1"/>
  <c r="D812" i="7" s="1"/>
  <c r="D813" i="7" s="1"/>
  <c r="D814" i="7" s="1"/>
  <c r="D815" i="7" s="1"/>
  <c r="D816" i="7" s="1"/>
  <c r="D817" i="7" s="1"/>
  <c r="D818" i="7" s="1"/>
  <c r="D819" i="7" s="1"/>
  <c r="D820" i="7" s="1"/>
  <c r="D821" i="7" s="1"/>
  <c r="D822" i="7" s="1"/>
  <c r="D823" i="7" s="1"/>
  <c r="D824" i="7" s="1"/>
  <c r="D825" i="7" s="1"/>
  <c r="D826" i="7" s="1"/>
  <c r="D827" i="7" s="1"/>
  <c r="D828" i="7" s="1"/>
  <c r="D829" i="7" s="1"/>
  <c r="D830" i="7" s="1"/>
  <c r="D831" i="7" s="1"/>
  <c r="D832" i="7" s="1"/>
  <c r="D833" i="7" s="1"/>
  <c r="D834" i="7" s="1"/>
  <c r="D835" i="7" s="1"/>
  <c r="D836" i="7" s="1"/>
  <c r="D837" i="7" s="1"/>
  <c r="D838" i="7" s="1"/>
  <c r="D839" i="7" s="1"/>
  <c r="D840" i="7" s="1"/>
  <c r="D841" i="7" s="1"/>
  <c r="D842" i="7" s="1"/>
  <c r="D843" i="7" s="1"/>
  <c r="D844" i="7" s="1"/>
  <c r="D845" i="7" s="1"/>
  <c r="D846" i="7" s="1"/>
  <c r="D847" i="7" s="1"/>
  <c r="D848" i="7" s="1"/>
  <c r="D849" i="7" s="1"/>
  <c r="D850" i="7" s="1"/>
  <c r="D851" i="7" s="1"/>
  <c r="D852" i="7" s="1"/>
  <c r="D853" i="7" s="1"/>
  <c r="D854" i="7" s="1"/>
  <c r="D855" i="7" s="1"/>
  <c r="D856" i="7" s="1"/>
  <c r="D857" i="7" s="1"/>
  <c r="D858" i="7" s="1"/>
  <c r="D859" i="7" s="1"/>
  <c r="D860" i="7" s="1"/>
  <c r="D861" i="7" s="1"/>
  <c r="D862" i="7" s="1"/>
  <c r="D863" i="7" s="1"/>
  <c r="D864" i="7" s="1"/>
  <c r="D865" i="7" s="1"/>
  <c r="D866" i="7" s="1"/>
  <c r="D867" i="7" s="1"/>
  <c r="D868" i="7" s="1"/>
  <c r="D869" i="7" s="1"/>
  <c r="D870" i="7" s="1"/>
  <c r="D871" i="7" s="1"/>
  <c r="D872" i="7" s="1"/>
  <c r="D873" i="7" s="1"/>
  <c r="D874" i="7" s="1"/>
  <c r="D875" i="7" s="1"/>
  <c r="D876" i="7" s="1"/>
  <c r="D877" i="7" s="1"/>
  <c r="D878" i="7" s="1"/>
  <c r="D879" i="7" s="1"/>
  <c r="D880" i="7" s="1"/>
  <c r="D881" i="7" s="1"/>
  <c r="D882" i="7" s="1"/>
  <c r="D883" i="7" s="1"/>
  <c r="D884" i="7" s="1"/>
  <c r="D885" i="7" s="1"/>
  <c r="D886" i="7" s="1"/>
  <c r="D887" i="7" s="1"/>
  <c r="D888" i="7" s="1"/>
  <c r="D889" i="7" s="1"/>
  <c r="D890" i="7" s="1"/>
  <c r="D891" i="7" s="1"/>
  <c r="D892" i="7" s="1"/>
  <c r="D893" i="7" s="1"/>
  <c r="D894" i="7" s="1"/>
  <c r="D895" i="7" s="1"/>
  <c r="D896" i="7" s="1"/>
  <c r="D897" i="7" s="1"/>
  <c r="D898" i="7" s="1"/>
  <c r="D899" i="7" s="1"/>
  <c r="D900" i="7" s="1"/>
  <c r="D901" i="7" s="1"/>
  <c r="D902" i="7" s="1"/>
  <c r="D903" i="7" s="1"/>
  <c r="D904" i="7" s="1"/>
  <c r="D905" i="7" s="1"/>
  <c r="D906" i="7" s="1"/>
  <c r="D907" i="7" s="1"/>
  <c r="D908" i="7" s="1"/>
  <c r="D909" i="7" s="1"/>
  <c r="D910" i="7" s="1"/>
  <c r="D911" i="7" s="1"/>
  <c r="D912" i="7" s="1"/>
  <c r="D913" i="7" s="1"/>
  <c r="D914" i="7" s="1"/>
  <c r="D915" i="7" s="1"/>
  <c r="D916" i="7" s="1"/>
  <c r="D917" i="7" s="1"/>
  <c r="D918" i="7" s="1"/>
  <c r="D919" i="7" s="1"/>
  <c r="D920" i="7" s="1"/>
  <c r="D921" i="7" s="1"/>
  <c r="D922" i="7" s="1"/>
  <c r="D923" i="7" s="1"/>
  <c r="D924" i="7" s="1"/>
  <c r="D925" i="7" s="1"/>
  <c r="D926" i="7" s="1"/>
  <c r="D927" i="7" s="1"/>
  <c r="D928" i="7" s="1"/>
  <c r="D929" i="7" s="1"/>
  <c r="D930" i="7" s="1"/>
  <c r="D931" i="7" s="1"/>
  <c r="D932" i="7" s="1"/>
  <c r="D933" i="7" s="1"/>
  <c r="D934" i="7" s="1"/>
  <c r="D935" i="7" s="1"/>
  <c r="D936" i="7" s="1"/>
  <c r="D937" i="7" s="1"/>
  <c r="D938" i="7" s="1"/>
  <c r="D939" i="7" s="1"/>
  <c r="D940" i="7" s="1"/>
  <c r="D941" i="7" s="1"/>
  <c r="D942" i="7" s="1"/>
  <c r="D943" i="7" s="1"/>
  <c r="D944" i="7" s="1"/>
  <c r="D945" i="7" s="1"/>
  <c r="D946" i="7" s="1"/>
  <c r="D947" i="7" s="1"/>
  <c r="D948" i="7" s="1"/>
  <c r="D949" i="7" s="1"/>
  <c r="D950" i="7" s="1"/>
  <c r="D951" i="7" s="1"/>
  <c r="D952" i="7" s="1"/>
  <c r="D953" i="7" s="1"/>
  <c r="D954" i="7" s="1"/>
  <c r="D955" i="7" s="1"/>
  <c r="D956" i="7" s="1"/>
  <c r="D957" i="7" s="1"/>
  <c r="D958" i="7" s="1"/>
  <c r="D959" i="7" s="1"/>
  <c r="D960" i="7" s="1"/>
  <c r="D961" i="7" s="1"/>
  <c r="D962" i="7" s="1"/>
  <c r="D963" i="7" s="1"/>
  <c r="D964" i="7" s="1"/>
  <c r="D965" i="7" s="1"/>
  <c r="D966" i="7" s="1"/>
  <c r="D967" i="7" s="1"/>
  <c r="D968" i="7" s="1"/>
  <c r="D969" i="7" s="1"/>
  <c r="D970" i="7" s="1"/>
  <c r="D971" i="7" s="1"/>
  <c r="D972" i="7" s="1"/>
  <c r="D973" i="7" s="1"/>
  <c r="D974" i="7" s="1"/>
  <c r="D975" i="7" s="1"/>
  <c r="D976" i="7" s="1"/>
  <c r="D977" i="7" s="1"/>
  <c r="D978" i="7" s="1"/>
  <c r="D979" i="7" s="1"/>
  <c r="D980" i="7" s="1"/>
  <c r="D981" i="7" s="1"/>
  <c r="D982" i="7" s="1"/>
  <c r="D983" i="7" s="1"/>
  <c r="D984" i="7" s="1"/>
  <c r="D985" i="7" s="1"/>
  <c r="D986" i="7" s="1"/>
  <c r="D987" i="7" s="1"/>
  <c r="D988" i="7" s="1"/>
  <c r="D989" i="7" s="1"/>
  <c r="D990" i="7" s="1"/>
  <c r="D991" i="7" s="1"/>
  <c r="D992" i="7" s="1"/>
  <c r="D993" i="7" s="1"/>
  <c r="D994" i="7" s="1"/>
  <c r="D995" i="7" s="1"/>
  <c r="D996" i="7" s="1"/>
  <c r="D997" i="7" s="1"/>
  <c r="D998" i="7" s="1"/>
  <c r="D999" i="7" s="1"/>
  <c r="D1000" i="7" s="1"/>
  <c r="D1001" i="7" s="1"/>
  <c r="D1002" i="7" s="1"/>
  <c r="D1003" i="7" s="1"/>
  <c r="D1004" i="7" s="1"/>
  <c r="D1005" i="7" s="1"/>
  <c r="D1006" i="7" s="1"/>
  <c r="D1007" i="7" s="1"/>
  <c r="D1008" i="7" s="1"/>
  <c r="D1009" i="7" s="1"/>
  <c r="D1010" i="7" s="1"/>
  <c r="D1011" i="7" s="1"/>
  <c r="D1012" i="7" s="1"/>
  <c r="D1013" i="7" s="1"/>
  <c r="D1014" i="7" s="1"/>
  <c r="D1015" i="7" s="1"/>
  <c r="D1016" i="7" s="1"/>
  <c r="D1017" i="7" s="1"/>
  <c r="D1018" i="7" s="1"/>
  <c r="D1019" i="7" s="1"/>
  <c r="D1020" i="7" s="1"/>
  <c r="D1021" i="7" s="1"/>
  <c r="D1022" i="7" s="1"/>
  <c r="D1023" i="7" s="1"/>
  <c r="D1024" i="7" s="1"/>
  <c r="D1025" i="7" s="1"/>
  <c r="D1026" i="7" s="1"/>
  <c r="D1027" i="7" s="1"/>
  <c r="D1028" i="7" s="1"/>
  <c r="D1029" i="7" s="1"/>
  <c r="D1030" i="7" s="1"/>
  <c r="D1031" i="7" s="1"/>
  <c r="D1032" i="7" s="1"/>
  <c r="D1033" i="7" s="1"/>
  <c r="D1034" i="7" s="1"/>
  <c r="D1035" i="7" s="1"/>
  <c r="D1036" i="7" s="1"/>
  <c r="D1037" i="7" s="1"/>
  <c r="D1038" i="7" s="1"/>
  <c r="D1039" i="7" s="1"/>
  <c r="D1040" i="7" s="1"/>
  <c r="D1041" i="7" s="1"/>
  <c r="D1042" i="7" s="1"/>
  <c r="D1043" i="7" s="1"/>
  <c r="D1044" i="7" s="1"/>
  <c r="D1045" i="7" s="1"/>
  <c r="D1046" i="7" s="1"/>
  <c r="D1047" i="7" s="1"/>
  <c r="D1048" i="7" s="1"/>
  <c r="D1049" i="7" s="1"/>
  <c r="D1050" i="7" s="1"/>
  <c r="D1051" i="7" s="1"/>
  <c r="D1052" i="7" s="1"/>
  <c r="D1053" i="7" s="1"/>
  <c r="D1054" i="7" s="1"/>
  <c r="D1055" i="7" s="1"/>
  <c r="D1056" i="7" s="1"/>
  <c r="D1057" i="7" s="1"/>
  <c r="D1058" i="7" s="1"/>
  <c r="D1059" i="7" s="1"/>
  <c r="D1060" i="7" s="1"/>
  <c r="D1061" i="7" s="1"/>
  <c r="D1062" i="7" s="1"/>
  <c r="D1063" i="7" s="1"/>
  <c r="D1064" i="7" s="1"/>
  <c r="D1065" i="7" s="1"/>
  <c r="D1066" i="7" s="1"/>
  <c r="D1067" i="7" s="1"/>
  <c r="D1068" i="7" s="1"/>
  <c r="D1069" i="7" s="1"/>
  <c r="D1070" i="7" s="1"/>
  <c r="D1071" i="7" s="1"/>
  <c r="D1072" i="7" s="1"/>
  <c r="D1073" i="7" s="1"/>
  <c r="D1074" i="7" s="1"/>
  <c r="D1075" i="7" s="1"/>
  <c r="D1076" i="7" s="1"/>
  <c r="D1077" i="7" s="1"/>
  <c r="D1078" i="7" s="1"/>
  <c r="D1079" i="7" s="1"/>
  <c r="D1080" i="7" s="1"/>
  <c r="D1081" i="7" s="1"/>
  <c r="D1082" i="7" s="1"/>
  <c r="D1083" i="7" s="1"/>
  <c r="D1084" i="7" s="1"/>
  <c r="D1085" i="7" s="1"/>
  <c r="D1086" i="7" s="1"/>
  <c r="D1087" i="7" s="1"/>
  <c r="D1088" i="7" s="1"/>
  <c r="D1089" i="7" s="1"/>
  <c r="D1090" i="7" s="1"/>
  <c r="D1091" i="7" s="1"/>
  <c r="D1092" i="7" s="1"/>
  <c r="D1093" i="7" s="1"/>
  <c r="D1094" i="7" s="1"/>
  <c r="D1095" i="7" s="1"/>
  <c r="D1096" i="7" s="1"/>
  <c r="D1097" i="7" s="1"/>
  <c r="D1098" i="7" s="1"/>
  <c r="D1099" i="7" s="1"/>
  <c r="D1100" i="7" s="1"/>
  <c r="D1101" i="7" s="1"/>
  <c r="D1102" i="7" s="1"/>
  <c r="D1103" i="7" s="1"/>
  <c r="D1104" i="7" s="1"/>
  <c r="D1105" i="7" s="1"/>
  <c r="D1106" i="7" s="1"/>
  <c r="D1107" i="7" s="1"/>
  <c r="D1108" i="7" s="1"/>
  <c r="D1109" i="7" s="1"/>
  <c r="D1110" i="7" s="1"/>
  <c r="D1111" i="7" s="1"/>
  <c r="D1112" i="7" s="1"/>
  <c r="D1113" i="7" s="1"/>
  <c r="D1114" i="7" s="1"/>
  <c r="D1115" i="7" s="1"/>
  <c r="D1116" i="7" s="1"/>
  <c r="D1117" i="7" s="1"/>
  <c r="D1118" i="7" s="1"/>
  <c r="D1119" i="7" s="1"/>
  <c r="D1120" i="7" s="1"/>
  <c r="D1121" i="7" s="1"/>
  <c r="D1122" i="7" s="1"/>
  <c r="D1123" i="7" s="1"/>
  <c r="D1124" i="7" s="1"/>
  <c r="D1125" i="7" s="1"/>
  <c r="D1126" i="7" s="1"/>
  <c r="D1127" i="7" s="1"/>
  <c r="D1128" i="7" s="1"/>
  <c r="D1129" i="7" s="1"/>
  <c r="D1130" i="7" s="1"/>
  <c r="D1131" i="7" s="1"/>
  <c r="D1132" i="7" s="1"/>
  <c r="D1133" i="7" s="1"/>
  <c r="D1134" i="7" s="1"/>
  <c r="D1135" i="7" s="1"/>
  <c r="D1136" i="7" s="1"/>
  <c r="D1137" i="7" s="1"/>
  <c r="D1138" i="7" s="1"/>
  <c r="D1139" i="7" s="1"/>
  <c r="D1140" i="7" s="1"/>
  <c r="D1141" i="7" s="1"/>
  <c r="D1142" i="7" s="1"/>
  <c r="D1143" i="7" s="1"/>
  <c r="D1144" i="7" s="1"/>
  <c r="D1145" i="7" s="1"/>
  <c r="D1146" i="7" s="1"/>
  <c r="D1147" i="7" s="1"/>
  <c r="D1148" i="7" s="1"/>
  <c r="D1149" i="7" s="1"/>
  <c r="D1150" i="7" s="1"/>
  <c r="D1151" i="7" s="1"/>
  <c r="D1152" i="7" s="1"/>
  <c r="D1153" i="7" s="1"/>
  <c r="D1154" i="7" s="1"/>
  <c r="D1155" i="7" s="1"/>
  <c r="D1156" i="7" s="1"/>
  <c r="D1157" i="7" s="1"/>
  <c r="D1158" i="7" s="1"/>
  <c r="D1159" i="7" s="1"/>
  <c r="D1160" i="7" s="1"/>
  <c r="D1161" i="7" s="1"/>
  <c r="D1162" i="7" s="1"/>
  <c r="D1163" i="7" s="1"/>
  <c r="D1164" i="7" s="1"/>
  <c r="D1165" i="7" s="1"/>
  <c r="D1166" i="7" s="1"/>
  <c r="D1167" i="7" s="1"/>
  <c r="D1168" i="7" s="1"/>
  <c r="D1169" i="7" s="1"/>
  <c r="D1170" i="7" s="1"/>
  <c r="D1171" i="7" s="1"/>
  <c r="D1172" i="7" s="1"/>
  <c r="D1173" i="7" s="1"/>
  <c r="D1174" i="7" s="1"/>
  <c r="D1175" i="7" s="1"/>
  <c r="D1176" i="7" s="1"/>
  <c r="D1177" i="7" s="1"/>
  <c r="D1178" i="7" s="1"/>
  <c r="D1179" i="7" s="1"/>
  <c r="D1180" i="7" s="1"/>
  <c r="D1181" i="7" s="1"/>
  <c r="D1182" i="7" s="1"/>
  <c r="D1183" i="7" s="1"/>
  <c r="D1184" i="7" s="1"/>
  <c r="D1185" i="7" s="1"/>
  <c r="D1186" i="7" s="1"/>
  <c r="D1187" i="7" s="1"/>
  <c r="D1188" i="7" s="1"/>
  <c r="D1189" i="7" s="1"/>
  <c r="D1190" i="7" s="1"/>
  <c r="D1191" i="7" s="1"/>
  <c r="D1192" i="7" s="1"/>
  <c r="D1193" i="7" s="1"/>
  <c r="D1194" i="7" s="1"/>
  <c r="D1195" i="7" s="1"/>
  <c r="D1196" i="7" s="1"/>
  <c r="D1197" i="7" s="1"/>
  <c r="D1198" i="7" s="1"/>
  <c r="D1199" i="7" s="1"/>
  <c r="D1200" i="7" s="1"/>
  <c r="D1201" i="7" s="1"/>
  <c r="D1202" i="7" s="1"/>
  <c r="D1203" i="7" s="1"/>
  <c r="D1204" i="7" s="1"/>
  <c r="D1205" i="7" s="1"/>
  <c r="D1206" i="7" s="1"/>
  <c r="D1207" i="7" s="1"/>
  <c r="D1208" i="7" s="1"/>
  <c r="D1209" i="7" s="1"/>
  <c r="D1210" i="7" s="1"/>
  <c r="D1211" i="7" s="1"/>
  <c r="D1212" i="7" s="1"/>
  <c r="D1213" i="7" s="1"/>
  <c r="D1214" i="7" s="1"/>
  <c r="D1215" i="7" s="1"/>
  <c r="D1216" i="7" s="1"/>
  <c r="D1217" i="7" s="1"/>
  <c r="D1218" i="7" s="1"/>
  <c r="D1219" i="7" s="1"/>
  <c r="D1220" i="7" s="1"/>
  <c r="D1221" i="7" s="1"/>
  <c r="D1222" i="7" s="1"/>
  <c r="D1223" i="7" s="1"/>
  <c r="D1224" i="7" s="1"/>
  <c r="D1225" i="7" s="1"/>
  <c r="D1226" i="7" s="1"/>
  <c r="D1227" i="7" s="1"/>
  <c r="D1228" i="7" s="1"/>
  <c r="D1229" i="7" s="1"/>
  <c r="D1230" i="7" s="1"/>
  <c r="D1231" i="7" s="1"/>
  <c r="D1232" i="7" s="1"/>
  <c r="D1233" i="7" s="1"/>
  <c r="D1234" i="7" s="1"/>
  <c r="D1235" i="7" s="1"/>
  <c r="D1236" i="7" s="1"/>
  <c r="D1237" i="7" s="1"/>
  <c r="D1238" i="7" s="1"/>
  <c r="D1239" i="7" s="1"/>
  <c r="D1240" i="7" s="1"/>
  <c r="D1241" i="7" s="1"/>
  <c r="D1242" i="7" s="1"/>
  <c r="D1243" i="7" s="1"/>
  <c r="D1244" i="7" s="1"/>
  <c r="D1245" i="7" s="1"/>
  <c r="D1246" i="7" s="1"/>
  <c r="D1247" i="7" s="1"/>
  <c r="D1248" i="7" s="1"/>
  <c r="D1249" i="7" s="1"/>
  <c r="D1250" i="7" s="1"/>
  <c r="D1251" i="7" s="1"/>
  <c r="D1252" i="7" s="1"/>
  <c r="D1253" i="7" s="1"/>
  <c r="D1254" i="7" s="1"/>
  <c r="D1255" i="7" s="1"/>
  <c r="D1256" i="7" s="1"/>
  <c r="D1257" i="7" s="1"/>
  <c r="D1258" i="7" s="1"/>
  <c r="D1259" i="7" s="1"/>
  <c r="D1260" i="7" s="1"/>
  <c r="D1261" i="7" s="1"/>
  <c r="D1262" i="7" s="1"/>
  <c r="D1263" i="7" s="1"/>
  <c r="D1264" i="7" s="1"/>
  <c r="D1265" i="7" s="1"/>
  <c r="D1266" i="7" s="1"/>
  <c r="D1267" i="7" s="1"/>
  <c r="D1268" i="7" s="1"/>
  <c r="D1269" i="7" s="1"/>
  <c r="D1270" i="7" s="1"/>
  <c r="D1271" i="7" s="1"/>
  <c r="D1272" i="7" s="1"/>
  <c r="D1273" i="7" s="1"/>
  <c r="D1274" i="7" s="1"/>
  <c r="D1275" i="7" s="1"/>
  <c r="D1276" i="7" s="1"/>
  <c r="D1277" i="7" s="1"/>
  <c r="D1278" i="7" s="1"/>
  <c r="D1279" i="7" s="1"/>
  <c r="D1280" i="7" s="1"/>
  <c r="D1281" i="7" s="1"/>
  <c r="D1282" i="7" s="1"/>
  <c r="D1283" i="7" s="1"/>
  <c r="D1284" i="7" s="1"/>
  <c r="D1285" i="7" s="1"/>
  <c r="D1286" i="7" s="1"/>
  <c r="D1287" i="7" s="1"/>
  <c r="D1288" i="7" s="1"/>
  <c r="D1289" i="7" s="1"/>
  <c r="D1290" i="7" s="1"/>
  <c r="D1291" i="7" s="1"/>
  <c r="D1292" i="7" s="1"/>
  <c r="D1293" i="7" s="1"/>
  <c r="D1294" i="7" s="1"/>
  <c r="D1295" i="7" s="1"/>
  <c r="D1296" i="7" s="1"/>
  <c r="D1297" i="7" s="1"/>
  <c r="D1298" i="7" s="1"/>
  <c r="D1299" i="7" s="1"/>
  <c r="D1300" i="7" s="1"/>
  <c r="D1301" i="7" s="1"/>
  <c r="D1302" i="7" s="1"/>
  <c r="D1303" i="7" s="1"/>
  <c r="D1304" i="7" s="1"/>
  <c r="D1305" i="7" s="1"/>
  <c r="D1306" i="7" s="1"/>
  <c r="D1307" i="7" s="1"/>
  <c r="D1308" i="7" s="1"/>
  <c r="D1309" i="7" s="1"/>
  <c r="D1310" i="7" s="1"/>
  <c r="D1311" i="7" s="1"/>
  <c r="D1312" i="7" s="1"/>
  <c r="D1313" i="7" s="1"/>
  <c r="D1314" i="7" s="1"/>
  <c r="D1315" i="7" s="1"/>
  <c r="D1316" i="7" s="1"/>
  <c r="D1317" i="7" s="1"/>
  <c r="D1318" i="7" s="1"/>
  <c r="D1319" i="7" s="1"/>
  <c r="D1320" i="7" s="1"/>
  <c r="D1321" i="7" s="1"/>
  <c r="D1322" i="7" s="1"/>
  <c r="D1323" i="7" s="1"/>
  <c r="D1324" i="7" s="1"/>
  <c r="D1325" i="7" s="1"/>
  <c r="D1326" i="7" s="1"/>
  <c r="D1327" i="7" s="1"/>
  <c r="D1328" i="7" s="1"/>
  <c r="D1329" i="7" s="1"/>
  <c r="D1330" i="7" s="1"/>
  <c r="D1331" i="7" s="1"/>
  <c r="D1332" i="7" s="1"/>
  <c r="D1333" i="7" s="1"/>
  <c r="D1334" i="7" s="1"/>
  <c r="D1335" i="7" s="1"/>
  <c r="D1336" i="7" s="1"/>
  <c r="D1337" i="7" s="1"/>
  <c r="D1338" i="7" s="1"/>
  <c r="D1339" i="7" s="1"/>
  <c r="D1340" i="7" s="1"/>
  <c r="D1341" i="7" s="1"/>
  <c r="D1342" i="7" s="1"/>
  <c r="D1343" i="7" s="1"/>
  <c r="D1344" i="7" s="1"/>
  <c r="D1345" i="7" s="1"/>
  <c r="D1346" i="7" s="1"/>
  <c r="D1347" i="7" s="1"/>
  <c r="D1348" i="7" s="1"/>
  <c r="D1349" i="7" s="1"/>
  <c r="D1350" i="7" s="1"/>
  <c r="D1351" i="7" s="1"/>
  <c r="D1352" i="7" s="1"/>
  <c r="D1353" i="7" s="1"/>
  <c r="D1354" i="7" s="1"/>
  <c r="D1355" i="7" s="1"/>
  <c r="D1356" i="7" s="1"/>
  <c r="D1357" i="7" s="1"/>
  <c r="D1358" i="7" s="1"/>
  <c r="D1359" i="7" s="1"/>
  <c r="D1360" i="7" s="1"/>
  <c r="D1361" i="7" s="1"/>
  <c r="D1362" i="7" s="1"/>
  <c r="D1363" i="7" s="1"/>
  <c r="D1364" i="7" s="1"/>
  <c r="D1365" i="7" s="1"/>
  <c r="D1366" i="7" s="1"/>
  <c r="D1367" i="7" s="1"/>
  <c r="D1368" i="7" s="1"/>
  <c r="D1369" i="7" s="1"/>
  <c r="D1370" i="7" s="1"/>
  <c r="D1371" i="7" s="1"/>
  <c r="D1372" i="7" s="1"/>
  <c r="D1373" i="7" s="1"/>
  <c r="D1374" i="7" s="1"/>
  <c r="D1375" i="7" s="1"/>
  <c r="D1376" i="7" s="1"/>
  <c r="D1377" i="7" s="1"/>
  <c r="D1378" i="7" s="1"/>
  <c r="D1379" i="7" s="1"/>
  <c r="D1380" i="7" s="1"/>
  <c r="D1381" i="7" s="1"/>
  <c r="D1382" i="7" s="1"/>
  <c r="D1383" i="7" s="1"/>
  <c r="D1384" i="7" s="1"/>
  <c r="D1385" i="7" s="1"/>
  <c r="D1386" i="7" s="1"/>
  <c r="D1387" i="7" s="1"/>
  <c r="D1388" i="7" s="1"/>
  <c r="D1389" i="7" s="1"/>
  <c r="D1390" i="7" s="1"/>
  <c r="D1391" i="7" s="1"/>
  <c r="D1392" i="7" s="1"/>
  <c r="D1393" i="7" s="1"/>
  <c r="D1394" i="7" s="1"/>
  <c r="D1395" i="7" s="1"/>
  <c r="D1396" i="7" s="1"/>
  <c r="D1397" i="7" s="1"/>
  <c r="D1398" i="7" s="1"/>
  <c r="D1399" i="7" s="1"/>
  <c r="D1400" i="7" s="1"/>
  <c r="D1401" i="7" s="1"/>
  <c r="D1402" i="7" s="1"/>
  <c r="D1403" i="7" s="1"/>
  <c r="D1404" i="7" s="1"/>
  <c r="D1405" i="7" s="1"/>
  <c r="D1406" i="7" s="1"/>
  <c r="D1407" i="7" s="1"/>
  <c r="D1408" i="7" s="1"/>
  <c r="D1409" i="7" s="1"/>
  <c r="D1410" i="7" s="1"/>
  <c r="D1411" i="7" s="1"/>
  <c r="D1412" i="7" s="1"/>
  <c r="D1413" i="7" s="1"/>
  <c r="D1414" i="7" s="1"/>
  <c r="D1415" i="7" s="1"/>
  <c r="D1416" i="7" s="1"/>
  <c r="D1417" i="7" s="1"/>
  <c r="D1418" i="7" s="1"/>
  <c r="D1419" i="7" s="1"/>
  <c r="D1420" i="7" s="1"/>
  <c r="D1421" i="7" s="1"/>
  <c r="D1422" i="7" s="1"/>
  <c r="D1423" i="7" s="1"/>
  <c r="D1424" i="7" s="1"/>
  <c r="D1425" i="7" s="1"/>
  <c r="D1426" i="7" s="1"/>
  <c r="D1427" i="7" s="1"/>
  <c r="D1428" i="7" s="1"/>
  <c r="D1429" i="7" s="1"/>
  <c r="D1430" i="7" s="1"/>
  <c r="D1431" i="7" s="1"/>
  <c r="D1432" i="7" s="1"/>
  <c r="D1433" i="7" s="1"/>
  <c r="D1434" i="7" s="1"/>
  <c r="D1435" i="7" s="1"/>
  <c r="D1436" i="7" s="1"/>
  <c r="D1437" i="7" s="1"/>
  <c r="D1438" i="7" s="1"/>
  <c r="D1439" i="7" s="1"/>
  <c r="D1440" i="7" s="1"/>
  <c r="D1441" i="7" s="1"/>
  <c r="D1442" i="7" s="1"/>
  <c r="D1443" i="7" s="1"/>
  <c r="D1444" i="7" s="1"/>
  <c r="D1445" i="7" s="1"/>
  <c r="D1446" i="7" s="1"/>
  <c r="D1447" i="7" s="1"/>
  <c r="D1448" i="7" s="1"/>
  <c r="D1449" i="7" s="1"/>
  <c r="D1450" i="7" s="1"/>
  <c r="D1451" i="7" s="1"/>
  <c r="D1452" i="7" s="1"/>
  <c r="D1453" i="7" s="1"/>
  <c r="D1454" i="7" s="1"/>
  <c r="D1455" i="7" s="1"/>
  <c r="D1456" i="7" s="1"/>
  <c r="D1457" i="7" s="1"/>
  <c r="D1458" i="7" s="1"/>
  <c r="D1459" i="7" s="1"/>
  <c r="D1460" i="7" s="1"/>
  <c r="D1461" i="7" s="1"/>
  <c r="D1462" i="7" s="1"/>
  <c r="D1463" i="7" s="1"/>
  <c r="D1464" i="7" s="1"/>
  <c r="D1465" i="7" s="1"/>
  <c r="D1466" i="7" s="1"/>
  <c r="D1467" i="7" s="1"/>
  <c r="D1468" i="7" s="1"/>
  <c r="D1469" i="7" s="1"/>
  <c r="D1470" i="7" s="1"/>
  <c r="D1471" i="7" s="1"/>
  <c r="D1472" i="7" s="1"/>
  <c r="D1473" i="7" s="1"/>
  <c r="D1474" i="7" s="1"/>
  <c r="D1475" i="7" s="1"/>
  <c r="D1476" i="7" s="1"/>
  <c r="D1477" i="7" s="1"/>
  <c r="D1478" i="7" s="1"/>
  <c r="D1479" i="7" s="1"/>
  <c r="D1480" i="7" s="1"/>
  <c r="D1481" i="7" s="1"/>
  <c r="D1482" i="7" s="1"/>
  <c r="D1483" i="7" s="1"/>
  <c r="D1484" i="7" s="1"/>
  <c r="D1485" i="7" s="1"/>
  <c r="D1486" i="7" s="1"/>
  <c r="D1487" i="7" s="1"/>
  <c r="D1488" i="7" s="1"/>
  <c r="D1489" i="7" s="1"/>
  <c r="D1490" i="7" s="1"/>
  <c r="D1491" i="7" s="1"/>
  <c r="D1492" i="7" s="1"/>
  <c r="D1493" i="7" s="1"/>
  <c r="D1494" i="7" s="1"/>
  <c r="D1495" i="7" s="1"/>
  <c r="D1496" i="7" s="1"/>
  <c r="D1497" i="7" s="1"/>
  <c r="D1498" i="7" s="1"/>
  <c r="D1499" i="7" s="1"/>
  <c r="D1500" i="7" s="1"/>
  <c r="D1501" i="7" s="1"/>
  <c r="D1502" i="7" s="1"/>
  <c r="D1503" i="7" s="1"/>
  <c r="D1504" i="7" s="1"/>
  <c r="D1505" i="7" s="1"/>
  <c r="D1506" i="7" s="1"/>
  <c r="D1507" i="7" s="1"/>
  <c r="D1508" i="7" s="1"/>
  <c r="D1509" i="7" s="1"/>
  <c r="D1510" i="7" s="1"/>
  <c r="D1511" i="7" s="1"/>
  <c r="D1512" i="7" s="1"/>
  <c r="D1513" i="7" s="1"/>
  <c r="D1514" i="7" s="1"/>
  <c r="D1515" i="7" s="1"/>
  <c r="D1516" i="7" s="1"/>
  <c r="D1517" i="7" s="1"/>
  <c r="D1518" i="7" s="1"/>
  <c r="D1519" i="7" s="1"/>
  <c r="D1520" i="7" s="1"/>
  <c r="D1521" i="7" s="1"/>
  <c r="D1522" i="7" s="1"/>
  <c r="D1523" i="7" s="1"/>
  <c r="D1524" i="7" s="1"/>
  <c r="D1525" i="7" s="1"/>
  <c r="D1526" i="7" s="1"/>
  <c r="D1527" i="7" s="1"/>
  <c r="D1528" i="7" s="1"/>
  <c r="D1529" i="7" s="1"/>
  <c r="D1530" i="7" s="1"/>
  <c r="D1531" i="7" s="1"/>
  <c r="D1532" i="7" s="1"/>
  <c r="D1533" i="7" s="1"/>
  <c r="D1534" i="7" s="1"/>
  <c r="D1535" i="7" s="1"/>
  <c r="D1536" i="7" s="1"/>
  <c r="D1537" i="7" s="1"/>
  <c r="D1538" i="7" s="1"/>
  <c r="D1539" i="7" s="1"/>
  <c r="D1540" i="7" s="1"/>
  <c r="D1541" i="7" s="1"/>
  <c r="D1542" i="7" s="1"/>
  <c r="D1543" i="7" s="1"/>
  <c r="D1544" i="7" s="1"/>
  <c r="D1545" i="7" s="1"/>
  <c r="D1546" i="7" s="1"/>
  <c r="D1547" i="7" s="1"/>
  <c r="D1548" i="7" s="1"/>
  <c r="D1549" i="7" s="1"/>
  <c r="D1550" i="7" s="1"/>
  <c r="D1551" i="7" s="1"/>
  <c r="D1552" i="7" s="1"/>
  <c r="D1553" i="7" s="1"/>
  <c r="D1554" i="7" s="1"/>
  <c r="D1555" i="7" s="1"/>
  <c r="D1556" i="7" s="1"/>
  <c r="D1557" i="7" s="1"/>
  <c r="D1558" i="7" s="1"/>
  <c r="D1559" i="7" s="1"/>
  <c r="D1560" i="7" s="1"/>
  <c r="D1561" i="7" s="1"/>
  <c r="D1562" i="7" s="1"/>
  <c r="D1563" i="7" s="1"/>
  <c r="D1564" i="7" s="1"/>
  <c r="D1565" i="7" s="1"/>
  <c r="D1566" i="7" s="1"/>
  <c r="D1567" i="7" s="1"/>
  <c r="D1568" i="7" s="1"/>
  <c r="D1569" i="7" s="1"/>
  <c r="D1570" i="7" s="1"/>
  <c r="D1571" i="7" s="1"/>
  <c r="D1572" i="7" s="1"/>
  <c r="D1573" i="7" s="1"/>
  <c r="D1574" i="7" s="1"/>
  <c r="D1575" i="7" s="1"/>
  <c r="D1576" i="7" s="1"/>
  <c r="D1577" i="7" s="1"/>
  <c r="D1578" i="7" s="1"/>
  <c r="D1579" i="7" s="1"/>
  <c r="D1580" i="7" s="1"/>
  <c r="D1581" i="7" s="1"/>
  <c r="D1582" i="7" s="1"/>
  <c r="D1583" i="7" s="1"/>
  <c r="D1584" i="7" s="1"/>
  <c r="D1585" i="7" s="1"/>
  <c r="D1586" i="7" s="1"/>
  <c r="D1587" i="7" s="1"/>
  <c r="D1588" i="7" s="1"/>
  <c r="D1589" i="7" s="1"/>
  <c r="D1590" i="7" s="1"/>
  <c r="D1591" i="7" s="1"/>
  <c r="D1592" i="7" s="1"/>
  <c r="D1593" i="7" s="1"/>
  <c r="D1594" i="7" s="1"/>
  <c r="D1595" i="7" s="1"/>
  <c r="D1596" i="7" s="1"/>
  <c r="D1597" i="7" s="1"/>
  <c r="D1598" i="7" s="1"/>
  <c r="D1599" i="7" s="1"/>
  <c r="D1600" i="7" s="1"/>
  <c r="D1601" i="7" s="1"/>
  <c r="D1602" i="7" s="1"/>
  <c r="D1603" i="7" s="1"/>
  <c r="D1604" i="7" s="1"/>
  <c r="D1605" i="7" s="1"/>
  <c r="D1606" i="7" s="1"/>
  <c r="D1607" i="7" s="1"/>
  <c r="D1608" i="7" s="1"/>
  <c r="D1609" i="7" s="1"/>
  <c r="D1610" i="7" s="1"/>
  <c r="D1611" i="7" s="1"/>
  <c r="D1612" i="7" s="1"/>
  <c r="D1613" i="7" s="1"/>
  <c r="D1614" i="7" s="1"/>
  <c r="D1615" i="7" s="1"/>
  <c r="D1616" i="7" s="1"/>
  <c r="D1617" i="7" s="1"/>
  <c r="D1618" i="7" s="1"/>
  <c r="D1619" i="7" s="1"/>
  <c r="D1620" i="7" s="1"/>
  <c r="D1621" i="7" s="1"/>
  <c r="D1622" i="7" s="1"/>
  <c r="D1623" i="7" s="1"/>
  <c r="D1624" i="7" s="1"/>
  <c r="D1625" i="7" s="1"/>
  <c r="D1626" i="7" s="1"/>
  <c r="D1627" i="7" s="1"/>
  <c r="D1628" i="7" s="1"/>
  <c r="D1629" i="7" s="1"/>
  <c r="D1630" i="7" s="1"/>
  <c r="D1631" i="7" s="1"/>
  <c r="D1632" i="7" s="1"/>
  <c r="D1633" i="7" s="1"/>
  <c r="D1634" i="7" s="1"/>
  <c r="D1635" i="7" s="1"/>
  <c r="D1636" i="7" s="1"/>
  <c r="D1637" i="7" s="1"/>
  <c r="D1638" i="7" s="1"/>
  <c r="D1639" i="7" s="1"/>
  <c r="D1640" i="7" s="1"/>
  <c r="D1641" i="7" s="1"/>
  <c r="D1642" i="7" s="1"/>
  <c r="D1643" i="7" s="1"/>
  <c r="D1644" i="7" s="1"/>
  <c r="D1645" i="7" s="1"/>
  <c r="D1646" i="7" s="1"/>
  <c r="D1647" i="7" s="1"/>
  <c r="D1648" i="7" s="1"/>
  <c r="D1649" i="7" s="1"/>
  <c r="D1650" i="7" s="1"/>
  <c r="D1651" i="7" s="1"/>
  <c r="D1652" i="7" s="1"/>
  <c r="D1653" i="7" s="1"/>
  <c r="D1654" i="7" s="1"/>
  <c r="D1655" i="7" s="1"/>
  <c r="D1656" i="7" s="1"/>
  <c r="D1657" i="7" s="1"/>
  <c r="D1658" i="7" s="1"/>
  <c r="D1659" i="7" s="1"/>
  <c r="D1660" i="7" s="1"/>
  <c r="D1661" i="7" s="1"/>
  <c r="D1662" i="7" s="1"/>
  <c r="D1663" i="7" s="1"/>
  <c r="D1664" i="7" s="1"/>
  <c r="D1665" i="7" s="1"/>
  <c r="D1666" i="7" s="1"/>
  <c r="D1667" i="7" s="1"/>
  <c r="O15" i="7"/>
  <c r="M14" i="7"/>
  <c r="N14" i="7"/>
  <c r="O14" i="7"/>
  <c r="L16" i="7"/>
  <c r="D16" i="7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D56" i="7" s="1"/>
  <c r="D57" i="7" s="1"/>
  <c r="D58" i="7" s="1"/>
  <c r="D59" i="7" s="1"/>
  <c r="D60" i="7" s="1"/>
  <c r="D61" i="7" s="1"/>
  <c r="D62" i="7" s="1"/>
  <c r="D63" i="7" s="1"/>
  <c r="D64" i="7" s="1"/>
  <c r="D65" i="7" s="1"/>
  <c r="D66" i="7" s="1"/>
  <c r="D67" i="7" s="1"/>
  <c r="D68" i="7" s="1"/>
  <c r="D69" i="7" s="1"/>
  <c r="D70" i="7" s="1"/>
  <c r="D71" i="7" s="1"/>
  <c r="D72" i="7" s="1"/>
  <c r="D73" i="7" s="1"/>
  <c r="D74" i="7" s="1"/>
  <c r="D75" i="7" s="1"/>
  <c r="D76" i="7" s="1"/>
  <c r="D77" i="7" s="1"/>
  <c r="D78" i="7" s="1"/>
  <c r="D79" i="7" s="1"/>
  <c r="D80" i="7" s="1"/>
  <c r="D81" i="7" s="1"/>
  <c r="D82" i="7" s="1"/>
  <c r="D83" i="7" s="1"/>
  <c r="D84" i="7" s="1"/>
  <c r="D85" i="7" s="1"/>
  <c r="D86" i="7" s="1"/>
  <c r="D87" i="7" s="1"/>
  <c r="D88" i="7" s="1"/>
  <c r="D89" i="7" s="1"/>
  <c r="D90" i="7" s="1"/>
  <c r="D91" i="7" s="1"/>
  <c r="D92" i="7" s="1"/>
  <c r="D93" i="7" s="1"/>
  <c r="D94" i="7" s="1"/>
  <c r="D95" i="7" s="1"/>
  <c r="D96" i="7" s="1"/>
  <c r="D97" i="7" s="1"/>
  <c r="D98" i="7" s="1"/>
  <c r="D99" i="7" s="1"/>
  <c r="D100" i="7" s="1"/>
  <c r="D101" i="7" s="1"/>
  <c r="D102" i="7" s="1"/>
  <c r="D103" i="7" s="1"/>
  <c r="D104" i="7" s="1"/>
  <c r="D105" i="7" s="1"/>
  <c r="D106" i="7" s="1"/>
  <c r="D107" i="7" s="1"/>
  <c r="D108" i="7" s="1"/>
  <c r="D109" i="7" s="1"/>
  <c r="D110" i="7" s="1"/>
  <c r="D111" i="7" s="1"/>
  <c r="D112" i="7" s="1"/>
  <c r="D113" i="7" s="1"/>
  <c r="D114" i="7" s="1"/>
  <c r="D115" i="7" s="1"/>
  <c r="D116" i="7" s="1"/>
  <c r="D117" i="7" s="1"/>
  <c r="D118" i="7" s="1"/>
  <c r="D119" i="7" s="1"/>
  <c r="D120" i="7" s="1"/>
  <c r="D121" i="7" s="1"/>
  <c r="D122" i="7" s="1"/>
  <c r="D123" i="7" s="1"/>
  <c r="D124" i="7" s="1"/>
  <c r="D125" i="7" s="1"/>
  <c r="D126" i="7" s="1"/>
  <c r="D127" i="7" s="1"/>
  <c r="D128" i="7" s="1"/>
  <c r="D129" i="7" s="1"/>
  <c r="D130" i="7" s="1"/>
  <c r="D131" i="7" s="1"/>
  <c r="D132" i="7" s="1"/>
  <c r="D133" i="7" s="1"/>
  <c r="D134" i="7" s="1"/>
  <c r="D135" i="7" s="1"/>
  <c r="D136" i="7" s="1"/>
  <c r="D137" i="7" s="1"/>
  <c r="D138" i="7" s="1"/>
  <c r="D139" i="7" s="1"/>
  <c r="D140" i="7" s="1"/>
  <c r="D141" i="7" s="1"/>
  <c r="D142" i="7" s="1"/>
  <c r="D143" i="7" s="1"/>
  <c r="D144" i="7" s="1"/>
  <c r="D145" i="7" s="1"/>
  <c r="D146" i="7" s="1"/>
  <c r="D147" i="7" s="1"/>
  <c r="D148" i="7" s="1"/>
  <c r="D149" i="7" s="1"/>
  <c r="D150" i="7" s="1"/>
  <c r="D151" i="7" s="1"/>
  <c r="D152" i="7" s="1"/>
  <c r="D153" i="7" s="1"/>
  <c r="D154" i="7" s="1"/>
  <c r="D155" i="7" s="1"/>
  <c r="D156" i="7" s="1"/>
  <c r="D157" i="7" s="1"/>
  <c r="D158" i="7" s="1"/>
  <c r="D159" i="7" s="1"/>
  <c r="D160" i="7" s="1"/>
  <c r="D161" i="7" s="1"/>
  <c r="D162" i="7" s="1"/>
  <c r="D163" i="7" s="1"/>
  <c r="D164" i="7" s="1"/>
  <c r="D165" i="7" s="1"/>
  <c r="D166" i="7" s="1"/>
  <c r="D167" i="7" s="1"/>
  <c r="D168" i="7" s="1"/>
  <c r="D169" i="7" s="1"/>
  <c r="D170" i="7" s="1"/>
  <c r="D171" i="7" s="1"/>
  <c r="D172" i="7" s="1"/>
  <c r="D173" i="7" s="1"/>
  <c r="D174" i="7" s="1"/>
  <c r="D175" i="7" s="1"/>
  <c r="D176" i="7" s="1"/>
  <c r="D177" i="7" s="1"/>
  <c r="D178" i="7" s="1"/>
  <c r="D179" i="7" s="1"/>
  <c r="D180" i="7" s="1"/>
  <c r="D181" i="7" s="1"/>
  <c r="D182" i="7" s="1"/>
  <c r="D183" i="7" s="1"/>
  <c r="D184" i="7" s="1"/>
  <c r="D185" i="7" s="1"/>
  <c r="D186" i="7" s="1"/>
  <c r="D187" i="7" s="1"/>
  <c r="D188" i="7" s="1"/>
  <c r="D189" i="7" s="1"/>
  <c r="D190" i="7" s="1"/>
  <c r="D191" i="7" s="1"/>
  <c r="D192" i="7" s="1"/>
  <c r="D193" i="7" s="1"/>
  <c r="D194" i="7" s="1"/>
  <c r="D195" i="7" s="1"/>
  <c r="D196" i="7" s="1"/>
  <c r="D197" i="7" s="1"/>
  <c r="D198" i="7" s="1"/>
  <c r="D199" i="7" s="1"/>
  <c r="D200" i="7" s="1"/>
  <c r="D201" i="7" s="1"/>
  <c r="D202" i="7" s="1"/>
  <c r="D203" i="7" s="1"/>
  <c r="D204" i="7" s="1"/>
  <c r="D205" i="7" s="1"/>
  <c r="D206" i="7" s="1"/>
  <c r="D207" i="7" s="1"/>
  <c r="D208" i="7" s="1"/>
  <c r="D209" i="7" s="1"/>
  <c r="D210" i="7" s="1"/>
  <c r="D211" i="7" s="1"/>
  <c r="D212" i="7" s="1"/>
  <c r="D213" i="7" s="1"/>
  <c r="D214" i="7" s="1"/>
  <c r="D215" i="7" s="1"/>
  <c r="D216" i="7" s="1"/>
  <c r="D217" i="7" s="1"/>
  <c r="D218" i="7" s="1"/>
  <c r="D219" i="7" s="1"/>
  <c r="D220" i="7" s="1"/>
  <c r="D221" i="7" s="1"/>
  <c r="D222" i="7" s="1"/>
  <c r="D223" i="7" s="1"/>
  <c r="D224" i="7" s="1"/>
  <c r="D225" i="7" s="1"/>
  <c r="D226" i="7" s="1"/>
  <c r="D227" i="7" s="1"/>
  <c r="D228" i="7" s="1"/>
  <c r="D229" i="7" s="1"/>
  <c r="D230" i="7" s="1"/>
  <c r="D231" i="7" s="1"/>
  <c r="D232" i="7" s="1"/>
  <c r="D233" i="7" s="1"/>
  <c r="D234" i="7" s="1"/>
  <c r="D235" i="7" s="1"/>
  <c r="D236" i="7" s="1"/>
  <c r="D237" i="7" s="1"/>
  <c r="D238" i="7" s="1"/>
  <c r="D239" i="7" s="1"/>
  <c r="D240" i="7" s="1"/>
  <c r="D241" i="7" s="1"/>
  <c r="D242" i="7" s="1"/>
  <c r="D243" i="7" s="1"/>
  <c r="D244" i="7" s="1"/>
  <c r="D245" i="7" s="1"/>
  <c r="D246" i="7" s="1"/>
  <c r="D247" i="7" s="1"/>
  <c r="D248" i="7" s="1"/>
  <c r="D249" i="7" s="1"/>
  <c r="D250" i="7" s="1"/>
  <c r="D251" i="7" s="1"/>
  <c r="D252" i="7" s="1"/>
  <c r="D253" i="7" s="1"/>
  <c r="D254" i="7" s="1"/>
  <c r="D255" i="7" s="1"/>
  <c r="D256" i="7" s="1"/>
  <c r="D257" i="7" s="1"/>
  <c r="D258" i="7" s="1"/>
  <c r="D259" i="7" s="1"/>
  <c r="D260" i="7" s="1"/>
  <c r="D261" i="7" s="1"/>
  <c r="D262" i="7" s="1"/>
  <c r="D263" i="7" s="1"/>
  <c r="D264" i="7" s="1"/>
  <c r="D265" i="7" s="1"/>
  <c r="D266" i="7" s="1"/>
  <c r="D267" i="7" s="1"/>
  <c r="D268" i="7" s="1"/>
  <c r="D269" i="7" s="1"/>
  <c r="D270" i="7" s="1"/>
  <c r="D271" i="7" s="1"/>
  <c r="D272" i="7" s="1"/>
  <c r="D273" i="7" s="1"/>
  <c r="D274" i="7" s="1"/>
  <c r="D275" i="7" s="1"/>
  <c r="D276" i="7" s="1"/>
  <c r="D277" i="7" s="1"/>
  <c r="D278" i="7" s="1"/>
  <c r="D279" i="7" s="1"/>
  <c r="D280" i="7" s="1"/>
  <c r="D281" i="7" s="1"/>
  <c r="D282" i="7" s="1"/>
  <c r="D283" i="7" s="1"/>
  <c r="D284" i="7" s="1"/>
  <c r="D285" i="7" s="1"/>
  <c r="D286" i="7" s="1"/>
  <c r="D287" i="7" s="1"/>
  <c r="D288" i="7" s="1"/>
  <c r="D289" i="7" s="1"/>
  <c r="D290" i="7" s="1"/>
  <c r="D291" i="7" s="1"/>
  <c r="D292" i="7" s="1"/>
  <c r="D293" i="7" s="1"/>
  <c r="D294" i="7" s="1"/>
  <c r="D295" i="7" s="1"/>
  <c r="D296" i="7" s="1"/>
  <c r="D297" i="7" s="1"/>
  <c r="D298" i="7" s="1"/>
  <c r="D299" i="7" s="1"/>
  <c r="D300" i="7" s="1"/>
  <c r="D301" i="7" s="1"/>
  <c r="D302" i="7" s="1"/>
  <c r="D303" i="7" s="1"/>
  <c r="D304" i="7" s="1"/>
  <c r="D305" i="7" s="1"/>
  <c r="D306" i="7" s="1"/>
  <c r="D307" i="7" s="1"/>
  <c r="D308" i="7" s="1"/>
  <c r="D309" i="7" s="1"/>
  <c r="D310" i="7" s="1"/>
  <c r="D311" i="7" s="1"/>
  <c r="D312" i="7" s="1"/>
  <c r="D313" i="7" s="1"/>
  <c r="D314" i="7" s="1"/>
  <c r="D315" i="7" s="1"/>
  <c r="D316" i="7" s="1"/>
  <c r="D317" i="7" s="1"/>
  <c r="D318" i="7" s="1"/>
  <c r="D319" i="7" s="1"/>
  <c r="D320" i="7" s="1"/>
  <c r="D321" i="7" s="1"/>
  <c r="D322" i="7" s="1"/>
  <c r="D323" i="7" s="1"/>
  <c r="D324" i="7" s="1"/>
  <c r="D325" i="7" s="1"/>
  <c r="D326" i="7" s="1"/>
  <c r="D327" i="7" s="1"/>
  <c r="D328" i="7" s="1"/>
  <c r="D329" i="7" s="1"/>
  <c r="D330" i="7" s="1"/>
  <c r="D331" i="7" s="1"/>
  <c r="D332" i="7" s="1"/>
  <c r="D333" i="7" s="1"/>
  <c r="D334" i="7" s="1"/>
  <c r="D335" i="7" s="1"/>
  <c r="D336" i="7" s="1"/>
  <c r="D337" i="7" s="1"/>
  <c r="D338" i="7" s="1"/>
  <c r="D339" i="7" s="1"/>
  <c r="D340" i="7" s="1"/>
  <c r="D341" i="7" s="1"/>
  <c r="D342" i="7" s="1"/>
  <c r="D343" i="7" s="1"/>
  <c r="D344" i="7" s="1"/>
  <c r="D345" i="7" s="1"/>
  <c r="D346" i="7" s="1"/>
  <c r="D347" i="7" s="1"/>
  <c r="D348" i="7" s="1"/>
  <c r="D349" i="7" s="1"/>
  <c r="D350" i="7" s="1"/>
  <c r="D351" i="7" s="1"/>
  <c r="D352" i="7" s="1"/>
  <c r="D353" i="7" s="1"/>
  <c r="D354" i="7" s="1"/>
  <c r="D355" i="7" s="1"/>
  <c r="D356" i="7" s="1"/>
  <c r="D357" i="7" s="1"/>
  <c r="D358" i="7" s="1"/>
  <c r="D359" i="7" s="1"/>
  <c r="D360" i="7" s="1"/>
  <c r="D361" i="7" s="1"/>
  <c r="D362" i="7" s="1"/>
  <c r="D363" i="7" s="1"/>
  <c r="D364" i="7" s="1"/>
  <c r="D365" i="7" s="1"/>
  <c r="D366" i="7" s="1"/>
  <c r="D367" i="7" s="1"/>
  <c r="D368" i="7" s="1"/>
  <c r="D369" i="7" s="1"/>
  <c r="D370" i="7" s="1"/>
  <c r="D371" i="7" s="1"/>
  <c r="D372" i="7" s="1"/>
  <c r="D373" i="7" s="1"/>
  <c r="D374" i="7" s="1"/>
  <c r="D375" i="7" s="1"/>
  <c r="D376" i="7" s="1"/>
  <c r="D377" i="7" s="1"/>
  <c r="D378" i="7" s="1"/>
  <c r="D379" i="7" s="1"/>
  <c r="D380" i="7" s="1"/>
  <c r="D381" i="7" s="1"/>
  <c r="D382" i="7" s="1"/>
  <c r="D383" i="7" s="1"/>
  <c r="D384" i="7" s="1"/>
  <c r="D385" i="7" s="1"/>
  <c r="D386" i="7" s="1"/>
  <c r="D387" i="7" s="1"/>
  <c r="D388" i="7" s="1"/>
  <c r="D389" i="7" s="1"/>
  <c r="D390" i="7" s="1"/>
  <c r="D391" i="7" s="1"/>
  <c r="D392" i="7" s="1"/>
  <c r="D393" i="7" s="1"/>
  <c r="D394" i="7" s="1"/>
  <c r="D395" i="7" s="1"/>
  <c r="D396" i="7" s="1"/>
  <c r="D397" i="7" s="1"/>
  <c r="D398" i="7" s="1"/>
  <c r="D399" i="7" s="1"/>
  <c r="D400" i="7" s="1"/>
  <c r="D401" i="7" s="1"/>
  <c r="D402" i="7" s="1"/>
  <c r="D403" i="7" s="1"/>
  <c r="D404" i="7" s="1"/>
  <c r="D405" i="7" s="1"/>
  <c r="D406" i="7" s="1"/>
  <c r="D407" i="7" s="1"/>
  <c r="D408" i="7" s="1"/>
  <c r="D409" i="7" s="1"/>
  <c r="D410" i="7" s="1"/>
  <c r="D411" i="7" s="1"/>
  <c r="D412" i="7" s="1"/>
  <c r="D413" i="7" s="1"/>
  <c r="D414" i="7" s="1"/>
  <c r="D415" i="7" s="1"/>
  <c r="D416" i="7" s="1"/>
  <c r="D417" i="7" s="1"/>
  <c r="D418" i="7" s="1"/>
  <c r="D419" i="7" s="1"/>
  <c r="D420" i="7" s="1"/>
  <c r="D421" i="7" s="1"/>
  <c r="D422" i="7" s="1"/>
  <c r="D423" i="7" s="1"/>
  <c r="D424" i="7" s="1"/>
  <c r="D425" i="7" s="1"/>
  <c r="D426" i="7" s="1"/>
  <c r="D427" i="7" s="1"/>
  <c r="D428" i="7" s="1"/>
  <c r="D429" i="7" s="1"/>
  <c r="D430" i="7" s="1"/>
  <c r="D431" i="7" s="1"/>
  <c r="D432" i="7" s="1"/>
  <c r="D433" i="7" s="1"/>
  <c r="D434" i="7" s="1"/>
  <c r="D435" i="7" s="1"/>
  <c r="D436" i="7" s="1"/>
  <c r="D437" i="7" s="1"/>
  <c r="D438" i="7" s="1"/>
  <c r="D439" i="7" s="1"/>
  <c r="D440" i="7" s="1"/>
  <c r="D441" i="7" s="1"/>
  <c r="D442" i="7" s="1"/>
  <c r="D443" i="7" s="1"/>
  <c r="D444" i="7" s="1"/>
  <c r="D445" i="7" s="1"/>
  <c r="D446" i="7" s="1"/>
  <c r="D447" i="7" s="1"/>
  <c r="D448" i="7" s="1"/>
  <c r="D449" i="7" s="1"/>
  <c r="D450" i="7" s="1"/>
  <c r="D451" i="7" s="1"/>
  <c r="D452" i="7" s="1"/>
  <c r="D453" i="7" s="1"/>
  <c r="D454" i="7" s="1"/>
  <c r="D455" i="7" s="1"/>
  <c r="D456" i="7" s="1"/>
  <c r="D457" i="7" s="1"/>
  <c r="D458" i="7" s="1"/>
  <c r="D459" i="7" s="1"/>
  <c r="D460" i="7" s="1"/>
  <c r="D461" i="7" s="1"/>
  <c r="D462" i="7" s="1"/>
  <c r="D463" i="7" s="1"/>
  <c r="D464" i="7" s="1"/>
  <c r="D465" i="7" s="1"/>
  <c r="D466" i="7" s="1"/>
  <c r="D467" i="7" s="1"/>
  <c r="D468" i="7" s="1"/>
  <c r="D469" i="7" s="1"/>
  <c r="D470" i="7" s="1"/>
  <c r="D471" i="7" s="1"/>
  <c r="D472" i="7" s="1"/>
  <c r="D473" i="7" s="1"/>
  <c r="D474" i="7" s="1"/>
  <c r="D475" i="7" s="1"/>
  <c r="D476" i="7" s="1"/>
  <c r="D477" i="7" s="1"/>
  <c r="D478" i="7" s="1"/>
  <c r="D479" i="7" s="1"/>
  <c r="D480" i="7" s="1"/>
  <c r="D481" i="7" s="1"/>
  <c r="D482" i="7" s="1"/>
  <c r="D483" i="7" s="1"/>
  <c r="D484" i="7" s="1"/>
  <c r="D485" i="7" s="1"/>
  <c r="D486" i="7" s="1"/>
  <c r="D487" i="7" s="1"/>
  <c r="D488" i="7" s="1"/>
  <c r="D489" i="7" s="1"/>
  <c r="D490" i="7" s="1"/>
  <c r="D491" i="7" s="1"/>
  <c r="D492" i="7" s="1"/>
  <c r="D493" i="7" s="1"/>
  <c r="D494" i="7" s="1"/>
  <c r="D495" i="7" s="1"/>
  <c r="D496" i="7" s="1"/>
  <c r="D497" i="7" s="1"/>
  <c r="D498" i="7" s="1"/>
  <c r="D499" i="7" s="1"/>
  <c r="D500" i="7" s="1"/>
  <c r="D501" i="7" s="1"/>
  <c r="D502" i="7" s="1"/>
  <c r="D503" i="7" s="1"/>
  <c r="D504" i="7" s="1"/>
  <c r="D505" i="7" s="1"/>
  <c r="D506" i="7" s="1"/>
  <c r="D507" i="7" s="1"/>
  <c r="D508" i="7" s="1"/>
  <c r="D509" i="7" s="1"/>
  <c r="D510" i="7" s="1"/>
  <c r="D511" i="7" s="1"/>
  <c r="D512" i="7" s="1"/>
  <c r="D513" i="7" s="1"/>
  <c r="D514" i="7" s="1"/>
  <c r="D515" i="7" s="1"/>
  <c r="D516" i="7" s="1"/>
  <c r="D517" i="7" s="1"/>
  <c r="D518" i="7" s="1"/>
  <c r="D519" i="7" s="1"/>
  <c r="D520" i="7" s="1"/>
  <c r="D521" i="7" s="1"/>
  <c r="D522" i="7" s="1"/>
  <c r="D523" i="7" s="1"/>
  <c r="D524" i="7" s="1"/>
  <c r="D525" i="7" s="1"/>
  <c r="D526" i="7" s="1"/>
  <c r="D527" i="7" s="1"/>
  <c r="D528" i="7" s="1"/>
  <c r="D529" i="7" s="1"/>
  <c r="D530" i="7" s="1"/>
  <c r="D531" i="7" s="1"/>
  <c r="D532" i="7" s="1"/>
  <c r="D533" i="7" s="1"/>
  <c r="D534" i="7" s="1"/>
  <c r="D535" i="7" s="1"/>
  <c r="D536" i="7" s="1"/>
  <c r="D537" i="7" s="1"/>
  <c r="D538" i="7" s="1"/>
  <c r="D539" i="7" s="1"/>
  <c r="D540" i="7" s="1"/>
  <c r="D541" i="7" s="1"/>
  <c r="D542" i="7" s="1"/>
  <c r="D543" i="7" s="1"/>
  <c r="D544" i="7" s="1"/>
  <c r="D545" i="7" s="1"/>
  <c r="D546" i="7" s="1"/>
  <c r="D547" i="7" s="1"/>
  <c r="D548" i="7" s="1"/>
  <c r="D549" i="7" s="1"/>
  <c r="M15" i="7"/>
  <c r="N15" i="7"/>
  <c r="G25" i="3"/>
  <c r="N16" i="7" l="1"/>
  <c r="O16" i="7"/>
  <c r="M16" i="7"/>
  <c r="L17" i="7"/>
  <c r="M21" i="3"/>
  <c r="H8" i="3"/>
  <c r="K28" i="3"/>
  <c r="K25" i="3"/>
  <c r="H21" i="3"/>
  <c r="J21" i="3" s="1"/>
  <c r="H19" i="3"/>
  <c r="H18" i="3"/>
  <c r="H10" i="3"/>
  <c r="H11" i="3"/>
  <c r="H12" i="3"/>
  <c r="H7" i="3"/>
  <c r="H6" i="3"/>
  <c r="H5" i="3"/>
  <c r="H4" i="3"/>
  <c r="X3" i="5"/>
  <c r="X2" i="5"/>
  <c r="X1" i="5"/>
  <c r="L18" i="7" l="1"/>
  <c r="O17" i="7"/>
  <c r="M17" i="7"/>
  <c r="N17" i="7"/>
  <c r="H22" i="3"/>
  <c r="J22" i="3" s="1"/>
  <c r="H9" i="3"/>
  <c r="H88" i="3"/>
  <c r="I88" i="3" s="1"/>
  <c r="J88" i="3" s="1"/>
  <c r="K88" i="3" s="1"/>
  <c r="H89" i="3"/>
  <c r="I89" i="3" s="1"/>
  <c r="J89" i="3" s="1"/>
  <c r="H90" i="3"/>
  <c r="I90" i="3" s="1"/>
  <c r="J90" i="3" s="1"/>
  <c r="H91" i="3"/>
  <c r="I91" i="3" s="1"/>
  <c r="J91" i="3" s="1"/>
  <c r="K91" i="3" s="1"/>
  <c r="H92" i="3"/>
  <c r="I92" i="3" s="1"/>
  <c r="J92" i="3" s="1"/>
  <c r="H93" i="3"/>
  <c r="I93" i="3" s="1"/>
  <c r="J93" i="3" s="1"/>
  <c r="H85" i="3"/>
  <c r="I85" i="3" s="1"/>
  <c r="J85" i="3" s="1"/>
  <c r="Q95" i="3"/>
  <c r="Q84" i="3"/>
  <c r="R84" i="3" s="1"/>
  <c r="S84" i="3" s="1"/>
  <c r="T84" i="3" s="1"/>
  <c r="H84" i="3"/>
  <c r="I84" i="3" s="1"/>
  <c r="J84" i="3" s="1"/>
  <c r="O103" i="3"/>
  <c r="O102" i="3"/>
  <c r="P103" i="3" s="1"/>
  <c r="Q103" i="3" s="1"/>
  <c r="R103" i="3" s="1"/>
  <c r="S103" i="3" s="1"/>
  <c r="T103" i="3" s="1"/>
  <c r="O101" i="3"/>
  <c r="P102" i="3" s="1"/>
  <c r="O100" i="3"/>
  <c r="O99" i="3"/>
  <c r="O98" i="3"/>
  <c r="P99" i="3" s="1"/>
  <c r="O97" i="3"/>
  <c r="P98" i="3" s="1"/>
  <c r="Q98" i="3" s="1"/>
  <c r="R98" i="3" s="1"/>
  <c r="S98" i="3" s="1"/>
  <c r="T98" i="3" s="1"/>
  <c r="P96" i="3"/>
  <c r="O96" i="3"/>
  <c r="Q96" i="3" s="1"/>
  <c r="O95" i="3"/>
  <c r="O94" i="3"/>
  <c r="P95" i="3" s="1"/>
  <c r="O93" i="3"/>
  <c r="P94" i="3" s="1"/>
  <c r="O92" i="3"/>
  <c r="O91" i="3"/>
  <c r="O90" i="3"/>
  <c r="Q90" i="3" s="1"/>
  <c r="R90" i="3" s="1"/>
  <c r="S90" i="3" s="1"/>
  <c r="T90" i="3" s="1"/>
  <c r="O89" i="3"/>
  <c r="P90" i="3" s="1"/>
  <c r="O88" i="3"/>
  <c r="P89" i="3" s="1"/>
  <c r="O87" i="3"/>
  <c r="O86" i="3"/>
  <c r="P87" i="3" s="1"/>
  <c r="H86" i="3"/>
  <c r="I86" i="3" s="1"/>
  <c r="J86" i="3" s="1"/>
  <c r="O85" i="3"/>
  <c r="P86" i="3" s="1"/>
  <c r="Q86" i="3" s="1"/>
  <c r="R86" i="3" s="1"/>
  <c r="S86" i="3" s="1"/>
  <c r="T86" i="3" s="1"/>
  <c r="O84" i="3"/>
  <c r="P85" i="3" s="1"/>
  <c r="K83" i="3"/>
  <c r="S30" i="5"/>
  <c r="AB2" i="5"/>
  <c r="AB1" i="5"/>
  <c r="K56" i="3"/>
  <c r="Q4" i="5"/>
  <c r="T4" i="5" s="1"/>
  <c r="Z4" i="5" s="1"/>
  <c r="R4" i="5"/>
  <c r="P5" i="5" s="1"/>
  <c r="N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N49" i="4"/>
  <c r="N50" i="4"/>
  <c r="N51" i="4"/>
  <c r="N52" i="4"/>
  <c r="N53" i="4"/>
  <c r="N54" i="4"/>
  <c r="N55" i="4"/>
  <c r="N56" i="4"/>
  <c r="N57" i="4"/>
  <c r="N58" i="4"/>
  <c r="N59" i="4"/>
  <c r="N60" i="4"/>
  <c r="N61" i="4"/>
  <c r="N62" i="4"/>
  <c r="N63" i="4"/>
  <c r="N64" i="4"/>
  <c r="N65" i="4"/>
  <c r="N66" i="4"/>
  <c r="N67" i="4"/>
  <c r="N68" i="4"/>
  <c r="N69" i="4"/>
  <c r="N70" i="4"/>
  <c r="N71" i="4"/>
  <c r="N72" i="4"/>
  <c r="N73" i="4"/>
  <c r="N74" i="4"/>
  <c r="N75" i="4"/>
  <c r="N76" i="4"/>
  <c r="N77" i="4"/>
  <c r="N78" i="4"/>
  <c r="N79" i="4"/>
  <c r="N80" i="4"/>
  <c r="N81" i="4"/>
  <c r="N82" i="4"/>
  <c r="N83" i="4"/>
  <c r="N84" i="4"/>
  <c r="N85" i="4"/>
  <c r="N86" i="4"/>
  <c r="N87" i="4"/>
  <c r="N88" i="4"/>
  <c r="N89" i="4"/>
  <c r="N90" i="4"/>
  <c r="N91" i="4"/>
  <c r="N92" i="4"/>
  <c r="N93" i="4"/>
  <c r="N94" i="4"/>
  <c r="N95" i="4"/>
  <c r="N96" i="4"/>
  <c r="N97" i="4"/>
  <c r="N98" i="4"/>
  <c r="N99" i="4"/>
  <c r="N100" i="4"/>
  <c r="N101" i="4"/>
  <c r="N102" i="4"/>
  <c r="O8" i="4" s="1"/>
  <c r="J46" i="3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M99" i="4"/>
  <c r="M100" i="4"/>
  <c r="M101" i="4"/>
  <c r="M102" i="4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3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39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40" i="4"/>
  <c r="E39" i="4"/>
  <c r="M45" i="1"/>
  <c r="H3" i="1"/>
  <c r="I3" i="1"/>
  <c r="K3" i="1"/>
  <c r="K2" i="1"/>
  <c r="I2" i="1"/>
  <c r="H2" i="1"/>
  <c r="O18" i="7" l="1"/>
  <c r="N18" i="7"/>
  <c r="M18" i="7"/>
  <c r="L19" i="7"/>
  <c r="Q87" i="3"/>
  <c r="R87" i="3" s="1"/>
  <c r="S87" i="3" s="1"/>
  <c r="T87" i="3" s="1"/>
  <c r="Q99" i="3"/>
  <c r="R99" i="3" s="1"/>
  <c r="S99" i="3" s="1"/>
  <c r="T99" i="3" s="1"/>
  <c r="R96" i="3"/>
  <c r="S96" i="3" s="1"/>
  <c r="T96" i="3" s="1"/>
  <c r="Q97" i="3"/>
  <c r="R97" i="3" s="1"/>
  <c r="S97" i="3" s="1"/>
  <c r="T97" i="3" s="1"/>
  <c r="R95" i="3"/>
  <c r="S95" i="3" s="1"/>
  <c r="T95" i="3" s="1"/>
  <c r="Q94" i="3"/>
  <c r="R94" i="3" s="1"/>
  <c r="S94" i="3" s="1"/>
  <c r="T94" i="3" s="1"/>
  <c r="Q85" i="3"/>
  <c r="P100" i="3"/>
  <c r="Q100" i="3" s="1"/>
  <c r="R100" i="3" s="1"/>
  <c r="S100" i="3" s="1"/>
  <c r="T100" i="3" s="1"/>
  <c r="Q102" i="3"/>
  <c r="R102" i="3" s="1"/>
  <c r="S102" i="3" s="1"/>
  <c r="T102" i="3" s="1"/>
  <c r="Q89" i="3"/>
  <c r="R89" i="3" s="1"/>
  <c r="S89" i="3" s="1"/>
  <c r="T89" i="3" s="1"/>
  <c r="Q88" i="3"/>
  <c r="R88" i="3" s="1"/>
  <c r="S88" i="3" s="1"/>
  <c r="T88" i="3" s="1"/>
  <c r="K84" i="3"/>
  <c r="H87" i="3"/>
  <c r="U4" i="5"/>
  <c r="AA4" i="5" s="1"/>
  <c r="Q5" i="5"/>
  <c r="R5" i="5" s="1"/>
  <c r="K89" i="3"/>
  <c r="K90" i="3"/>
  <c r="K86" i="3"/>
  <c r="K85" i="3"/>
  <c r="K92" i="3"/>
  <c r="K93" i="3"/>
  <c r="P88" i="3"/>
  <c r="P93" i="3"/>
  <c r="Q93" i="3" s="1"/>
  <c r="R93" i="3" s="1"/>
  <c r="S93" i="3" s="1"/>
  <c r="T93" i="3" s="1"/>
  <c r="P97" i="3"/>
  <c r="P101" i="3"/>
  <c r="Q101" i="3" s="1"/>
  <c r="R101" i="3" s="1"/>
  <c r="S101" i="3" s="1"/>
  <c r="T101" i="3" s="1"/>
  <c r="P92" i="3"/>
  <c r="Q92" i="3" s="1"/>
  <c r="R92" i="3" s="1"/>
  <c r="S92" i="3" s="1"/>
  <c r="T92" i="3" s="1"/>
  <c r="P91" i="3"/>
  <c r="Q91" i="3" s="1"/>
  <c r="R91" i="3" s="1"/>
  <c r="S91" i="3" s="1"/>
  <c r="T91" i="3" s="1"/>
  <c r="O18" i="4"/>
  <c r="O90" i="4"/>
  <c r="O79" i="4"/>
  <c r="O43" i="4"/>
  <c r="U3" i="4"/>
  <c r="O7" i="4"/>
  <c r="O91" i="4"/>
  <c r="O19" i="4"/>
  <c r="O78" i="4"/>
  <c r="O6" i="4"/>
  <c r="O67" i="4"/>
  <c r="O66" i="4"/>
  <c r="O55" i="4"/>
  <c r="O54" i="4"/>
  <c r="O42" i="4"/>
  <c r="O3" i="4"/>
  <c r="O31" i="4"/>
  <c r="O102" i="4"/>
  <c r="P40" i="4" s="1"/>
  <c r="O30" i="4"/>
  <c r="O101" i="4"/>
  <c r="O89" i="4"/>
  <c r="O77" i="4"/>
  <c r="O65" i="4"/>
  <c r="O53" i="4"/>
  <c r="O41" i="4"/>
  <c r="O29" i="4"/>
  <c r="O17" i="4"/>
  <c r="O5" i="4"/>
  <c r="O100" i="4"/>
  <c r="O88" i="4"/>
  <c r="O76" i="4"/>
  <c r="O64" i="4"/>
  <c r="O52" i="4"/>
  <c r="O40" i="4"/>
  <c r="O28" i="4"/>
  <c r="O16" i="4"/>
  <c r="O4" i="4"/>
  <c r="O99" i="4"/>
  <c r="O87" i="4"/>
  <c r="O75" i="4"/>
  <c r="O63" i="4"/>
  <c r="O51" i="4"/>
  <c r="O39" i="4"/>
  <c r="O27" i="4"/>
  <c r="O15" i="4"/>
  <c r="O98" i="4"/>
  <c r="O86" i="4"/>
  <c r="O74" i="4"/>
  <c r="O62" i="4"/>
  <c r="O50" i="4"/>
  <c r="O38" i="4"/>
  <c r="O26" i="4"/>
  <c r="O14" i="4"/>
  <c r="O97" i="4"/>
  <c r="O85" i="4"/>
  <c r="O73" i="4"/>
  <c r="O61" i="4"/>
  <c r="O49" i="4"/>
  <c r="O37" i="4"/>
  <c r="O25" i="4"/>
  <c r="O13" i="4"/>
  <c r="O96" i="4"/>
  <c r="O84" i="4"/>
  <c r="O72" i="4"/>
  <c r="O60" i="4"/>
  <c r="O48" i="4"/>
  <c r="O36" i="4"/>
  <c r="O24" i="4"/>
  <c r="O12" i="4"/>
  <c r="O95" i="4"/>
  <c r="O83" i="4"/>
  <c r="O71" i="4"/>
  <c r="O59" i="4"/>
  <c r="O47" i="4"/>
  <c r="O35" i="4"/>
  <c r="O23" i="4"/>
  <c r="O11" i="4"/>
  <c r="O94" i="4"/>
  <c r="O82" i="4"/>
  <c r="O70" i="4"/>
  <c r="O58" i="4"/>
  <c r="O46" i="4"/>
  <c r="O34" i="4"/>
  <c r="O22" i="4"/>
  <c r="O10" i="4"/>
  <c r="O93" i="4"/>
  <c r="O81" i="4"/>
  <c r="O69" i="4"/>
  <c r="O57" i="4"/>
  <c r="O45" i="4"/>
  <c r="O33" i="4"/>
  <c r="O21" i="4"/>
  <c r="O9" i="4"/>
  <c r="O92" i="4"/>
  <c r="O80" i="4"/>
  <c r="O68" i="4"/>
  <c r="O56" i="4"/>
  <c r="O44" i="4"/>
  <c r="O32" i="4"/>
  <c r="O20" i="4"/>
  <c r="L20" i="7" l="1"/>
  <c r="N19" i="7"/>
  <c r="M19" i="7"/>
  <c r="O19" i="7"/>
  <c r="R85" i="3"/>
  <c r="S85" i="3" s="1"/>
  <c r="T85" i="3" s="1"/>
  <c r="I87" i="3"/>
  <c r="J87" i="3" s="1"/>
  <c r="K87" i="3" s="1"/>
  <c r="P57" i="4"/>
  <c r="V4" i="5"/>
  <c r="P92" i="4"/>
  <c r="T5" i="5"/>
  <c r="Z5" i="5" s="1"/>
  <c r="Z3" i="5" s="1"/>
  <c r="P45" i="4"/>
  <c r="P10" i="4"/>
  <c r="P27" i="4"/>
  <c r="P39" i="4"/>
  <c r="P64" i="4"/>
  <c r="P17" i="4"/>
  <c r="P6" i="4"/>
  <c r="P19" i="4"/>
  <c r="P69" i="4"/>
  <c r="P52" i="4"/>
  <c r="P29" i="4"/>
  <c r="P18" i="4"/>
  <c r="P62" i="4"/>
  <c r="P66" i="4"/>
  <c r="P51" i="4"/>
  <c r="P99" i="4"/>
  <c r="P65" i="4"/>
  <c r="P74" i="4"/>
  <c r="P5" i="4"/>
  <c r="P76" i="4"/>
  <c r="P98" i="4"/>
  <c r="P53" i="4"/>
  <c r="P24" i="4"/>
  <c r="P36" i="4"/>
  <c r="P7" i="4"/>
  <c r="P86" i="4"/>
  <c r="P97" i="4"/>
  <c r="P88" i="4"/>
  <c r="P33" i="4"/>
  <c r="P77" i="4"/>
  <c r="P78" i="4"/>
  <c r="P31" i="4"/>
  <c r="P25" i="4"/>
  <c r="P90" i="4"/>
  <c r="P48" i="4"/>
  <c r="P37" i="4"/>
  <c r="P84" i="4"/>
  <c r="P60" i="4"/>
  <c r="P13" i="4"/>
  <c r="P14" i="4"/>
  <c r="P38" i="4"/>
  <c r="P72" i="4"/>
  <c r="P49" i="4"/>
  <c r="P96" i="4"/>
  <c r="P61" i="4"/>
  <c r="P73" i="4"/>
  <c r="P85" i="4"/>
  <c r="P50" i="4"/>
  <c r="P6" i="5"/>
  <c r="U5" i="5"/>
  <c r="P102" i="4"/>
  <c r="Q28" i="4" s="1"/>
  <c r="P26" i="4"/>
  <c r="P43" i="4"/>
  <c r="P55" i="4"/>
  <c r="P12" i="4"/>
  <c r="P11" i="4"/>
  <c r="P23" i="4"/>
  <c r="P35" i="4"/>
  <c r="P47" i="4"/>
  <c r="P59" i="4"/>
  <c r="P71" i="4"/>
  <c r="P83" i="4"/>
  <c r="P95" i="4"/>
  <c r="P81" i="4"/>
  <c r="P22" i="4"/>
  <c r="P15" i="4"/>
  <c r="P100" i="4"/>
  <c r="P41" i="4"/>
  <c r="P67" i="4"/>
  <c r="P8" i="4"/>
  <c r="P93" i="4"/>
  <c r="P34" i="4"/>
  <c r="P79" i="4"/>
  <c r="P20" i="4"/>
  <c r="P46" i="4"/>
  <c r="P91" i="4"/>
  <c r="P32" i="4"/>
  <c r="P58" i="4"/>
  <c r="P3" i="4"/>
  <c r="P44" i="4"/>
  <c r="P70" i="4"/>
  <c r="P63" i="4"/>
  <c r="P4" i="4"/>
  <c r="P89" i="4"/>
  <c r="P30" i="4"/>
  <c r="P56" i="4"/>
  <c r="P82" i="4"/>
  <c r="P75" i="4"/>
  <c r="P16" i="4"/>
  <c r="P101" i="4"/>
  <c r="P42" i="4"/>
  <c r="P68" i="4"/>
  <c r="P9" i="4"/>
  <c r="P94" i="4"/>
  <c r="P87" i="4"/>
  <c r="P28" i="4"/>
  <c r="P54" i="4"/>
  <c r="P80" i="4"/>
  <c r="P21" i="4"/>
  <c r="Q4" i="4"/>
  <c r="Q29" i="4"/>
  <c r="Q41" i="4"/>
  <c r="Q54" i="4"/>
  <c r="Q66" i="4"/>
  <c r="Q25" i="4"/>
  <c r="Q37" i="4"/>
  <c r="Q49" i="4"/>
  <c r="Q62" i="4"/>
  <c r="Q74" i="4"/>
  <c r="C3" i="4"/>
  <c r="E44" i="1" a="1"/>
  <c r="E16" i="1" a="1"/>
  <c r="E24" i="1" a="1"/>
  <c r="E20" i="1" a="1"/>
  <c r="E22" i="1" a="1"/>
  <c r="E36" i="1" a="1"/>
  <c r="E6" i="1" a="1"/>
  <c r="E30" i="1" a="1"/>
  <c r="E14" i="1" a="1"/>
  <c r="E10" i="1" a="1"/>
  <c r="E8" i="1" a="1"/>
  <c r="E34" i="1" a="1"/>
  <c r="E40" i="1" a="1"/>
  <c r="E32" i="1" a="1"/>
  <c r="E42" i="1" a="1"/>
  <c r="E12" i="1" a="1"/>
  <c r="E26" i="1" a="1"/>
  <c r="E28" i="1" a="1"/>
  <c r="E38" i="1" a="1"/>
  <c r="L21" i="7" l="1"/>
  <c r="N20" i="7"/>
  <c r="O20" i="7"/>
  <c r="M20" i="7"/>
  <c r="Q12" i="4"/>
  <c r="Q39" i="4"/>
  <c r="Q95" i="4"/>
  <c r="Q82" i="4"/>
  <c r="Q58" i="4"/>
  <c r="Q79" i="4"/>
  <c r="Q33" i="4"/>
  <c r="Q91" i="4"/>
  <c r="AC4" i="5"/>
  <c r="Q86" i="4"/>
  <c r="Q21" i="4"/>
  <c r="Q70" i="4"/>
  <c r="Q45" i="4"/>
  <c r="Q3" i="4"/>
  <c r="Q78" i="4"/>
  <c r="Q53" i="4"/>
  <c r="Q16" i="4"/>
  <c r="Q13" i="4"/>
  <c r="Q17" i="4"/>
  <c r="Q87" i="4"/>
  <c r="Q6" i="5"/>
  <c r="R6" i="5" s="1"/>
  <c r="V5" i="5"/>
  <c r="AA5" i="5"/>
  <c r="Q92" i="4"/>
  <c r="Q59" i="4"/>
  <c r="Q22" i="4"/>
  <c r="Q80" i="4"/>
  <c r="Q43" i="4"/>
  <c r="Q18" i="4"/>
  <c r="Q100" i="4"/>
  <c r="Q50" i="4"/>
  <c r="Q67" i="4"/>
  <c r="Q38" i="4"/>
  <c r="Q55" i="4"/>
  <c r="Q10" i="4"/>
  <c r="Q31" i="4"/>
  <c r="Q6" i="4"/>
  <c r="Q88" i="4"/>
  <c r="Q42" i="4"/>
  <c r="Q71" i="4"/>
  <c r="Q96" i="4"/>
  <c r="Q47" i="4"/>
  <c r="Q63" i="4"/>
  <c r="Q27" i="4"/>
  <c r="Q76" i="4"/>
  <c r="Q97" i="4"/>
  <c r="Q44" i="4"/>
  <c r="Q7" i="4"/>
  <c r="Q101" i="4"/>
  <c r="Q64" i="4"/>
  <c r="Q46" i="4"/>
  <c r="Q34" i="4"/>
  <c r="Q26" i="4"/>
  <c r="Q84" i="4"/>
  <c r="Q35" i="4"/>
  <c r="Q85" i="4"/>
  <c r="Q99" i="4"/>
  <c r="Q52" i="4"/>
  <c r="Q9" i="4"/>
  <c r="Q5" i="4"/>
  <c r="Q14" i="4"/>
  <c r="Q75" i="4"/>
  <c r="Q56" i="4"/>
  <c r="Q60" i="4"/>
  <c r="Q23" i="4"/>
  <c r="Q11" i="4"/>
  <c r="Q81" i="4"/>
  <c r="Q89" i="4"/>
  <c r="Q51" i="4"/>
  <c r="Q73" i="4"/>
  <c r="Q36" i="4"/>
  <c r="Q15" i="4"/>
  <c r="Q69" i="4"/>
  <c r="Q20" i="4"/>
  <c r="Q102" i="4"/>
  <c r="Q77" i="4"/>
  <c r="Q40" i="4"/>
  <c r="Q83" i="4"/>
  <c r="Q30" i="4"/>
  <c r="Q68" i="4"/>
  <c r="Q72" i="4"/>
  <c r="Q19" i="4"/>
  <c r="Q93" i="4"/>
  <c r="Q48" i="4"/>
  <c r="Q32" i="4"/>
  <c r="Q98" i="4"/>
  <c r="Q61" i="4"/>
  <c r="Q24" i="4"/>
  <c r="Q94" i="4"/>
  <c r="Q57" i="4"/>
  <c r="Q8" i="4"/>
  <c r="Q90" i="4"/>
  <c r="Q65" i="4"/>
  <c r="E20" i="1"/>
  <c r="E30" i="1"/>
  <c r="E16" i="1"/>
  <c r="E14" i="1"/>
  <c r="E44" i="1"/>
  <c r="E40" i="1"/>
  <c r="E28" i="1"/>
  <c r="E42" i="1"/>
  <c r="E12" i="1"/>
  <c r="E38" i="1"/>
  <c r="E26" i="1"/>
  <c r="E10" i="1"/>
  <c r="E36" i="1"/>
  <c r="E24" i="1"/>
  <c r="E8" i="1"/>
  <c r="E34" i="1"/>
  <c r="E22" i="1"/>
  <c r="E32" i="1"/>
  <c r="E6" i="1"/>
  <c r="H45" i="1"/>
  <c r="I45" i="1"/>
  <c r="M21" i="7" l="1"/>
  <c r="L22" i="7"/>
  <c r="N21" i="7"/>
  <c r="O21" i="7"/>
  <c r="AC5" i="5"/>
  <c r="P7" i="5"/>
  <c r="U6" i="5"/>
  <c r="T6" i="5"/>
  <c r="Z6" i="5" s="1"/>
  <c r="J45" i="1"/>
  <c r="H46" i="3"/>
  <c r="O76" i="3"/>
  <c r="O75" i="3"/>
  <c r="O74" i="3"/>
  <c r="O73" i="3"/>
  <c r="O72" i="3"/>
  <c r="O71" i="3"/>
  <c r="O70" i="3"/>
  <c r="P71" i="3" s="1"/>
  <c r="O69" i="3"/>
  <c r="O68" i="3"/>
  <c r="O67" i="3"/>
  <c r="O66" i="3"/>
  <c r="O65" i="3"/>
  <c r="O64" i="3"/>
  <c r="O63" i="3"/>
  <c r="O62" i="3"/>
  <c r="O61" i="3"/>
  <c r="O60" i="3"/>
  <c r="O59" i="3"/>
  <c r="P60" i="3" s="1"/>
  <c r="O58" i="3"/>
  <c r="O57" i="3"/>
  <c r="Q57" i="3" s="1"/>
  <c r="R57" i="3" s="1"/>
  <c r="G60" i="3"/>
  <c r="G62" i="3"/>
  <c r="G63" i="3"/>
  <c r="G64" i="3"/>
  <c r="G65" i="3"/>
  <c r="G66" i="3"/>
  <c r="G58" i="3"/>
  <c r="Z46" i="3"/>
  <c r="Z47" i="3" s="1"/>
  <c r="Z48" i="3" s="1"/>
  <c r="Y46" i="3"/>
  <c r="Y47" i="3" s="1"/>
  <c r="Y48" i="3" s="1"/>
  <c r="AF42" i="3"/>
  <c r="AF41" i="3"/>
  <c r="AC35" i="3"/>
  <c r="AD35" i="3" s="1"/>
  <c r="AC34" i="3"/>
  <c r="AD34" i="3" s="1"/>
  <c r="AD33" i="3"/>
  <c r="AC33" i="3"/>
  <c r="T17" i="3"/>
  <c r="S17" i="3"/>
  <c r="R17" i="3"/>
  <c r="Q17" i="3"/>
  <c r="P17" i="3"/>
  <c r="T13" i="3"/>
  <c r="S13" i="3"/>
  <c r="R13" i="3"/>
  <c r="Q13" i="3"/>
  <c r="P13" i="3"/>
  <c r="T7" i="3"/>
  <c r="T8" i="3" s="1"/>
  <c r="S7" i="3"/>
  <c r="S8" i="3" s="1"/>
  <c r="R7" i="3"/>
  <c r="R8" i="3" s="1"/>
  <c r="Q7" i="3"/>
  <c r="Q8" i="3" s="1"/>
  <c r="P7" i="3"/>
  <c r="P8" i="3" s="1"/>
  <c r="I74" i="3"/>
  <c r="I73" i="3"/>
  <c r="I72" i="3"/>
  <c r="T3" i="3"/>
  <c r="T4" i="3" s="1"/>
  <c r="S3" i="3"/>
  <c r="S4" i="3" s="1"/>
  <c r="R3" i="3"/>
  <c r="R4" i="3" s="1"/>
  <c r="Q3" i="3"/>
  <c r="Q4" i="3" s="1"/>
  <c r="P3" i="3"/>
  <c r="P4" i="3" s="1"/>
  <c r="N22" i="7" l="1"/>
  <c r="M22" i="7"/>
  <c r="L23" i="7"/>
  <c r="O22" i="7"/>
  <c r="S57" i="3"/>
  <c r="T57" i="3" s="1"/>
  <c r="V6" i="5"/>
  <c r="AA6" i="5"/>
  <c r="Q7" i="5"/>
  <c r="R7" i="5" s="1"/>
  <c r="T7" i="5"/>
  <c r="Z7" i="5" s="1"/>
  <c r="Q71" i="3"/>
  <c r="R71" i="3" s="1"/>
  <c r="R14" i="3"/>
  <c r="Q60" i="3"/>
  <c r="R60" i="3" s="1"/>
  <c r="P70" i="3"/>
  <c r="Q70" i="3" s="1"/>
  <c r="R70" i="3" s="1"/>
  <c r="P76" i="3"/>
  <c r="Q76" i="3" s="1"/>
  <c r="R76" i="3" s="1"/>
  <c r="P75" i="3"/>
  <c r="Q75" i="3" s="1"/>
  <c r="R75" i="3" s="1"/>
  <c r="P72" i="3"/>
  <c r="Q72" i="3" s="1"/>
  <c r="R72" i="3" s="1"/>
  <c r="H58" i="3"/>
  <c r="H60" i="3"/>
  <c r="P64" i="3"/>
  <c r="Q64" i="3" s="1"/>
  <c r="R64" i="3" s="1"/>
  <c r="P63" i="3"/>
  <c r="Q63" i="3" s="1"/>
  <c r="R63" i="3" s="1"/>
  <c r="P74" i="3"/>
  <c r="Q74" i="3" s="1"/>
  <c r="R74" i="3" s="1"/>
  <c r="P62" i="3"/>
  <c r="Q62" i="3" s="1"/>
  <c r="R62" i="3" s="1"/>
  <c r="P73" i="3"/>
  <c r="Q73" i="3" s="1"/>
  <c r="R73" i="3" s="1"/>
  <c r="P61" i="3"/>
  <c r="Q61" i="3" s="1"/>
  <c r="R61" i="3" s="1"/>
  <c r="P59" i="3"/>
  <c r="Q59" i="3" s="1"/>
  <c r="R59" i="3" s="1"/>
  <c r="H66" i="3"/>
  <c r="H65" i="3"/>
  <c r="R18" i="3"/>
  <c r="P69" i="3"/>
  <c r="Q69" i="3" s="1"/>
  <c r="R69" i="3" s="1"/>
  <c r="H64" i="3"/>
  <c r="I64" i="3" s="1"/>
  <c r="P68" i="3"/>
  <c r="Q68" i="3" s="1"/>
  <c r="R68" i="3" s="1"/>
  <c r="H63" i="3"/>
  <c r="I63" i="3" s="1"/>
  <c r="G61" i="3"/>
  <c r="H61" i="3" s="1"/>
  <c r="P67" i="3"/>
  <c r="Q67" i="3" s="1"/>
  <c r="R67" i="3" s="1"/>
  <c r="H62" i="3"/>
  <c r="P66" i="3"/>
  <c r="Q66" i="3" s="1"/>
  <c r="R66" i="3" s="1"/>
  <c r="P58" i="3"/>
  <c r="Q58" i="3" s="1"/>
  <c r="R58" i="3" s="1"/>
  <c r="P65" i="3"/>
  <c r="Q65" i="3" s="1"/>
  <c r="R65" i="3" s="1"/>
  <c r="I75" i="3"/>
  <c r="G59" i="3"/>
  <c r="H59" i="3" s="1"/>
  <c r="I59" i="3" s="1"/>
  <c r="H57" i="3"/>
  <c r="P18" i="3"/>
  <c r="Q18" i="3"/>
  <c r="S18" i="3"/>
  <c r="T14" i="3"/>
  <c r="P14" i="3"/>
  <c r="T18" i="3"/>
  <c r="Q14" i="3"/>
  <c r="S14" i="3"/>
  <c r="E5" i="1" a="1"/>
  <c r="E35" i="1" a="1"/>
  <c r="E13" i="1" a="1"/>
  <c r="E37" i="1" a="1"/>
  <c r="E29" i="1" a="1"/>
  <c r="E9" i="1" a="1"/>
  <c r="E27" i="1" a="1"/>
  <c r="E39" i="1" a="1"/>
  <c r="E15" i="1" a="1"/>
  <c r="E23" i="1" a="1"/>
  <c r="E33" i="1" a="1"/>
  <c r="E19" i="1" a="1"/>
  <c r="E11" i="1" a="1"/>
  <c r="E25" i="1" a="1"/>
  <c r="E18" i="1" a="1"/>
  <c r="E41" i="1" a="1"/>
  <c r="E31" i="1" a="1"/>
  <c r="E17" i="1" a="1"/>
  <c r="E43" i="1" a="1"/>
  <c r="E7" i="1" a="1"/>
  <c r="E21" i="1" a="1"/>
  <c r="O23" i="7" l="1"/>
  <c r="N23" i="7"/>
  <c r="M23" i="7"/>
  <c r="L24" i="7"/>
  <c r="S76" i="3"/>
  <c r="T76" i="3" s="1"/>
  <c r="S70" i="3"/>
  <c r="T70" i="3" s="1"/>
  <c r="S73" i="3"/>
  <c r="T73" i="3" s="1"/>
  <c r="S65" i="3"/>
  <c r="T65" i="3" s="1"/>
  <c r="S71" i="3"/>
  <c r="T71" i="3" s="1"/>
  <c r="S75" i="3"/>
  <c r="T75" i="3" s="1"/>
  <c r="S61" i="3"/>
  <c r="T61" i="3" s="1"/>
  <c r="T74" i="3"/>
  <c r="S74" i="3"/>
  <c r="S59" i="3"/>
  <c r="T59" i="3" s="1"/>
  <c r="S62" i="3"/>
  <c r="T62" i="3" s="1"/>
  <c r="S63" i="3"/>
  <c r="T63" i="3" s="1"/>
  <c r="S60" i="3"/>
  <c r="T60" i="3" s="1"/>
  <c r="U61" i="3" s="1"/>
  <c r="S68" i="3"/>
  <c r="T68" i="3" s="1"/>
  <c r="S64" i="3"/>
  <c r="T64" i="3" s="1"/>
  <c r="S58" i="3"/>
  <c r="T58" i="3" s="1"/>
  <c r="S67" i="3"/>
  <c r="T67" i="3" s="1"/>
  <c r="S69" i="3"/>
  <c r="T69" i="3" s="1"/>
  <c r="S66" i="3"/>
  <c r="T66" i="3" s="1"/>
  <c r="S72" i="3"/>
  <c r="T72" i="3" s="1"/>
  <c r="AC6" i="5"/>
  <c r="P8" i="5"/>
  <c r="U7" i="5"/>
  <c r="J59" i="3"/>
  <c r="K59" i="3" s="1"/>
  <c r="J64" i="3"/>
  <c r="K64" i="3" s="1"/>
  <c r="J63" i="3"/>
  <c r="K63" i="3" s="1"/>
  <c r="I61" i="3"/>
  <c r="I62" i="3"/>
  <c r="I58" i="3"/>
  <c r="I66" i="3"/>
  <c r="I57" i="3"/>
  <c r="I65" i="3"/>
  <c r="I60" i="3"/>
  <c r="E23" i="1"/>
  <c r="E43" i="1"/>
  <c r="E19" i="1"/>
  <c r="E39" i="1"/>
  <c r="E15" i="1"/>
  <c r="E35" i="1"/>
  <c r="E11" i="1"/>
  <c r="E27" i="1"/>
  <c r="E31" i="1"/>
  <c r="E7" i="1"/>
  <c r="E18" i="1"/>
  <c r="E25" i="1"/>
  <c r="E33" i="1"/>
  <c r="E41" i="1"/>
  <c r="E17" i="1"/>
  <c r="F17" i="1" s="1"/>
  <c r="E37" i="1"/>
  <c r="E29" i="1"/>
  <c r="E21" i="1"/>
  <c r="E13" i="1"/>
  <c r="E9" i="1"/>
  <c r="E5" i="1"/>
  <c r="O24" i="7" l="1"/>
  <c r="L25" i="7"/>
  <c r="M24" i="7"/>
  <c r="N24" i="7"/>
  <c r="V7" i="5"/>
  <c r="AA7" i="5"/>
  <c r="Q8" i="5"/>
  <c r="R8" i="5" s="1"/>
  <c r="J57" i="3"/>
  <c r="K57" i="3" s="1"/>
  <c r="J65" i="3"/>
  <c r="K65" i="3" s="1"/>
  <c r="J58" i="3"/>
  <c r="K58" i="3" s="1"/>
  <c r="J62" i="3"/>
  <c r="K62" i="3" s="1"/>
  <c r="J61" i="3"/>
  <c r="K61" i="3" s="1"/>
  <c r="J66" i="3"/>
  <c r="K66" i="3" s="1"/>
  <c r="J60" i="3"/>
  <c r="K60" i="3" s="1"/>
  <c r="F18" i="1"/>
  <c r="H18" i="1" s="1"/>
  <c r="F24" i="1"/>
  <c r="F23" i="1"/>
  <c r="F12" i="1"/>
  <c r="F11" i="1"/>
  <c r="F16" i="1"/>
  <c r="F15" i="1"/>
  <c r="F40" i="1"/>
  <c r="F39" i="1"/>
  <c r="F32" i="1"/>
  <c r="F31" i="1"/>
  <c r="F28" i="1"/>
  <c r="F27" i="1"/>
  <c r="F14" i="1"/>
  <c r="F13" i="1"/>
  <c r="H13" i="1" s="1"/>
  <c r="F22" i="1"/>
  <c r="F21" i="1"/>
  <c r="F20" i="1"/>
  <c r="F19" i="1"/>
  <c r="F34" i="1"/>
  <c r="F33" i="1"/>
  <c r="F26" i="1"/>
  <c r="F25" i="1"/>
  <c r="F8" i="1"/>
  <c r="F7" i="1"/>
  <c r="F5" i="1"/>
  <c r="F6" i="1"/>
  <c r="F10" i="1"/>
  <c r="F9" i="1"/>
  <c r="F36" i="1"/>
  <c r="F35" i="1"/>
  <c r="F30" i="1"/>
  <c r="F29" i="1"/>
  <c r="F38" i="1"/>
  <c r="F37" i="1"/>
  <c r="F42" i="1"/>
  <c r="F41" i="1"/>
  <c r="F44" i="1"/>
  <c r="F43" i="1"/>
  <c r="H17" i="1"/>
  <c r="O25" i="7" l="1"/>
  <c r="N25" i="7"/>
  <c r="M25" i="7"/>
  <c r="L26" i="7"/>
  <c r="T8" i="5"/>
  <c r="Z8" i="5" s="1"/>
  <c r="AC7" i="5"/>
  <c r="P9" i="5"/>
  <c r="U8" i="5"/>
  <c r="H42" i="1"/>
  <c r="J42" i="1" s="1"/>
  <c r="H9" i="1"/>
  <c r="J9" i="1" s="1"/>
  <c r="H21" i="1"/>
  <c r="M21" i="1" s="1"/>
  <c r="H11" i="1"/>
  <c r="M11" i="1" s="1"/>
  <c r="H23" i="1"/>
  <c r="M23" i="1" s="1"/>
  <c r="H43" i="1"/>
  <c r="J43" i="1" s="1"/>
  <c r="H44" i="1"/>
  <c r="M44" i="1" s="1"/>
  <c r="M17" i="1"/>
  <c r="M18" i="1"/>
  <c r="M13" i="1"/>
  <c r="H28" i="1"/>
  <c r="H32" i="1"/>
  <c r="H39" i="1"/>
  <c r="H40" i="1"/>
  <c r="H31" i="1"/>
  <c r="J31" i="1" s="1"/>
  <c r="H8" i="1"/>
  <c r="H29" i="1"/>
  <c r="H34" i="1"/>
  <c r="H15" i="1"/>
  <c r="H36" i="1"/>
  <c r="H20" i="1"/>
  <c r="H16" i="1"/>
  <c r="H37" i="1"/>
  <c r="H33" i="1"/>
  <c r="H25" i="1"/>
  <c r="H38" i="1"/>
  <c r="H30" i="1"/>
  <c r="H35" i="1"/>
  <c r="H19" i="1"/>
  <c r="H12" i="1"/>
  <c r="H22" i="1"/>
  <c r="H5" i="1"/>
  <c r="H14" i="1"/>
  <c r="H24" i="1"/>
  <c r="H26" i="1"/>
  <c r="H10" i="1"/>
  <c r="H6" i="1"/>
  <c r="H41" i="1"/>
  <c r="H7" i="1"/>
  <c r="H27" i="1"/>
  <c r="C16" i="4"/>
  <c r="C12" i="4"/>
  <c r="C17" i="4"/>
  <c r="J18" i="1"/>
  <c r="J17" i="1"/>
  <c r="J13" i="1"/>
  <c r="N26" i="7" l="1"/>
  <c r="M26" i="7"/>
  <c r="O26" i="7"/>
  <c r="L27" i="7"/>
  <c r="V8" i="5"/>
  <c r="AA8" i="5"/>
  <c r="Q9" i="5"/>
  <c r="R9" i="5" s="1"/>
  <c r="T9" i="5"/>
  <c r="Z9" i="5" s="1"/>
  <c r="M9" i="1"/>
  <c r="C8" i="4"/>
  <c r="C20" i="4"/>
  <c r="J21" i="1"/>
  <c r="M42" i="1"/>
  <c r="C10" i="4"/>
  <c r="C30" i="4"/>
  <c r="J44" i="1"/>
  <c r="J23" i="1"/>
  <c r="C22" i="4"/>
  <c r="J11" i="1"/>
  <c r="M43" i="1"/>
  <c r="J10" i="1"/>
  <c r="J28" i="1"/>
  <c r="C31" i="4"/>
  <c r="J40" i="1"/>
  <c r="J32" i="1"/>
  <c r="C27" i="4"/>
  <c r="M41" i="1"/>
  <c r="M32" i="1"/>
  <c r="M25" i="1"/>
  <c r="M26" i="1"/>
  <c r="M37" i="1"/>
  <c r="M28" i="1"/>
  <c r="M39" i="1"/>
  <c r="M24" i="1"/>
  <c r="M16" i="1"/>
  <c r="M14" i="1"/>
  <c r="M20" i="1"/>
  <c r="M38" i="1"/>
  <c r="M6" i="1"/>
  <c r="J25" i="1"/>
  <c r="J41" i="1"/>
  <c r="M36" i="1"/>
  <c r="M33" i="1"/>
  <c r="C24" i="4"/>
  <c r="M22" i="1"/>
  <c r="M15" i="1"/>
  <c r="J39" i="1"/>
  <c r="M12" i="1"/>
  <c r="M34" i="1"/>
  <c r="M19" i="1"/>
  <c r="M29" i="1"/>
  <c r="M27" i="1"/>
  <c r="M35" i="1"/>
  <c r="M8" i="1"/>
  <c r="M40" i="1"/>
  <c r="M10" i="1"/>
  <c r="C32" i="4"/>
  <c r="M7" i="1"/>
  <c r="M30" i="1"/>
  <c r="M31" i="1"/>
  <c r="J24" i="1"/>
  <c r="J16" i="1"/>
  <c r="J36" i="1"/>
  <c r="C14" i="4"/>
  <c r="C4" i="4"/>
  <c r="J12" i="1"/>
  <c r="J34" i="1"/>
  <c r="J19" i="1"/>
  <c r="C26" i="4"/>
  <c r="J35" i="1"/>
  <c r="C7" i="4"/>
  <c r="C6" i="4"/>
  <c r="J30" i="1"/>
  <c r="C13" i="4"/>
  <c r="J20" i="1"/>
  <c r="J22" i="1"/>
  <c r="J6" i="1"/>
  <c r="C9" i="4"/>
  <c r="J33" i="1"/>
  <c r="J29" i="1"/>
  <c r="J38" i="1"/>
  <c r="J26" i="1"/>
  <c r="J37" i="1"/>
  <c r="C5" i="4"/>
  <c r="C29" i="4"/>
  <c r="C28" i="4"/>
  <c r="C11" i="4"/>
  <c r="J15" i="1"/>
  <c r="J27" i="1"/>
  <c r="J7" i="1"/>
  <c r="J14" i="1"/>
  <c r="J5" i="1"/>
  <c r="C21" i="4"/>
  <c r="C15" i="4"/>
  <c r="C23" i="4"/>
  <c r="C19" i="4"/>
  <c r="C25" i="4"/>
  <c r="C18" i="4"/>
  <c r="J8" i="1"/>
  <c r="O27" i="7" l="1"/>
  <c r="N27" i="7"/>
  <c r="L28" i="7"/>
  <c r="M27" i="7"/>
  <c r="AC8" i="5"/>
  <c r="P10" i="5"/>
  <c r="U9" i="5"/>
  <c r="O28" i="7" l="1"/>
  <c r="N28" i="7"/>
  <c r="L29" i="7"/>
  <c r="M28" i="7"/>
  <c r="V9" i="5"/>
  <c r="AA9" i="5"/>
  <c r="Q10" i="5"/>
  <c r="R10" i="5" s="1"/>
  <c r="O29" i="7" l="1"/>
  <c r="N29" i="7"/>
  <c r="L30" i="7"/>
  <c r="M29" i="7"/>
  <c r="T10" i="5"/>
  <c r="Z10" i="5" s="1"/>
  <c r="AC9" i="5"/>
  <c r="P11" i="5"/>
  <c r="U10" i="5"/>
  <c r="O30" i="7" l="1"/>
  <c r="N30" i="7"/>
  <c r="L31" i="7"/>
  <c r="M30" i="7"/>
  <c r="AA10" i="5"/>
  <c r="V10" i="5"/>
  <c r="Q11" i="5"/>
  <c r="R11" i="5" s="1"/>
  <c r="L32" i="7" l="1"/>
  <c r="O31" i="7"/>
  <c r="N31" i="7"/>
  <c r="M31" i="7"/>
  <c r="AC10" i="5"/>
  <c r="P12" i="5"/>
  <c r="U11" i="5"/>
  <c r="T11" i="5"/>
  <c r="Z11" i="5" s="1"/>
  <c r="L33" i="7" l="1"/>
  <c r="M32" i="7"/>
  <c r="O32" i="7"/>
  <c r="N32" i="7"/>
  <c r="AA11" i="5"/>
  <c r="V11" i="5"/>
  <c r="Q12" i="5"/>
  <c r="R12" i="5" s="1"/>
  <c r="O33" i="7" l="1"/>
  <c r="N33" i="7"/>
  <c r="M33" i="7"/>
  <c r="L34" i="7"/>
  <c r="AC11" i="5"/>
  <c r="P13" i="5"/>
  <c r="U12" i="5"/>
  <c r="T12" i="5"/>
  <c r="Z12" i="5" s="1"/>
  <c r="L35" i="7" l="1"/>
  <c r="O34" i="7"/>
  <c r="N34" i="7"/>
  <c r="M34" i="7"/>
  <c r="AA12" i="5"/>
  <c r="V12" i="5"/>
  <c r="Q13" i="5"/>
  <c r="R13" i="5" s="1"/>
  <c r="O35" i="7" l="1"/>
  <c r="N35" i="7"/>
  <c r="M35" i="7"/>
  <c r="L36" i="7"/>
  <c r="AC12" i="5"/>
  <c r="P14" i="5"/>
  <c r="U13" i="5"/>
  <c r="T13" i="5"/>
  <c r="Z13" i="5" s="1"/>
  <c r="O36" i="7" l="1"/>
  <c r="M36" i="7"/>
  <c r="N36" i="7"/>
  <c r="AA13" i="5"/>
  <c r="V13" i="5"/>
  <c r="Q14" i="5"/>
  <c r="R14" i="5" s="1"/>
  <c r="AC13" i="5" l="1"/>
  <c r="T14" i="5"/>
  <c r="Z14" i="5" s="1"/>
  <c r="P15" i="5"/>
  <c r="U14" i="5"/>
  <c r="AA14" i="5" l="1"/>
  <c r="V14" i="5"/>
  <c r="Q15" i="5"/>
  <c r="R15" i="5" s="1"/>
  <c r="AC14" i="5" l="1"/>
  <c r="P16" i="5"/>
  <c r="U15" i="5"/>
  <c r="T15" i="5"/>
  <c r="Z15" i="5" s="1"/>
  <c r="V15" i="5" l="1"/>
  <c r="AA15" i="5"/>
  <c r="Q16" i="5"/>
  <c r="R16" i="5" s="1"/>
  <c r="AC15" i="5" l="1"/>
  <c r="P17" i="5"/>
  <c r="U16" i="5"/>
  <c r="T16" i="5"/>
  <c r="Z16" i="5" s="1"/>
  <c r="V16" i="5" l="1"/>
  <c r="AA16" i="5"/>
  <c r="Q17" i="5"/>
  <c r="R17" i="5" s="1"/>
  <c r="AC16" i="5" l="1"/>
  <c r="T17" i="5"/>
  <c r="Z17" i="5" s="1"/>
  <c r="P18" i="5"/>
  <c r="U17" i="5"/>
  <c r="V17" i="5" l="1"/>
  <c r="AA17" i="5"/>
  <c r="Q18" i="5"/>
  <c r="R18" i="5" s="1"/>
  <c r="AC17" i="5" l="1"/>
  <c r="P19" i="5"/>
  <c r="U18" i="5"/>
  <c r="T18" i="5"/>
  <c r="Z18" i="5" s="1"/>
  <c r="V18" i="5" l="1"/>
  <c r="AA18" i="5"/>
  <c r="Q19" i="5"/>
  <c r="R19" i="5" s="1"/>
  <c r="AC18" i="5" l="1"/>
  <c r="T19" i="5"/>
  <c r="Z19" i="5" s="1"/>
  <c r="P20" i="5"/>
  <c r="U19" i="5"/>
  <c r="V19" i="5" l="1"/>
  <c r="AA19" i="5"/>
  <c r="Q20" i="5"/>
  <c r="R20" i="5" s="1"/>
  <c r="AC19" i="5" l="1"/>
  <c r="T20" i="5"/>
  <c r="Z20" i="5" s="1"/>
  <c r="P21" i="5"/>
  <c r="U20" i="5"/>
  <c r="V20" i="5" l="1"/>
  <c r="AA20" i="5"/>
  <c r="Q21" i="5"/>
  <c r="R21" i="5" s="1"/>
  <c r="T21" i="5"/>
  <c r="Z21" i="5" s="1"/>
  <c r="AC20" i="5" l="1"/>
  <c r="P22" i="5"/>
  <c r="U21" i="5"/>
  <c r="AA21" i="5" l="1"/>
  <c r="V21" i="5"/>
  <c r="Q22" i="5"/>
  <c r="R22" i="5" s="1"/>
  <c r="AC21" i="5" l="1"/>
  <c r="T22" i="5"/>
  <c r="Z22" i="5" s="1"/>
  <c r="P23" i="5"/>
  <c r="U22" i="5"/>
  <c r="AA22" i="5" l="1"/>
  <c r="V22" i="5"/>
  <c r="Q23" i="5"/>
  <c r="R23" i="5" s="1"/>
  <c r="P24" i="5" s="1"/>
  <c r="T23" i="5" l="1"/>
  <c r="Z23" i="5" s="1"/>
  <c r="Q24" i="5"/>
  <c r="R24" i="5" s="1"/>
  <c r="AC22" i="5"/>
  <c r="U23" i="5"/>
  <c r="AA23" i="5" s="1"/>
  <c r="V23" i="5" l="1"/>
  <c r="T24" i="5"/>
  <c r="Z24" i="5" s="1"/>
  <c r="AC23" i="5"/>
  <c r="P25" i="5"/>
  <c r="U24" i="5"/>
  <c r="V24" i="5" l="1"/>
  <c r="AA24" i="5"/>
  <c r="Q25" i="5"/>
  <c r="R25" i="5" s="1"/>
  <c r="T25" i="5" l="1"/>
  <c r="Z25" i="5" s="1"/>
  <c r="P26" i="5"/>
  <c r="U25" i="5"/>
  <c r="AC24" i="5"/>
  <c r="V25" i="5" l="1"/>
  <c r="AA25" i="5"/>
  <c r="Q26" i="5"/>
  <c r="R26" i="5" s="1"/>
  <c r="T26" i="5" l="1"/>
  <c r="Z26" i="5" s="1"/>
  <c r="P27" i="5"/>
  <c r="U26" i="5"/>
  <c r="AC25" i="5"/>
  <c r="V26" i="5" l="1"/>
  <c r="AA26" i="5"/>
  <c r="Q27" i="5"/>
  <c r="R27" i="5" s="1"/>
  <c r="T27" i="5"/>
  <c r="Z27" i="5" s="1"/>
  <c r="P28" i="5" l="1"/>
  <c r="U27" i="5"/>
  <c r="AC26" i="5"/>
  <c r="V27" i="5" l="1"/>
  <c r="AA27" i="5"/>
  <c r="Q28" i="5"/>
  <c r="R28" i="5" s="1"/>
  <c r="T28" i="5"/>
  <c r="Z28" i="5" s="1"/>
  <c r="P29" i="5" l="1"/>
  <c r="U28" i="5"/>
  <c r="AC27" i="5"/>
  <c r="AA28" i="5" l="1"/>
  <c r="V28" i="5"/>
  <c r="Q29" i="5"/>
  <c r="R29" i="5" s="1"/>
  <c r="T29" i="5"/>
  <c r="Z29" i="5" s="1"/>
  <c r="AC28" i="5" l="1"/>
  <c r="P30" i="5"/>
  <c r="U29" i="5"/>
  <c r="V29" i="5" l="1"/>
  <c r="AA29" i="5"/>
  <c r="Q30" i="5"/>
  <c r="R30" i="5" s="1"/>
  <c r="T30" i="5"/>
  <c r="Z30" i="5" s="1"/>
  <c r="P31" i="5" l="1"/>
  <c r="U30" i="5"/>
  <c r="AC29" i="5"/>
  <c r="V30" i="5" l="1"/>
  <c r="AA30" i="5"/>
  <c r="Q31" i="5"/>
  <c r="R31" i="5" s="1"/>
  <c r="T31" i="5"/>
  <c r="Z31" i="5" l="1"/>
  <c r="P32" i="5"/>
  <c r="U31" i="5"/>
  <c r="AA31" i="5" s="1"/>
  <c r="AC30" i="5"/>
  <c r="Q32" i="5" l="1"/>
  <c r="R32" i="5" s="1"/>
  <c r="T32" i="5"/>
  <c r="Z32" i="5" s="1"/>
  <c r="V31" i="5"/>
  <c r="AC31" i="5" l="1"/>
  <c r="P33" i="5"/>
  <c r="U32" i="5"/>
  <c r="AA32" i="5" l="1"/>
  <c r="V32" i="5"/>
  <c r="Q33" i="5"/>
  <c r="R33" i="5" s="1"/>
  <c r="T33" i="5"/>
  <c r="Z33" i="5" s="1"/>
  <c r="P34" i="5" l="1"/>
  <c r="U33" i="5"/>
  <c r="AC32" i="5"/>
  <c r="AA33" i="5" l="1"/>
  <c r="V33" i="5"/>
  <c r="Q34" i="5"/>
  <c r="R34" i="5" s="1"/>
  <c r="T34" i="5"/>
  <c r="Z34" i="5" s="1"/>
  <c r="P35" i="5" l="1"/>
  <c r="U34" i="5"/>
  <c r="AC33" i="5"/>
  <c r="V34" i="5" l="1"/>
  <c r="AA34" i="5"/>
  <c r="Q35" i="5"/>
  <c r="R35" i="5" s="1"/>
  <c r="T35" i="5"/>
  <c r="Z35" i="5" s="1"/>
  <c r="P36" i="5" l="1"/>
  <c r="U35" i="5"/>
  <c r="AC34" i="5"/>
  <c r="AA35" i="5" l="1"/>
  <c r="V35" i="5"/>
  <c r="Q36" i="5"/>
  <c r="R36" i="5" s="1"/>
  <c r="T36" i="5" l="1"/>
  <c r="Z36" i="5"/>
  <c r="P37" i="5"/>
  <c r="U36" i="5"/>
  <c r="AC35" i="5"/>
  <c r="V36" i="5" l="1"/>
  <c r="AA36" i="5"/>
  <c r="Q37" i="5"/>
  <c r="R37" i="5" s="1"/>
  <c r="T37" i="5"/>
  <c r="Z37" i="5" l="1"/>
  <c r="P38" i="5"/>
  <c r="U37" i="5"/>
  <c r="AC36" i="5"/>
  <c r="V37" i="5" l="1"/>
  <c r="AA37" i="5"/>
  <c r="Q38" i="5"/>
  <c r="R38" i="5" s="1"/>
  <c r="T38" i="5"/>
  <c r="Z38" i="5" l="1"/>
  <c r="P39" i="5"/>
  <c r="U38" i="5"/>
  <c r="AC37" i="5"/>
  <c r="Q39" i="5" l="1"/>
  <c r="R39" i="5" s="1"/>
  <c r="T39" i="5"/>
  <c r="V38" i="5"/>
  <c r="AA38" i="5"/>
  <c r="AC38" i="5" l="1"/>
  <c r="P40" i="5"/>
  <c r="U39" i="5"/>
  <c r="AA39" i="5" s="1"/>
  <c r="Z39" i="5" l="1"/>
  <c r="V39" i="5"/>
  <c r="AB39" i="5" s="1"/>
  <c r="Q40" i="5"/>
  <c r="R40" i="5" s="1"/>
  <c r="T40" i="5" l="1"/>
  <c r="P41" i="5"/>
  <c r="U40" i="5"/>
  <c r="AA40" i="5" s="1"/>
  <c r="Z40" i="5" l="1"/>
  <c r="V40" i="5"/>
  <c r="AB40" i="5" s="1"/>
  <c r="Q41" i="5"/>
  <c r="R41" i="5" s="1"/>
  <c r="U41" i="5" s="1"/>
  <c r="AA41" i="5" s="1"/>
  <c r="T41" i="5" l="1"/>
  <c r="V41" i="5"/>
  <c r="AB41" i="5" s="1"/>
  <c r="Z41" i="5"/>
  <c r="AJ33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<sst xmlns="http://schemas.openxmlformats.org/spreadsheetml/2006/main" count="267" uniqueCount="165">
  <si>
    <t xml:space="preserve"> </t>
    <phoneticPr fontId="2" type="noConversion"/>
  </si>
  <si>
    <t>열1</t>
  </si>
  <si>
    <t>열2</t>
  </si>
  <si>
    <t>열3</t>
  </si>
  <si>
    <t>열4</t>
  </si>
  <si>
    <t>열5</t>
  </si>
  <si>
    <t>열6</t>
  </si>
  <si>
    <t>열7</t>
  </si>
  <si>
    <t>열8</t>
    <phoneticPr fontId="2" type="noConversion"/>
  </si>
  <si>
    <t>ID</t>
  </si>
  <si>
    <t>스탯이름</t>
  </si>
  <si>
    <t>고정값</t>
  </si>
  <si>
    <t>고정값조정</t>
  </si>
  <si>
    <t>상승값</t>
  </si>
  <si>
    <t>최대값</t>
  </si>
  <si>
    <t>예측(사용X)</t>
  </si>
  <si>
    <t>누적금액</t>
    <phoneticPr fontId="2" type="noConversion"/>
  </si>
  <si>
    <t>금화감소후</t>
    <phoneticPr fontId="2" type="noConversion"/>
  </si>
  <si>
    <t>회심타</t>
    <phoneticPr fontId="2" type="noConversion"/>
  </si>
  <si>
    <t>공격력</t>
  </si>
  <si>
    <t>52C_4만육성</t>
  </si>
  <si>
    <t>진행율</t>
    <phoneticPr fontId="2" type="noConversion"/>
  </si>
  <si>
    <t>생명력</t>
  </si>
  <si>
    <t>공격력</t>
    <phoneticPr fontId="2" type="noConversion"/>
  </si>
  <si>
    <t>회심타확률</t>
  </si>
  <si>
    <t>51C</t>
  </si>
  <si>
    <t>125c</t>
    <phoneticPr fontId="2" type="noConversion"/>
  </si>
  <si>
    <t>62c</t>
    <phoneticPr fontId="2" type="noConversion"/>
  </si>
  <si>
    <t>회심타데미지</t>
  </si>
  <si>
    <t>110C</t>
  </si>
  <si>
    <t>272c</t>
    <phoneticPr fontId="2" type="noConversion"/>
  </si>
  <si>
    <t>136c</t>
    <phoneticPr fontId="2" type="noConversion"/>
  </si>
  <si>
    <t>한번업글가격</t>
    <phoneticPr fontId="2" type="noConversion"/>
  </si>
  <si>
    <t>50b</t>
    <phoneticPr fontId="2" type="noConversion"/>
  </si>
  <si>
    <t>100b</t>
    <phoneticPr fontId="2" type="noConversion"/>
  </si>
  <si>
    <t>150b</t>
    <phoneticPr fontId="2" type="noConversion"/>
  </si>
  <si>
    <t>200b</t>
    <phoneticPr fontId="2" type="noConversion"/>
  </si>
  <si>
    <t>250b</t>
    <phoneticPr fontId="2" type="noConversion"/>
  </si>
  <si>
    <t>절멸타확률</t>
  </si>
  <si>
    <t>300C</t>
  </si>
  <si>
    <t>376c</t>
    <phoneticPr fontId="2" type="noConversion"/>
  </si>
  <si>
    <t>188c</t>
    <phoneticPr fontId="2" type="noConversion"/>
  </si>
  <si>
    <t>데미지</t>
    <phoneticPr fontId="2" type="noConversion"/>
  </si>
  <si>
    <t>절멸타데미지</t>
  </si>
  <si>
    <t>600C</t>
  </si>
  <si>
    <t>810c</t>
    <phoneticPr fontId="2" type="noConversion"/>
  </si>
  <si>
    <t>405c</t>
    <phoneticPr fontId="2" type="noConversion"/>
  </si>
  <si>
    <t>23b</t>
    <phoneticPr fontId="2" type="noConversion"/>
  </si>
  <si>
    <t>44b</t>
    <phoneticPr fontId="2" type="noConversion"/>
  </si>
  <si>
    <t>66b</t>
    <phoneticPr fontId="2" type="noConversion"/>
  </si>
  <si>
    <t>87b</t>
    <phoneticPr fontId="2" type="noConversion"/>
  </si>
  <si>
    <t>110b</t>
    <phoneticPr fontId="2" type="noConversion"/>
  </si>
  <si>
    <t>절멸타</t>
    <phoneticPr fontId="2" type="noConversion"/>
  </si>
  <si>
    <t>400b</t>
    <phoneticPr fontId="2" type="noConversion"/>
  </si>
  <si>
    <t>550b</t>
    <phoneticPr fontId="2" type="noConversion"/>
  </si>
  <si>
    <t>700b</t>
    <phoneticPr fontId="2" type="noConversion"/>
  </si>
  <si>
    <t>853b</t>
    <phoneticPr fontId="2" type="noConversion"/>
  </si>
  <si>
    <t>1000b</t>
    <phoneticPr fontId="2" type="noConversion"/>
  </si>
  <si>
    <t>1A   100만</t>
  </si>
  <si>
    <t>10A   1000만</t>
  </si>
  <si>
    <t>100A   1억</t>
  </si>
  <si>
    <t>152b</t>
    <phoneticPr fontId="2" type="noConversion"/>
  </si>
  <si>
    <t>195b</t>
    <phoneticPr fontId="2" type="noConversion"/>
  </si>
  <si>
    <t>238b</t>
    <phoneticPr fontId="2" type="noConversion"/>
  </si>
  <si>
    <t>281b</t>
    <phoneticPr fontId="2" type="noConversion"/>
  </si>
  <si>
    <t>324b</t>
    <phoneticPr fontId="2" type="noConversion"/>
  </si>
  <si>
    <t>1B   10억</t>
  </si>
  <si>
    <t>10B   100억</t>
  </si>
  <si>
    <t>100B   1000억</t>
  </si>
  <si>
    <t>1C   1조</t>
  </si>
  <si>
    <t>10C   10조</t>
  </si>
  <si>
    <t>100C   100조</t>
  </si>
  <si>
    <t>랭킹</t>
    <phoneticPr fontId="2" type="noConversion"/>
  </si>
  <si>
    <t>스테이지</t>
    <phoneticPr fontId="2" type="noConversion"/>
  </si>
  <si>
    <t>20시간</t>
    <phoneticPr fontId="2" type="noConversion"/>
  </si>
  <si>
    <t>노다지5</t>
    <phoneticPr fontId="2" type="noConversion"/>
  </si>
  <si>
    <t>하루 총금화</t>
    <phoneticPr fontId="2" type="noConversion"/>
  </si>
  <si>
    <t>골드증강량</t>
    <phoneticPr fontId="2" type="noConversion"/>
  </si>
  <si>
    <t>강화석소탕</t>
    <phoneticPr fontId="2" type="noConversion"/>
  </si>
  <si>
    <t>강화석증강량</t>
    <phoneticPr fontId="2" type="noConversion"/>
  </si>
  <si>
    <t>950b</t>
    <phoneticPr fontId="2" type="noConversion"/>
  </si>
  <si>
    <t>67b</t>
    <phoneticPr fontId="2" type="noConversion"/>
  </si>
  <si>
    <t>11a</t>
    <phoneticPr fontId="2" type="noConversion"/>
  </si>
  <si>
    <t>흑천검</t>
    <phoneticPr fontId="2" type="noConversion"/>
  </si>
  <si>
    <t>신화</t>
    <phoneticPr fontId="2" type="noConversion"/>
  </si>
  <si>
    <t>전설</t>
    <phoneticPr fontId="2" type="noConversion"/>
  </si>
  <si>
    <t>증강량</t>
    <phoneticPr fontId="2" type="noConversion"/>
  </si>
  <si>
    <t>11각성</t>
    <phoneticPr fontId="2" type="noConversion"/>
  </si>
  <si>
    <t>12각성</t>
    <phoneticPr fontId="2" type="noConversion"/>
  </si>
  <si>
    <t>13각성</t>
    <phoneticPr fontId="2" type="noConversion"/>
  </si>
  <si>
    <t>열9</t>
  </si>
  <si>
    <t>열10</t>
    <phoneticPr fontId="2" type="noConversion"/>
  </si>
  <si>
    <t>열11</t>
  </si>
  <si>
    <t>열12</t>
  </si>
  <si>
    <t>씨앗</t>
  </si>
  <si>
    <t>뿌리</t>
  </si>
  <si>
    <t>새싹</t>
  </si>
  <si>
    <t>잎새</t>
  </si>
  <si>
    <t>가지</t>
  </si>
  <si>
    <t>묘목</t>
  </si>
  <si>
    <t>견목</t>
  </si>
  <si>
    <t>성목</t>
  </si>
  <si>
    <t>거목</t>
  </si>
  <si>
    <t>신목</t>
  </si>
  <si>
    <t>영목</t>
  </si>
  <si>
    <t>천목</t>
  </si>
  <si>
    <t>태초목</t>
  </si>
  <si>
    <t>창조목</t>
  </si>
  <si>
    <t>수호목</t>
  </si>
  <si>
    <t>세계목</t>
  </si>
  <si>
    <t>세계수</t>
  </si>
  <si>
    <t>신화수</t>
  </si>
  <si>
    <t>무한수</t>
  </si>
  <si>
    <t>영겁수</t>
  </si>
  <si>
    <t>열13</t>
  </si>
  <si>
    <t>육성</t>
    <phoneticPr fontId="2" type="noConversion"/>
  </si>
  <si>
    <t>순수비용</t>
    <phoneticPr fontId="2" type="noConversion"/>
  </si>
  <si>
    <t>감면</t>
    <phoneticPr fontId="2" type="noConversion"/>
  </si>
  <si>
    <t>회심타 확률</t>
    <phoneticPr fontId="2" type="noConversion"/>
  </si>
  <si>
    <t>회심타 데미지</t>
    <phoneticPr fontId="2" type="noConversion"/>
  </si>
  <si>
    <t>중간</t>
    <phoneticPr fontId="2" type="noConversion"/>
  </si>
  <si>
    <t>시작</t>
    <phoneticPr fontId="2" type="noConversion"/>
  </si>
  <si>
    <t>중간값</t>
    <phoneticPr fontId="2" type="noConversion"/>
  </si>
  <si>
    <t>끝값</t>
    <phoneticPr fontId="2" type="noConversion"/>
  </si>
  <si>
    <t>나무계산</t>
    <phoneticPr fontId="2" type="noConversion"/>
  </si>
  <si>
    <t>절멸타 확률</t>
    <phoneticPr fontId="2" type="noConversion"/>
  </si>
  <si>
    <t>절멸타 데미지</t>
    <phoneticPr fontId="2" type="noConversion"/>
  </si>
  <si>
    <t>ㅇ</t>
    <phoneticPr fontId="2" type="noConversion"/>
  </si>
  <si>
    <t>601C</t>
  </si>
  <si>
    <t>602C</t>
  </si>
  <si>
    <t>603C</t>
  </si>
  <si>
    <t>604C</t>
  </si>
  <si>
    <t>1000 번째 후 값</t>
    <phoneticPr fontId="2" type="noConversion"/>
  </si>
  <si>
    <t>5000 번쨰 후 값</t>
    <phoneticPr fontId="2" type="noConversion"/>
  </si>
  <si>
    <t>확률 총금액</t>
    <phoneticPr fontId="2" type="noConversion"/>
  </si>
  <si>
    <t>데미지 총금액</t>
    <phoneticPr fontId="2" type="noConversion"/>
  </si>
  <si>
    <t>60프로 감면</t>
    <phoneticPr fontId="2" type="noConversion"/>
  </si>
  <si>
    <t>2.3d</t>
    <phoneticPr fontId="2" type="noConversion"/>
  </si>
  <si>
    <t>1c</t>
    <phoneticPr fontId="2" type="noConversion"/>
  </si>
  <si>
    <t>총금액 역산</t>
    <phoneticPr fontId="2" type="noConversion"/>
  </si>
  <si>
    <t>파천타확률</t>
  </si>
  <si>
    <t>파천타데미지</t>
  </si>
  <si>
    <t>1ㅇ</t>
    <phoneticPr fontId="2" type="noConversion"/>
  </si>
  <si>
    <t>파천확</t>
    <phoneticPr fontId="2" type="noConversion"/>
  </si>
  <si>
    <t>파천뎀</t>
    <phoneticPr fontId="2" type="noConversion"/>
  </si>
  <si>
    <t>시작가격</t>
    <phoneticPr fontId="2" type="noConversion"/>
  </si>
  <si>
    <t>증가 가격</t>
    <phoneticPr fontId="2" type="noConversion"/>
  </si>
  <si>
    <t>증가 능력치</t>
    <phoneticPr fontId="2" type="noConversion"/>
  </si>
  <si>
    <t>공격력%</t>
    <phoneticPr fontId="2" type="noConversion"/>
  </si>
  <si>
    <t>단일가격</t>
    <phoneticPr fontId="2" type="noConversion"/>
  </si>
  <si>
    <t>누적가격</t>
    <phoneticPr fontId="2" type="noConversion"/>
  </si>
  <si>
    <t>강화횟수</t>
    <phoneticPr fontId="2" type="noConversion"/>
  </si>
  <si>
    <t>난이도1</t>
    <phoneticPr fontId="2" type="noConversion"/>
  </si>
  <si>
    <t>난이도2</t>
    <phoneticPr fontId="2" type="noConversion"/>
  </si>
  <si>
    <t>난이도3</t>
  </si>
  <si>
    <t>난이도4</t>
  </si>
  <si>
    <t>난이도5</t>
  </si>
  <si>
    <t>보상</t>
    <phoneticPr fontId="2" type="noConversion"/>
  </si>
  <si>
    <t>일차</t>
    <phoneticPr fontId="2" type="noConversion"/>
  </si>
  <si>
    <t>강화 돌발</t>
    <phoneticPr fontId="2" type="noConversion"/>
  </si>
  <si>
    <t>소탕권</t>
    <phoneticPr fontId="2" type="noConversion"/>
  </si>
  <si>
    <t>가격</t>
    <phoneticPr fontId="2" type="noConversion"/>
  </si>
  <si>
    <t>재화</t>
    <phoneticPr fontId="2" type="noConversion"/>
  </si>
  <si>
    <t>개수</t>
    <phoneticPr fontId="2" type="noConversion"/>
  </si>
  <si>
    <t>클리어 돌발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</si>
</sst>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43" formatCode="_-* #,##0.00_-;\-* #,##0.00_-;_-* &quot;-&quot;??_-;_-@_-"/>
    <numFmt numFmtId="176" formatCode="0.00000E+00"/>
  </numFmts>
  <fonts count="5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4" tint="-0.249977111117893"/>
      <name val="맑은 고딕"/>
      <family val="2"/>
      <charset val="129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50">
    <xf numFmtId="0" fontId="0" fillId="0" borderId="0" xfId="0">
      <alignment vertical="center"/>
    </xf>
    <xf numFmtId="1" fontId="0" fillId="0" borderId="0" xfId="0" applyNumberFormat="1">
      <alignment vertical="center"/>
    </xf>
    <xf numFmtId="41" fontId="0" fillId="0" borderId="0" xfId="1" applyFont="1">
      <alignment vertical="center"/>
    </xf>
    <xf numFmtId="41" fontId="0" fillId="0" borderId="0" xfId="0" applyNumberFormat="1">
      <alignment vertical="center"/>
    </xf>
    <xf numFmtId="0" fontId="0" fillId="0" borderId="0" xfId="1" applyNumberFormat="1" applyFont="1">
      <alignment vertical="center"/>
    </xf>
    <xf numFmtId="0" fontId="0" fillId="2" borderId="0" xfId="1" applyNumberFormat="1" applyFont="1" applyFill="1">
      <alignment vertical="center"/>
    </xf>
    <xf numFmtId="0" fontId="0" fillId="3" borderId="1" xfId="0" applyFill="1" applyBorder="1">
      <alignment vertical="center"/>
    </xf>
    <xf numFmtId="0" fontId="0" fillId="3" borderId="2" xfId="0" applyFill="1" applyBorder="1">
      <alignment vertical="center"/>
    </xf>
    <xf numFmtId="0" fontId="0" fillId="3" borderId="3" xfId="0" applyFill="1" applyBorder="1">
      <alignment vertical="center"/>
    </xf>
    <xf numFmtId="0" fontId="0" fillId="3" borderId="4" xfId="0" applyFill="1" applyBorder="1">
      <alignment vertical="center"/>
    </xf>
    <xf numFmtId="0" fontId="0" fillId="3" borderId="0" xfId="0" applyFill="1">
      <alignment vertical="center"/>
    </xf>
    <xf numFmtId="0" fontId="0" fillId="3" borderId="5" xfId="0" applyFill="1" applyBorder="1">
      <alignment vertical="center"/>
    </xf>
    <xf numFmtId="9" fontId="0" fillId="3" borderId="2" xfId="2" applyFont="1" applyFill="1" applyBorder="1">
      <alignment vertical="center"/>
    </xf>
    <xf numFmtId="9" fontId="0" fillId="3" borderId="3" xfId="2" applyFont="1" applyFill="1" applyBorder="1">
      <alignment vertical="center"/>
    </xf>
    <xf numFmtId="0" fontId="0" fillId="3" borderId="6" xfId="0" applyFill="1" applyBorder="1">
      <alignment vertical="center"/>
    </xf>
    <xf numFmtId="0" fontId="0" fillId="3" borderId="7" xfId="0" applyFill="1" applyBorder="1">
      <alignment vertical="center"/>
    </xf>
    <xf numFmtId="0" fontId="0" fillId="3" borderId="8" xfId="0" applyFill="1" applyBorder="1">
      <alignment vertical="center"/>
    </xf>
    <xf numFmtId="9" fontId="0" fillId="0" borderId="0" xfId="0" applyNumberFormat="1">
      <alignment vertical="center"/>
    </xf>
    <xf numFmtId="43" fontId="0" fillId="0" borderId="0" xfId="0" applyNumberFormat="1">
      <alignment vertical="center"/>
    </xf>
    <xf numFmtId="0" fontId="3" fillId="0" borderId="0" xfId="0" applyFont="1" applyAlignment="1">
      <alignment horizontal="center" vertical="center" wrapText="1"/>
    </xf>
    <xf numFmtId="0" fontId="0" fillId="3" borderId="4" xfId="2" applyNumberFormat="1" applyFont="1" applyFill="1" applyBorder="1" applyAlignment="1">
      <alignment horizontal="center" vertical="center"/>
    </xf>
    <xf numFmtId="0" fontId="0" fillId="3" borderId="0" xfId="2" applyNumberFormat="1" applyFont="1" applyFill="1" applyBorder="1">
      <alignment vertical="center"/>
    </xf>
    <xf numFmtId="0" fontId="0" fillId="3" borderId="4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9" fontId="0" fillId="3" borderId="5" xfId="0" applyNumberFormat="1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9" fontId="0" fillId="3" borderId="8" xfId="0" applyNumberFormat="1" applyFill="1" applyBorder="1" applyAlignment="1">
      <alignment horizontal="center" vertical="center"/>
    </xf>
    <xf numFmtId="9" fontId="0" fillId="0" borderId="0" xfId="2" applyFont="1">
      <alignment vertical="center"/>
    </xf>
    <xf numFmtId="0" fontId="4" fillId="4" borderId="0" xfId="0" applyFont="1" applyFill="1">
      <alignment vertical="center"/>
    </xf>
    <xf numFmtId="0" fontId="4" fillId="0" borderId="0" xfId="0" applyFont="1">
      <alignment vertical="center"/>
    </xf>
    <xf numFmtId="1" fontId="0" fillId="2" borderId="0" xfId="0" applyNumberFormat="1" applyFill="1">
      <alignment vertical="center"/>
    </xf>
    <xf numFmtId="0" fontId="0" fillId="2" borderId="0" xfId="0" applyFill="1">
      <alignment vertical="center"/>
    </xf>
    <xf numFmtId="0" fontId="0" fillId="5" borderId="0" xfId="0" applyFill="1">
      <alignment vertical="center"/>
    </xf>
    <xf numFmtId="176" fontId="0" fillId="5" borderId="0" xfId="0" applyNumberFormat="1" applyFill="1">
      <alignment vertical="center"/>
    </xf>
    <xf numFmtId="0" fontId="0" fillId="6" borderId="0" xfId="0" applyFill="1">
      <alignment vertical="center"/>
    </xf>
    <xf numFmtId="1" fontId="0" fillId="6" borderId="0" xfId="0" applyNumberFormat="1" applyFill="1">
      <alignment vertical="center"/>
    </xf>
    <xf numFmtId="0" fontId="0" fillId="7" borderId="0" xfId="0" applyFill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8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9" borderId="0" xfId="0" applyFill="1">
      <alignment vertical="center"/>
    </xf>
    <xf numFmtId="0" fontId="0" fillId="10" borderId="0" xfId="0" applyFill="1">
      <alignment vertical="center"/>
    </xf>
    <xf numFmtId="41" fontId="0" fillId="11" borderId="0" xfId="1" applyFont="1" applyFill="1">
      <alignment vertical="center"/>
    </xf>
    <xf numFmtId="0" fontId="0" fillId="11" borderId="0" xfId="0" applyFill="1">
      <alignment vertical="center"/>
    </xf>
    <xf numFmtId="1" fontId="0" fillId="10" borderId="0" xfId="0" applyNumberFormat="1" applyFill="1">
      <alignment vertical="center"/>
    </xf>
    <xf numFmtId="0" fontId="0" fillId="12" borderId="0" xfId="0" applyFill="1">
      <alignment vertical="center"/>
    </xf>
    <xf numFmtId="0" fontId="0" fillId="3" borderId="0" xfId="0" applyFill="1" applyAlignment="1">
      <alignment horizontal="center" vertical="center"/>
    </xf>
    <xf numFmtId="41" fontId="0" fillId="3" borderId="0" xfId="1" applyFont="1" applyFill="1">
      <alignment vertical="center"/>
    </xf>
  </cellXfs>
  <cellStyles count="3">
    <cellStyle name="백분율" xfId="2" builtinId="5"/>
    <cellStyle name="쉼표 [0]" xfId="1" builtinId="6"/>
    <cellStyle name="표준" xfId="0" builtinId="0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맑은 고딕"/>
        <family val="2"/>
        <charset val="129"/>
        <scheme val="minor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449F5D-F182-47E9-BE0C-38CB3EC997B3}" name="표1" displayName="표1" ref="A4:M45" totalsRowShown="0">
  <autoFilter ref="A4:M45" xr:uid="{9E449F5D-F182-47E9-BE0C-38CB3EC997B3}"/>
  <tableColumns count="13">
    <tableColumn id="1" xr3:uid="{9F96ACF2-B1BC-4A20-ACBE-4EDDD5768C14}" name="열1"/>
    <tableColumn id="2" xr3:uid="{61D98239-E78A-4FE4-9E74-82D42BBBB4AD}" name="열2"/>
    <tableColumn id="3" xr3:uid="{80D76171-BF5D-4BBC-B940-EFAB2B69AB29}" name="열3"/>
    <tableColumn id="4" xr3:uid="{C946801F-2311-4E73-92D7-1C8E544F79EE}" name="열4"/>
    <tableColumn id="5" xr3:uid="{685CE2F5-C328-432B-ABA6-D2B52F27C194}" name="열5"/>
    <tableColumn id="6" xr3:uid="{D6A0A83C-0B50-4712-83C2-369B1FD2DEFC}" name="열6" dataDxfId="6" dataCellStyle="쉼표 [0]"/>
    <tableColumn id="7" xr3:uid="{90B8099A-7234-471E-ACD4-63E8C7CD2F72}" name="열7"/>
    <tableColumn id="8" xr3:uid="{3B5AF8AE-3C8D-4D61-8DDD-D235F408D8FC}" name="열8" dataDxfId="5">
      <calculatedColumnFormula>표1[[#This Row],[열6]]*표1[[#This Row],[열7]]</calculatedColumnFormula>
    </tableColumn>
    <tableColumn id="9" xr3:uid="{DCDF0486-89CF-4331-93B1-0C4A94143E4A}" name="열9" dataDxfId="4">
      <calculatedColumnFormula>표1[[#This Row],[열7]]/표1[[#This Row],[열6]]</calculatedColumnFormula>
    </tableColumn>
    <tableColumn id="10" xr3:uid="{6AB0DD7E-3E66-4185-B3CA-96F28F28A8EC}" name="열10" dataDxfId="3">
      <calculatedColumnFormula>표1[[#This Row],[열8]]/10^7</calculatedColumnFormula>
    </tableColumn>
    <tableColumn id="11" xr3:uid="{2F4F2370-4561-42E5-8545-CEDBB14DF132}" name="열11" dataDxfId="2"/>
    <tableColumn id="12" xr3:uid="{4F4C7107-8DC1-4066-97E2-731F306AF89F}" name="열12" dataDxfId="1"/>
    <tableColumn id="13" xr3:uid="{4F738991-B9EA-45D7-BA44-A53C775E7169}" name="열13" dataDxfId="0">
      <calculatedColumnFormula>표1[[#This Row],[열8]]/10^7</calculatedColumnFormula>
    </tableColumn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53B4E2-D06B-41E2-9ABD-33139C34C77C}">
  <dimension ref="A1:P45"/>
  <sheetViews>
    <sheetView topLeftCell="A3" workbookViewId="0">
      <selection activeCell="D20" sqref="D20"/>
    </sheetView>
  </sheetViews>
  <sheetFormatPr defaultRowHeight="16.5" x14ac:dyDescent="0.3"/>
  <cols>
    <col min="5" max="5" width="12.75" bestFit="1" customWidth="1"/>
    <col min="6" max="6" width="8.125" customWidth="1"/>
    <col min="7" max="7" width="9.375" customWidth="1"/>
    <col min="8" max="8" width="8.125" customWidth="1"/>
    <col min="10" max="10" width="12.125" bestFit="1" customWidth="1"/>
  </cols>
  <sheetData>
    <row r="1" spans="1:16" x14ac:dyDescent="0.3">
      <c r="H1">
        <v>20</v>
      </c>
      <c r="I1">
        <v>40</v>
      </c>
      <c r="J1">
        <v>50</v>
      </c>
      <c r="K1">
        <v>60</v>
      </c>
    </row>
    <row r="2" spans="1:16" x14ac:dyDescent="0.3">
      <c r="G2">
        <v>100</v>
      </c>
      <c r="H2">
        <f>G2*0.8</f>
        <v>80</v>
      </c>
      <c r="I2">
        <f>G2*0.6</f>
        <v>60</v>
      </c>
      <c r="J2">
        <v>50</v>
      </c>
      <c r="K2">
        <f>G2*0.4</f>
        <v>40</v>
      </c>
    </row>
    <row r="3" spans="1:16" x14ac:dyDescent="0.3">
      <c r="G3">
        <v>70</v>
      </c>
      <c r="H3">
        <f>G3*0.8</f>
        <v>56</v>
      </c>
      <c r="I3">
        <f>G3*0.6</f>
        <v>42</v>
      </c>
      <c r="J3">
        <v>35</v>
      </c>
      <c r="K3">
        <f>G3*0.4</f>
        <v>28</v>
      </c>
    </row>
    <row r="4" spans="1:16" x14ac:dyDescent="0.3">
      <c r="A4" t="s">
        <v>1</v>
      </c>
      <c r="B4" t="s">
        <v>2</v>
      </c>
      <c r="C4" t="s">
        <v>3</v>
      </c>
      <c r="D4" s="1" t="s">
        <v>4</v>
      </c>
      <c r="E4" t="s">
        <v>5</v>
      </c>
      <c r="F4" s="4" t="s">
        <v>6</v>
      </c>
      <c r="G4" t="s">
        <v>7</v>
      </c>
      <c r="H4" t="s">
        <v>8</v>
      </c>
      <c r="I4" t="s">
        <v>90</v>
      </c>
      <c r="J4" t="s">
        <v>91</v>
      </c>
      <c r="K4" t="s">
        <v>92</v>
      </c>
      <c r="L4" t="s">
        <v>93</v>
      </c>
      <c r="M4" t="s">
        <v>114</v>
      </c>
    </row>
    <row r="5" spans="1:16" x14ac:dyDescent="0.3">
      <c r="A5">
        <v>300</v>
      </c>
      <c r="B5">
        <v>638</v>
      </c>
      <c r="C5">
        <v>389</v>
      </c>
      <c r="D5" s="1">
        <v>379048</v>
      </c>
      <c r="E5" t="e" cm="1">
        <f t="array" aca="1" ref="E5" ca="1">INDIRECT("'[상승값.xlsx]상승'!E" &amp; A5)</f>
        <v>#REF!</v>
      </c>
      <c r="F5" s="4" t="e">
        <f ca="1">E5-E3</f>
        <v>#REF!</v>
      </c>
      <c r="G5">
        <v>0.8</v>
      </c>
      <c r="H5" t="e">
        <f ca="1">표1[[#This Row],[열6]]*표1[[#This Row],[열7]]</f>
        <v>#REF!</v>
      </c>
      <c r="I5">
        <v>0.7</v>
      </c>
      <c r="J5" s="1" t="e">
        <f ca="1">표1[[#This Row],[열8]]/10^7</f>
        <v>#REF!</v>
      </c>
      <c r="L5">
        <v>300</v>
      </c>
      <c r="O5" s="29">
        <v>300</v>
      </c>
      <c r="P5" s="29">
        <v>29771225.600000001</v>
      </c>
    </row>
    <row r="6" spans="1:16" x14ac:dyDescent="0.3">
      <c r="A6">
        <v>700</v>
      </c>
      <c r="B6">
        <v>1238</v>
      </c>
      <c r="C6">
        <v>1089</v>
      </c>
      <c r="D6" s="1">
        <v>1537782</v>
      </c>
      <c r="E6" t="e" cm="1">
        <f t="array" aca="1" ref="E6" ca="1">INDIRECT("'[상승값.xlsx]상승'!E" &amp; A6)</f>
        <v>#REF!</v>
      </c>
      <c r="F6" s="4" t="e">
        <f t="shared" ref="F6:F44" ca="1" si="0">E6-E5</f>
        <v>#REF!</v>
      </c>
      <c r="G6">
        <v>0.8</v>
      </c>
      <c r="H6" t="e">
        <f ca="1">표1[[#This Row],[열6]]*표1[[#This Row],[열7]]</f>
        <v>#REF!</v>
      </c>
      <c r="I6">
        <v>0.7</v>
      </c>
      <c r="J6" s="1" t="e">
        <f ca="1">표1[[#This Row],[열8]]/10^7</f>
        <v>#REF!</v>
      </c>
      <c r="K6">
        <v>300</v>
      </c>
      <c r="L6">
        <v>700</v>
      </c>
      <c r="M6" t="e">
        <f ca="1">표1[[#This Row],[열8]]/10^7</f>
        <v>#REF!</v>
      </c>
      <c r="O6" s="30">
        <v>700</v>
      </c>
      <c r="P6" s="30">
        <v>358560408.80000001</v>
      </c>
    </row>
    <row r="7" spans="1:16" x14ac:dyDescent="0.3">
      <c r="A7">
        <v>1000</v>
      </c>
      <c r="E7" t="e" cm="1">
        <f t="array" aca="1" ref="E7" ca="1">INDIRECT("'[상승값.xlsx]상승'!E" &amp; A7)</f>
        <v>#REF!</v>
      </c>
      <c r="F7" s="4" t="e">
        <f ca="1">E7-E6</f>
        <v>#REF!</v>
      </c>
      <c r="G7">
        <v>0.8</v>
      </c>
      <c r="H7" t="e">
        <f ca="1">표1[[#This Row],[열6]]*표1[[#This Row],[열7]]</f>
        <v>#REF!</v>
      </c>
      <c r="I7">
        <v>0.7</v>
      </c>
      <c r="J7" s="1" t="e">
        <f ca="1">표1[[#This Row],[열8]]/10^7</f>
        <v>#REF!</v>
      </c>
      <c r="K7">
        <v>600</v>
      </c>
      <c r="M7" t="e">
        <f ca="1">표1[[#This Row],[열8]]/10^7</f>
        <v>#REF!</v>
      </c>
      <c r="O7" s="29">
        <v>1000</v>
      </c>
      <c r="P7" s="29">
        <v>750734973.60000002</v>
      </c>
    </row>
    <row r="8" spans="1:16" x14ac:dyDescent="0.3">
      <c r="A8">
        <v>1700</v>
      </c>
      <c r="B8">
        <v>2038</v>
      </c>
      <c r="C8">
        <v>2536</v>
      </c>
      <c r="D8" s="1">
        <v>4296093</v>
      </c>
      <c r="E8" t="e" cm="1">
        <f t="array" aca="1" ref="E8" ca="1">INDIRECT("'[상승값.xlsx]상승'!E" &amp; A8)</f>
        <v>#REF!</v>
      </c>
      <c r="F8" s="4" t="e">
        <f t="shared" ca="1" si="0"/>
        <v>#REF!</v>
      </c>
      <c r="G8">
        <v>0.8</v>
      </c>
      <c r="H8" t="e">
        <f ca="1">표1[[#This Row],[열6]]*표1[[#This Row],[열7]]</f>
        <v>#REF!</v>
      </c>
      <c r="I8">
        <v>0.88</v>
      </c>
      <c r="J8" s="31" t="e">
        <f ca="1">표1[[#This Row],[열8]]/10^7</f>
        <v>#REF!</v>
      </c>
      <c r="K8" s="32">
        <v>1000</v>
      </c>
      <c r="L8">
        <v>1700</v>
      </c>
      <c r="M8" t="e">
        <f ca="1">표1[[#This Row],[열8]]/10^7</f>
        <v>#REF!</v>
      </c>
      <c r="O8" s="30">
        <v>1700</v>
      </c>
      <c r="P8" s="30">
        <v>4490208271.1999998</v>
      </c>
    </row>
    <row r="9" spans="1:16" x14ac:dyDescent="0.3">
      <c r="A9">
        <v>2000</v>
      </c>
      <c r="B9">
        <v>3038</v>
      </c>
      <c r="C9">
        <v>5286</v>
      </c>
      <c r="D9" s="1">
        <v>9693982</v>
      </c>
      <c r="E9" t="e" cm="1">
        <f t="array" aca="1" ref="E9" ca="1">INDIRECT("'[상승값.xlsx]상승'!E" &amp; A9)</f>
        <v>#REF!</v>
      </c>
      <c r="F9" s="5" t="e">
        <f ca="1">E9-E8</f>
        <v>#REF!</v>
      </c>
      <c r="G9">
        <v>0.8</v>
      </c>
      <c r="H9" t="e">
        <f ca="1">표1[[#This Row],[열6]]*표1[[#This Row],[열7]]</f>
        <v>#REF!</v>
      </c>
      <c r="I9">
        <v>0.88</v>
      </c>
      <c r="J9" s="1" t="e">
        <f ca="1">표1[[#This Row],[열8]]/10^7</f>
        <v>#REF!</v>
      </c>
      <c r="K9">
        <v>1500</v>
      </c>
      <c r="M9" s="32" t="e">
        <f ca="1">표1[[#This Row],[열8]]/10^7</f>
        <v>#REF!</v>
      </c>
      <c r="O9" s="29">
        <v>2000</v>
      </c>
      <c r="P9" s="29">
        <v>3548681640</v>
      </c>
    </row>
    <row r="10" spans="1:16" x14ac:dyDescent="0.3">
      <c r="A10">
        <v>2700</v>
      </c>
      <c r="E10" t="e" cm="1">
        <f t="array" aca="1" ref="E10" ca="1">INDIRECT("'[상승값.xlsx]상승'!E" &amp; A10)</f>
        <v>#REF!</v>
      </c>
      <c r="F10" s="4" t="e">
        <f t="shared" ca="1" si="0"/>
        <v>#REF!</v>
      </c>
      <c r="G10">
        <v>0.7</v>
      </c>
      <c r="H10" t="e">
        <f ca="1">표1[[#This Row],[열6]]*표1[[#This Row],[열7]]</f>
        <v>#REF!</v>
      </c>
      <c r="I10">
        <v>0.87999999999999989</v>
      </c>
      <c r="J10" s="1" t="e">
        <f ca="1">표1[[#This Row],[열8]]/10^7</f>
        <v>#REF!</v>
      </c>
      <c r="K10">
        <v>2000</v>
      </c>
      <c r="L10">
        <v>2700</v>
      </c>
      <c r="M10" t="e">
        <f ca="1">표1[[#This Row],[열8]]/10^7</f>
        <v>#REF!</v>
      </c>
      <c r="O10" s="30">
        <v>2700</v>
      </c>
      <c r="P10" s="30">
        <v>11764740015</v>
      </c>
    </row>
    <row r="11" spans="1:16" x14ac:dyDescent="0.3">
      <c r="A11">
        <v>3000</v>
      </c>
      <c r="E11" t="e" cm="1">
        <f t="array" aca="1" ref="E11" ca="1">INDIRECT("'[상승값.xlsx]상승'!E" &amp; A11)</f>
        <v>#REF!</v>
      </c>
      <c r="F11" s="4" t="e">
        <f ca="1">E11-E10</f>
        <v>#REF!</v>
      </c>
      <c r="G11">
        <v>0.6</v>
      </c>
      <c r="H11" t="e">
        <f ca="1">표1[[#This Row],[열6]]*표1[[#This Row],[열7]]</f>
        <v>#REF!</v>
      </c>
      <c r="I11">
        <v>0.8</v>
      </c>
      <c r="J11" s="1" t="e">
        <f ca="1">표1[[#This Row],[열8]]/10^7</f>
        <v>#REF!</v>
      </c>
      <c r="K11">
        <v>2500</v>
      </c>
      <c r="L11">
        <v>3000</v>
      </c>
      <c r="M11" t="e">
        <f ca="1">표1[[#This Row],[열8]]/10^7</f>
        <v>#REF!</v>
      </c>
      <c r="O11" s="29">
        <v>3000</v>
      </c>
      <c r="P11" s="29">
        <v>6319971229.8000002</v>
      </c>
    </row>
    <row r="12" spans="1:16" x14ac:dyDescent="0.3">
      <c r="A12">
        <v>3700</v>
      </c>
      <c r="E12" t="e" cm="1">
        <f t="array" aca="1" ref="E12" ca="1">INDIRECT("'[상승값.xlsx]상승'!E" &amp; A12)</f>
        <v>#REF!</v>
      </c>
      <c r="F12" s="4" t="e">
        <f t="shared" ca="1" si="0"/>
        <v>#REF!</v>
      </c>
      <c r="G12">
        <v>0.6</v>
      </c>
      <c r="H12" t="e">
        <f ca="1">표1[[#This Row],[열6]]*표1[[#This Row],[열7]]</f>
        <v>#REF!</v>
      </c>
      <c r="I12">
        <v>0.80000000000000016</v>
      </c>
      <c r="J12" s="31" t="e">
        <f ca="1">표1[[#This Row],[열8]]/10^7</f>
        <v>#REF!</v>
      </c>
      <c r="K12" s="32">
        <v>3000</v>
      </c>
      <c r="L12">
        <v>3700</v>
      </c>
      <c r="M12" t="e">
        <f ca="1">표1[[#This Row],[열8]]/10^7</f>
        <v>#REF!</v>
      </c>
      <c r="O12" s="30">
        <v>3700</v>
      </c>
      <c r="P12" s="30">
        <v>20440469536.799999</v>
      </c>
    </row>
    <row r="13" spans="1:16" x14ac:dyDescent="0.3">
      <c r="A13">
        <v>4000</v>
      </c>
      <c r="E13" t="e" cm="1">
        <f t="array" aca="1" ref="E13" ca="1">INDIRECT("'[상승값.xlsx]상승'!E" &amp; A13)</f>
        <v>#REF!</v>
      </c>
      <c r="F13" s="4" t="e">
        <f ca="1">E13-E12</f>
        <v>#REF!</v>
      </c>
      <c r="G13">
        <v>0.6</v>
      </c>
      <c r="H13" t="e">
        <f ca="1">표1[[#This Row],[열6]]*표1[[#This Row],[열7]]</f>
        <v>#REF!</v>
      </c>
      <c r="I13">
        <v>0.8</v>
      </c>
      <c r="J13" s="1" t="e">
        <f ca="1">표1[[#This Row],[열8]]/10^7</f>
        <v>#REF!</v>
      </c>
      <c r="K13">
        <v>3500</v>
      </c>
      <c r="L13">
        <v>4000</v>
      </c>
      <c r="M13" s="32" t="e">
        <f ca="1">표1[[#This Row],[열8]]/10^7</f>
        <v>#REF!</v>
      </c>
      <c r="O13" s="29">
        <v>4000</v>
      </c>
      <c r="P13" s="29">
        <v>11538431229.6</v>
      </c>
    </row>
    <row r="14" spans="1:16" x14ac:dyDescent="0.3">
      <c r="A14">
        <v>4700</v>
      </c>
      <c r="E14" t="e" cm="1">
        <f t="array" aca="1" ref="E14" ca="1">INDIRECT("'[상승값.xlsx]상승'!E" &amp; A14)</f>
        <v>#REF!</v>
      </c>
      <c r="F14" s="4" t="e">
        <f t="shared" ca="1" si="0"/>
        <v>#REF!</v>
      </c>
      <c r="G14">
        <v>0.6</v>
      </c>
      <c r="H14" t="e">
        <f ca="1">표1[[#This Row],[열6]]*표1[[#This Row],[열7]]</f>
        <v>#REF!</v>
      </c>
      <c r="I14">
        <v>0.8</v>
      </c>
      <c r="J14" s="1" t="e">
        <f ca="1">표1[[#This Row],[열8]]/10^7</f>
        <v>#REF!</v>
      </c>
      <c r="K14">
        <v>4000</v>
      </c>
      <c r="L14">
        <v>4700</v>
      </c>
      <c r="M14" t="e">
        <f ca="1">표1[[#This Row],[열8]]/10^7</f>
        <v>#REF!</v>
      </c>
      <c r="O14" s="30">
        <v>4700</v>
      </c>
      <c r="P14" s="30">
        <v>34436876203.799995</v>
      </c>
    </row>
    <row r="15" spans="1:16" x14ac:dyDescent="0.3">
      <c r="A15">
        <v>5000</v>
      </c>
      <c r="E15" t="e" cm="1">
        <f t="array" aca="1" ref="E15" ca="1">INDIRECT("'[상승값.xlsx]상승'!E" &amp; A15)</f>
        <v>#REF!</v>
      </c>
      <c r="F15" s="4" t="e">
        <f ca="1">E15-E14</f>
        <v>#REF!</v>
      </c>
      <c r="G15">
        <v>0.6</v>
      </c>
      <c r="H15" t="e">
        <f ca="1">표1[[#This Row],[열6]]*표1[[#This Row],[열7]]</f>
        <v>#REF!</v>
      </c>
      <c r="I15">
        <v>0.8</v>
      </c>
      <c r="J15" s="1" t="e">
        <f ca="1">표1[[#This Row],[열8]]/10^7</f>
        <v>#REF!</v>
      </c>
      <c r="K15">
        <v>4500</v>
      </c>
      <c r="L15">
        <v>5000</v>
      </c>
      <c r="M15" t="e">
        <f ca="1">표1[[#This Row],[열8]]/10^7</f>
        <v>#REF!</v>
      </c>
      <c r="O15" s="29">
        <v>5000</v>
      </c>
      <c r="P15" s="29">
        <v>18316891229.399998</v>
      </c>
    </row>
    <row r="16" spans="1:16" x14ac:dyDescent="0.3">
      <c r="A16">
        <v>5700</v>
      </c>
      <c r="E16" t="e" cm="1">
        <f t="array" aca="1" ref="E16" ca="1">INDIRECT("'[상승값.xlsx]상승'!E" &amp; A16)</f>
        <v>#REF!</v>
      </c>
      <c r="F16" s="4" t="e">
        <f t="shared" ca="1" si="0"/>
        <v>#REF!</v>
      </c>
      <c r="G16">
        <v>0.6</v>
      </c>
      <c r="H16" t="e">
        <f ca="1">표1[[#This Row],[열6]]*표1[[#This Row],[열7]]</f>
        <v>#REF!</v>
      </c>
      <c r="I16">
        <v>0.80000000000000016</v>
      </c>
      <c r="J16" s="31" t="e">
        <f ca="1">표1[[#This Row],[열8]]/10^7</f>
        <v>#REF!</v>
      </c>
      <c r="K16" s="32">
        <v>5000</v>
      </c>
      <c r="L16">
        <v>5700</v>
      </c>
      <c r="M16" t="e">
        <f ca="1">표1[[#This Row],[열8]]/10^7</f>
        <v>#REF!</v>
      </c>
      <c r="O16" s="30">
        <v>5700</v>
      </c>
      <c r="P16" s="30">
        <v>52073282870.400002</v>
      </c>
    </row>
    <row r="17" spans="1:16" x14ac:dyDescent="0.3">
      <c r="A17">
        <v>6000</v>
      </c>
      <c r="E17" t="e" cm="1">
        <f t="array" aca="1" ref="E17" ca="1">INDIRECT("'[상승값.xlsx]상승'!E" &amp; A17)</f>
        <v>#REF!</v>
      </c>
      <c r="F17" s="4" t="e">
        <f ca="1">E17-E16</f>
        <v>#REF!</v>
      </c>
      <c r="G17">
        <v>0.6</v>
      </c>
      <c r="H17" t="e">
        <f ca="1">표1[[#This Row],[열6]]*표1[[#This Row],[열7]]</f>
        <v>#REF!</v>
      </c>
      <c r="I17">
        <v>0.8</v>
      </c>
      <c r="J17" s="1" t="e">
        <f ca="1">표1[[#This Row],[열8]]/10^7</f>
        <v>#REF!</v>
      </c>
      <c r="K17">
        <v>5500</v>
      </c>
      <c r="L17">
        <v>6000</v>
      </c>
      <c r="M17" s="32" t="e">
        <f ca="1">표1[[#This Row],[열8]]/10^7</f>
        <v>#REF!</v>
      </c>
      <c r="O17" s="29">
        <v>6000</v>
      </c>
      <c r="P17" s="29">
        <v>26655351229.799999</v>
      </c>
    </row>
    <row r="18" spans="1:16" x14ac:dyDescent="0.3">
      <c r="A18">
        <v>6700</v>
      </c>
      <c r="E18" t="e" cm="1">
        <f t="array" aca="1" ref="E18" ca="1">INDIRECT("'[상승값.xlsx]상승'!E" &amp; A18)</f>
        <v>#REF!</v>
      </c>
      <c r="F18" s="4" t="e">
        <f t="shared" ca="1" si="0"/>
        <v>#REF!</v>
      </c>
      <c r="G18">
        <v>0.55000000000000004</v>
      </c>
      <c r="H18" t="e">
        <f ca="1">표1[[#This Row],[열6]]*표1[[#This Row],[열7]]</f>
        <v>#REF!</v>
      </c>
      <c r="I18">
        <v>0.8</v>
      </c>
      <c r="J18" s="1" t="e">
        <f ca="1">표1[[#This Row],[열8]]/10^7</f>
        <v>#REF!</v>
      </c>
      <c r="K18">
        <v>6000</v>
      </c>
      <c r="L18">
        <v>6700</v>
      </c>
      <c r="M18" t="e">
        <f ca="1">표1[[#This Row],[열8]]/10^7</f>
        <v>#REF!</v>
      </c>
      <c r="O18" s="30">
        <v>6700</v>
      </c>
      <c r="P18" s="30">
        <v>67237215408.550003</v>
      </c>
    </row>
    <row r="19" spans="1:16" x14ac:dyDescent="0.3">
      <c r="A19">
        <v>7000</v>
      </c>
      <c r="E19" t="e" cm="1">
        <f t="array" aca="1" ref="E19" ca="1">INDIRECT("'[상승값.xlsx]상승'!E" &amp; A19)</f>
        <v>#REF!</v>
      </c>
      <c r="F19" s="4" t="e">
        <f t="shared" ca="1" si="0"/>
        <v>#REF!</v>
      </c>
      <c r="G19">
        <v>0.55000000000000004</v>
      </c>
      <c r="H19" t="e">
        <f ca="1">표1[[#This Row],[열6]]*표1[[#This Row],[열7]]</f>
        <v>#REF!</v>
      </c>
      <c r="I19">
        <v>0.6</v>
      </c>
      <c r="J19" s="1" t="e">
        <f ca="1">표1[[#This Row],[열8]]/10^7</f>
        <v>#REF!</v>
      </c>
      <c r="K19">
        <v>6500</v>
      </c>
      <c r="L19">
        <v>7000</v>
      </c>
      <c r="M19" t="e">
        <f ca="1">표1[[#This Row],[열8]]/10^7</f>
        <v>#REF!</v>
      </c>
      <c r="O19" s="29">
        <v>7000</v>
      </c>
      <c r="P19" s="29">
        <v>33507660294.350002</v>
      </c>
    </row>
    <row r="20" spans="1:16" x14ac:dyDescent="0.3">
      <c r="A20">
        <v>7700</v>
      </c>
      <c r="E20" t="e" cm="1">
        <f t="array" aca="1" ref="E20" ca="1">INDIRECT("'[상승값.xlsx]상승'!E" &amp; A20)</f>
        <v>#REF!</v>
      </c>
      <c r="F20" s="4" t="e">
        <f t="shared" ca="1" si="0"/>
        <v>#REF!</v>
      </c>
      <c r="G20">
        <v>0.55000000000000004</v>
      </c>
      <c r="H20" t="e">
        <f ca="1">표1[[#This Row],[열6]]*표1[[#This Row],[열7]]</f>
        <v>#REF!</v>
      </c>
      <c r="I20">
        <v>0.6</v>
      </c>
      <c r="J20" s="31" t="e">
        <f ca="1">표1[[#This Row],[열8]]/10^7</f>
        <v>#REF!</v>
      </c>
      <c r="K20" s="32">
        <v>7000</v>
      </c>
      <c r="L20">
        <v>7700</v>
      </c>
      <c r="M20" t="e">
        <f ca="1">표1[[#This Row],[열8]]/10^7</f>
        <v>#REF!</v>
      </c>
      <c r="O20" s="30">
        <v>7700</v>
      </c>
      <c r="P20" s="30">
        <v>90077254852.75</v>
      </c>
    </row>
    <row r="21" spans="1:16" x14ac:dyDescent="0.3">
      <c r="A21">
        <v>8000</v>
      </c>
      <c r="E21" t="e" cm="1">
        <f t="array" aca="1" ref="E21" ca="1">INDIRECT("'[상승값.xlsx]상승'!E" &amp; A21)</f>
        <v>#REF!</v>
      </c>
      <c r="F21" s="4" t="e">
        <f ca="1">E21-E20</f>
        <v>#REF!</v>
      </c>
      <c r="G21">
        <v>0.55000000000000004</v>
      </c>
      <c r="H21" t="e">
        <f ca="1">표1[[#This Row],[열6]]*표1[[#This Row],[열7]]</f>
        <v>#REF!</v>
      </c>
      <c r="I21">
        <v>0.6</v>
      </c>
      <c r="J21" s="1" t="e">
        <f ca="1">표1[[#This Row],[열8]]/10^7</f>
        <v>#REF!</v>
      </c>
      <c r="K21">
        <v>7500</v>
      </c>
      <c r="L21">
        <v>8000</v>
      </c>
      <c r="M21" s="32" t="e">
        <f ca="1">표1[[#This Row],[열8]]/10^7</f>
        <v>#REF!</v>
      </c>
      <c r="O21" s="29">
        <v>8000</v>
      </c>
      <c r="P21" s="29">
        <v>44011248628.050003</v>
      </c>
    </row>
    <row r="22" spans="1:16" x14ac:dyDescent="0.3">
      <c r="A22">
        <v>8700</v>
      </c>
      <c r="E22" t="e" cm="1">
        <f t="array" aca="1" ref="E22" ca="1">INDIRECT("'[상승값.xlsx]상승'!E" &amp; A22)</f>
        <v>#REF!</v>
      </c>
      <c r="F22" s="4" t="e">
        <f t="shared" ca="1" si="0"/>
        <v>#REF!</v>
      </c>
      <c r="G22">
        <v>0.55000000000000004</v>
      </c>
      <c r="H22" t="e">
        <f ca="1">표1[[#This Row],[열6]]*표1[[#This Row],[열7]]</f>
        <v>#REF!</v>
      </c>
      <c r="I22">
        <v>0.6</v>
      </c>
      <c r="J22" s="1" t="e">
        <f ca="1">표1[[#This Row],[열8]]/10^7</f>
        <v>#REF!</v>
      </c>
      <c r="K22">
        <v>8000</v>
      </c>
      <c r="L22">
        <v>8700</v>
      </c>
      <c r="M22" t="e">
        <f ca="1">표1[[#This Row],[열8]]/10^7</f>
        <v>#REF!</v>
      </c>
      <c r="O22" s="30">
        <v>8700</v>
      </c>
      <c r="P22" s="30">
        <v>116253960963.8</v>
      </c>
    </row>
    <row r="23" spans="1:16" x14ac:dyDescent="0.3">
      <c r="A23">
        <v>9000</v>
      </c>
      <c r="E23" t="e" cm="1">
        <f t="array" aca="1" ref="E23" ca="1">INDIRECT("'[상승값.xlsx]상승'!E" &amp; A23)</f>
        <v>#REF!</v>
      </c>
      <c r="F23" s="4" t="e">
        <f ca="1">E23-E22</f>
        <v>#REF!</v>
      </c>
      <c r="G23">
        <v>0.55000000000000004</v>
      </c>
      <c r="H23" t="e">
        <f ca="1">표1[[#This Row],[열6]]*표1[[#This Row],[열7]]</f>
        <v>#REF!</v>
      </c>
      <c r="I23">
        <v>0.6</v>
      </c>
      <c r="J23" s="1" t="e">
        <f ca="1">표1[[#This Row],[열8]]/10^7</f>
        <v>#REF!</v>
      </c>
      <c r="K23">
        <v>8500</v>
      </c>
      <c r="L23">
        <v>9000</v>
      </c>
      <c r="M23" t="e">
        <f ca="1">표1[[#This Row],[열8]]/10^7</f>
        <v>#REF!</v>
      </c>
      <c r="O23" s="29">
        <v>9000</v>
      </c>
      <c r="P23" s="29">
        <v>55944836961.200005</v>
      </c>
    </row>
    <row r="24" spans="1:16" x14ac:dyDescent="0.3">
      <c r="A24">
        <v>9700</v>
      </c>
      <c r="E24" t="e" cm="1">
        <f t="array" aca="1" ref="E24" ca="1">INDIRECT("'[상승값.xlsx]상승'!E" &amp; A24)</f>
        <v>#REF!</v>
      </c>
      <c r="F24" s="4" t="e">
        <f t="shared" ca="1" si="0"/>
        <v>#REF!</v>
      </c>
      <c r="G24">
        <v>0.5</v>
      </c>
      <c r="H24" t="e">
        <f ca="1">표1[[#This Row],[열6]]*표1[[#This Row],[열7]]</f>
        <v>#REF!</v>
      </c>
      <c r="I24">
        <v>0.6</v>
      </c>
      <c r="J24" s="31" t="e">
        <f ca="1">표1[[#This Row],[열8]]/10^7</f>
        <v>#REF!</v>
      </c>
      <c r="K24" s="32">
        <v>9000</v>
      </c>
      <c r="L24">
        <v>9700</v>
      </c>
      <c r="M24" t="e">
        <f ca="1">표1[[#This Row],[열8]]/10^7</f>
        <v>#REF!</v>
      </c>
      <c r="O24" s="30">
        <v>9700</v>
      </c>
      <c r="P24" s="30">
        <v>132515757947</v>
      </c>
    </row>
    <row r="25" spans="1:16" x14ac:dyDescent="0.3">
      <c r="A25">
        <v>10000</v>
      </c>
      <c r="E25" t="e" cm="1">
        <f t="array" aca="1" ref="E25" ca="1">INDIRECT("'[상승값.xlsx]상승'!E" &amp; A25)</f>
        <v>#REF!</v>
      </c>
      <c r="F25" s="4" t="e">
        <f ca="1">E25-E24</f>
        <v>#REF!</v>
      </c>
      <c r="G25">
        <v>0.5</v>
      </c>
      <c r="H25" t="e">
        <f ca="1">표1[[#This Row],[열6]]*표1[[#This Row],[열7]]</f>
        <v>#REF!</v>
      </c>
      <c r="I25">
        <v>0.55000000000000004</v>
      </c>
      <c r="J25" s="1" t="e">
        <f ca="1">표1[[#This Row],[열8]]/10^7</f>
        <v>#REF!</v>
      </c>
      <c r="K25">
        <v>9500</v>
      </c>
      <c r="L25">
        <v>10000</v>
      </c>
      <c r="M25" s="32" t="e">
        <f ca="1">표1[[#This Row],[열8]]/10^7</f>
        <v>#REF!</v>
      </c>
      <c r="O25" s="29">
        <v>10000</v>
      </c>
      <c r="P25" s="29">
        <v>63007659358.5</v>
      </c>
    </row>
    <row r="26" spans="1:16" x14ac:dyDescent="0.3">
      <c r="A26">
        <v>10700</v>
      </c>
      <c r="E26" t="e" cm="1">
        <f t="array" aca="1" ref="E26" ca="1">INDIRECT("'[상승값.xlsx]상승'!E" &amp; A26)</f>
        <v>#REF!</v>
      </c>
      <c r="F26" s="4" t="e">
        <f t="shared" ca="1" si="0"/>
        <v>#REF!</v>
      </c>
      <c r="G26">
        <v>0.5</v>
      </c>
      <c r="H26" t="e">
        <f ca="1">표1[[#This Row],[열6]]*표1[[#This Row],[열7]]</f>
        <v>#REF!</v>
      </c>
      <c r="I26">
        <v>0.55000000000000004</v>
      </c>
      <c r="J26" s="1" t="e">
        <f ca="1">표1[[#This Row],[열8]]/10^7</f>
        <v>#REF!</v>
      </c>
      <c r="K26">
        <v>10000</v>
      </c>
      <c r="L26">
        <v>10700</v>
      </c>
      <c r="M26" t="e">
        <f ca="1">표1[[#This Row],[열8]]/10^7</f>
        <v>#REF!</v>
      </c>
      <c r="O26" s="30">
        <v>10700</v>
      </c>
      <c r="P26" s="30">
        <v>162379430169.5</v>
      </c>
    </row>
    <row r="27" spans="1:16" x14ac:dyDescent="0.3">
      <c r="A27">
        <v>11000</v>
      </c>
      <c r="E27" t="e" cm="1">
        <f t="array" aca="1" ref="E27" ca="1">INDIRECT("'[상승값.xlsx]상승'!E" &amp; A27)</f>
        <v>#REF!</v>
      </c>
      <c r="F27" s="4" t="e">
        <f ca="1">E27-E26</f>
        <v>#REF!</v>
      </c>
      <c r="G27">
        <v>0.5</v>
      </c>
      <c r="H27" t="e">
        <f ca="1">표1[[#This Row],[열6]]*표1[[#This Row],[열7]]</f>
        <v>#REF!</v>
      </c>
      <c r="I27">
        <v>0.55000000000000004</v>
      </c>
      <c r="J27" s="1" t="e">
        <f ca="1">표1[[#This Row],[열8]]/10^7</f>
        <v>#REF!</v>
      </c>
      <c r="K27">
        <v>10500</v>
      </c>
      <c r="L27">
        <v>11000</v>
      </c>
      <c r="M27" t="e">
        <f ca="1">표1[[#This Row],[열8]]/10^7</f>
        <v>#REF!</v>
      </c>
      <c r="O27" s="29">
        <v>11000</v>
      </c>
      <c r="P27" s="29">
        <v>76456376025</v>
      </c>
    </row>
    <row r="28" spans="1:16" x14ac:dyDescent="0.3">
      <c r="A28">
        <v>11700</v>
      </c>
      <c r="E28" t="e" cm="1">
        <f t="array" aca="1" ref="E28" ca="1">INDIRECT("'[상승값.xlsx]상승'!E" &amp; A28)</f>
        <v>#REF!</v>
      </c>
      <c r="F28" s="4" t="e">
        <f t="shared" ca="1" si="0"/>
        <v>#REF!</v>
      </c>
      <c r="G28">
        <v>0.5</v>
      </c>
      <c r="H28" t="e">
        <f ca="1">표1[[#This Row],[열6]]*표1[[#This Row],[열7]]</f>
        <v>#REF!</v>
      </c>
      <c r="I28">
        <v>0.55000000000000004</v>
      </c>
      <c r="J28" s="31" t="e">
        <f ca="1">표1[[#This Row],[열8]]/10^7</f>
        <v>#REF!</v>
      </c>
      <c r="K28" s="32">
        <v>11000</v>
      </c>
      <c r="L28">
        <v>11700</v>
      </c>
      <c r="M28" t="e">
        <f ca="1">표1[[#This Row],[열8]]/10^7</f>
        <v>#REF!</v>
      </c>
      <c r="O28" s="30">
        <v>11700</v>
      </c>
      <c r="P28" s="30">
        <v>195276435725</v>
      </c>
    </row>
    <row r="29" spans="1:16" x14ac:dyDescent="0.3">
      <c r="A29">
        <v>12000</v>
      </c>
      <c r="E29" t="e" cm="1">
        <f t="array" aca="1" ref="E29" ca="1">INDIRECT("'[상승값.xlsx]상승'!E" &amp; A29)</f>
        <v>#REF!</v>
      </c>
      <c r="F29" s="4" t="e">
        <f ca="1">E29-E28</f>
        <v>#REF!</v>
      </c>
      <c r="G29">
        <v>0.5</v>
      </c>
      <c r="H29" t="e">
        <f ca="1">표1[[#This Row],[열6]]*표1[[#This Row],[열7]]</f>
        <v>#REF!</v>
      </c>
      <c r="I29">
        <v>0.55000000000000004</v>
      </c>
      <c r="J29" s="1" t="e">
        <f ca="1">표1[[#This Row],[열8]]/10^7</f>
        <v>#REF!</v>
      </c>
      <c r="K29">
        <v>11500</v>
      </c>
      <c r="L29">
        <v>12000</v>
      </c>
      <c r="M29" s="32" t="e">
        <f ca="1">표1[[#This Row],[열8]]/10^7</f>
        <v>#REF!</v>
      </c>
      <c r="O29" s="29">
        <v>12000</v>
      </c>
      <c r="P29" s="29">
        <v>91205092691.5</v>
      </c>
    </row>
    <row r="30" spans="1:16" x14ac:dyDescent="0.3">
      <c r="A30">
        <v>12700</v>
      </c>
      <c r="E30" t="e" cm="1">
        <f t="array" aca="1" ref="E30" ca="1">INDIRECT("'[상승값.xlsx]상승'!E" &amp; A30)</f>
        <v>#REF!</v>
      </c>
      <c r="F30" s="4" t="e">
        <f t="shared" ca="1" si="0"/>
        <v>#REF!</v>
      </c>
      <c r="G30">
        <v>0.5</v>
      </c>
      <c r="H30" t="e">
        <f ca="1">표1[[#This Row],[열6]]*표1[[#This Row],[열7]]</f>
        <v>#REF!</v>
      </c>
      <c r="I30">
        <v>0.55000000000000004</v>
      </c>
      <c r="J30" s="1" t="e">
        <f ca="1">표1[[#This Row],[열8]]/10^7</f>
        <v>#REF!</v>
      </c>
      <c r="K30">
        <v>12000</v>
      </c>
      <c r="L30">
        <v>12700</v>
      </c>
      <c r="M30" t="e">
        <f ca="1">표1[[#This Row],[열8]]/10^7</f>
        <v>#REF!</v>
      </c>
      <c r="O30" s="30">
        <v>12700</v>
      </c>
      <c r="P30" s="30">
        <v>231206774614</v>
      </c>
    </row>
    <row r="31" spans="1:16" x14ac:dyDescent="0.3">
      <c r="A31">
        <v>13000</v>
      </c>
      <c r="E31" t="e" cm="1">
        <f t="array" aca="1" ref="E31" ca="1">INDIRECT("'[상승값.xlsx]상승'!E" &amp; A31)</f>
        <v>#REF!</v>
      </c>
      <c r="F31" s="4" t="e">
        <f ca="1">E31-E30</f>
        <v>#REF!</v>
      </c>
      <c r="G31">
        <v>0.5</v>
      </c>
      <c r="H31" t="e">
        <f ca="1">표1[[#This Row],[열6]]*표1[[#This Row],[열7]]</f>
        <v>#REF!</v>
      </c>
      <c r="I31">
        <v>0.55000000000000004</v>
      </c>
      <c r="J31" s="1" t="e">
        <f ca="1">표1[[#This Row],[열8]]/10^7</f>
        <v>#REF!</v>
      </c>
      <c r="K31">
        <v>12500</v>
      </c>
      <c r="L31">
        <v>13000</v>
      </c>
      <c r="M31" t="e">
        <f ca="1">표1[[#This Row],[열8]]/10^7</f>
        <v>#REF!</v>
      </c>
      <c r="O31" s="29">
        <v>13000</v>
      </c>
      <c r="P31" s="29">
        <v>107253809358</v>
      </c>
    </row>
    <row r="32" spans="1:16" x14ac:dyDescent="0.3">
      <c r="A32">
        <v>13700</v>
      </c>
      <c r="E32" t="e" cm="1">
        <f t="array" aca="1" ref="E32" ca="1">INDIRECT("'[상승값.xlsx]상승'!E" &amp; A32)</f>
        <v>#REF!</v>
      </c>
      <c r="F32" s="4" t="e">
        <f t="shared" ca="1" si="0"/>
        <v>#REF!</v>
      </c>
      <c r="G32">
        <v>0.5</v>
      </c>
      <c r="H32" t="e">
        <f ca="1">표1[[#This Row],[열6]]*표1[[#This Row],[열7]]</f>
        <v>#REF!</v>
      </c>
      <c r="I32">
        <v>0.5</v>
      </c>
      <c r="J32" s="31" t="e">
        <f ca="1">표1[[#This Row],[열8]]/10^7</f>
        <v>#REF!</v>
      </c>
      <c r="K32" s="32">
        <v>13000</v>
      </c>
      <c r="L32">
        <v>13700</v>
      </c>
      <c r="M32" t="e">
        <f ca="1">표1[[#This Row],[열8]]/10^7</f>
        <v>#REF!</v>
      </c>
      <c r="O32" s="30">
        <v>13700</v>
      </c>
      <c r="P32" s="30">
        <v>270170446836.5</v>
      </c>
    </row>
    <row r="33" spans="1:16" x14ac:dyDescent="0.3">
      <c r="A33">
        <v>14000</v>
      </c>
      <c r="E33" t="e" cm="1">
        <f t="array" aca="1" ref="E33" ca="1">INDIRECT("'[상승값.xlsx]상승'!E" &amp; A33)</f>
        <v>#REF!</v>
      </c>
      <c r="F33" s="4" t="e">
        <f ca="1">E33-E32</f>
        <v>#REF!</v>
      </c>
      <c r="G33">
        <v>0.5</v>
      </c>
      <c r="H33" t="e">
        <f ca="1">표1[[#This Row],[열6]]*표1[[#This Row],[열7]]</f>
        <v>#REF!</v>
      </c>
      <c r="I33">
        <v>0.5</v>
      </c>
      <c r="J33" s="1" t="e">
        <f ca="1">표1[[#This Row],[열8]]/10^7</f>
        <v>#REF!</v>
      </c>
      <c r="K33">
        <v>13500</v>
      </c>
      <c r="L33">
        <v>14000</v>
      </c>
      <c r="M33" s="32" t="e">
        <f ca="1">표1[[#This Row],[열8]]/10^7</f>
        <v>#REF!</v>
      </c>
      <c r="O33" s="29">
        <v>14000</v>
      </c>
      <c r="P33" s="29">
        <v>124602526024.5</v>
      </c>
    </row>
    <row r="34" spans="1:16" x14ac:dyDescent="0.3">
      <c r="A34">
        <v>14700</v>
      </c>
      <c r="E34" t="e" cm="1">
        <f t="array" aca="1" ref="E34" ca="1">INDIRECT("'[상승값.xlsx]상승'!E" &amp; A34)</f>
        <v>#REF!</v>
      </c>
      <c r="F34" s="4" t="e">
        <f t="shared" ca="1" si="0"/>
        <v>#REF!</v>
      </c>
      <c r="G34">
        <v>0.45</v>
      </c>
      <c r="H34" t="e">
        <f ca="1">표1[[#This Row],[열6]]*표1[[#This Row],[열7]]</f>
        <v>#REF!</v>
      </c>
      <c r="I34">
        <v>0.45</v>
      </c>
      <c r="J34" s="1" t="e">
        <f ca="1">표1[[#This Row],[열8]]/10^7</f>
        <v>#REF!</v>
      </c>
      <c r="K34">
        <v>14000</v>
      </c>
      <c r="L34">
        <v>14700</v>
      </c>
      <c r="M34" t="e">
        <f ca="1">표1[[#This Row],[열8]]/10^7</f>
        <v>#REF!</v>
      </c>
      <c r="O34" s="30">
        <v>14700</v>
      </c>
      <c r="P34" s="30">
        <v>280950707152.79999</v>
      </c>
    </row>
    <row r="35" spans="1:16" x14ac:dyDescent="0.3">
      <c r="A35">
        <v>15000</v>
      </c>
      <c r="E35" t="e" cm="1">
        <f t="array" aca="1" ref="E35" ca="1">INDIRECT("'[상승값.xlsx]상승'!E" &amp; A35)</f>
        <v>#REF!</v>
      </c>
      <c r="F35" s="4" t="e">
        <f ca="1">E35-E34</f>
        <v>#REF!</v>
      </c>
      <c r="G35">
        <v>0.43</v>
      </c>
      <c r="H35" t="e">
        <f ca="1">표1[[#This Row],[열6]]*표1[[#This Row],[열7]]</f>
        <v>#REF!</v>
      </c>
      <c r="I35">
        <v>0.43</v>
      </c>
      <c r="J35" s="1" t="e">
        <f ca="1">표1[[#This Row],[열8]]/10^7</f>
        <v>#REF!</v>
      </c>
      <c r="K35">
        <v>14500</v>
      </c>
      <c r="L35">
        <v>15000</v>
      </c>
      <c r="M35" t="e">
        <f ca="1">표1[[#This Row],[열8]]/10^7</f>
        <v>#REF!</v>
      </c>
      <c r="O35" s="29">
        <v>15000</v>
      </c>
      <c r="P35" s="29">
        <v>123196068714.69</v>
      </c>
    </row>
    <row r="36" spans="1:16" x14ac:dyDescent="0.3">
      <c r="A36">
        <v>15700</v>
      </c>
      <c r="E36" t="e" cm="1">
        <f t="array" aca="1" ref="E36" ca="1">INDIRECT("'[상승값.xlsx]상승'!E" &amp; A36)</f>
        <v>#REF!</v>
      </c>
      <c r="F36" s="4" t="e">
        <f t="shared" ca="1" si="0"/>
        <v>#REF!</v>
      </c>
      <c r="G36">
        <v>0.43</v>
      </c>
      <c r="H36" t="e">
        <f ca="1">표1[[#This Row],[열6]]*표1[[#This Row],[열7]]</f>
        <v>#REF!</v>
      </c>
      <c r="I36">
        <v>0.43</v>
      </c>
      <c r="J36" s="31" t="e">
        <f ca="1">표1[[#This Row],[열8]]/10^7</f>
        <v>#REF!</v>
      </c>
      <c r="K36" s="32">
        <v>15000</v>
      </c>
      <c r="L36">
        <v>15700</v>
      </c>
      <c r="M36" t="e">
        <f ca="1">표1[[#This Row],[열8]]/10^7</f>
        <v>#REF!</v>
      </c>
      <c r="O36" s="30">
        <v>15700</v>
      </c>
      <c r="P36" s="30">
        <v>307190100501.22998</v>
      </c>
    </row>
    <row r="37" spans="1:16" x14ac:dyDescent="0.3">
      <c r="A37">
        <v>16000</v>
      </c>
      <c r="E37" t="e" cm="1">
        <f t="array" aca="1" ref="E37" ca="1">INDIRECT("'[상승값.xlsx]상승'!E" &amp; A37)</f>
        <v>#REF!</v>
      </c>
      <c r="F37" s="4" t="e">
        <f ca="1">E37-E36</f>
        <v>#REF!</v>
      </c>
      <c r="G37">
        <v>0.43</v>
      </c>
      <c r="H37" t="e">
        <f ca="1">표1[[#This Row],[열6]]*표1[[#This Row],[열7]]</f>
        <v>#REF!</v>
      </c>
      <c r="I37">
        <v>0.43</v>
      </c>
      <c r="J37" s="1" t="e">
        <f ca="1">표1[[#This Row],[열8]]/10^7</f>
        <v>#REF!</v>
      </c>
      <c r="K37">
        <v>15500</v>
      </c>
      <c r="L37">
        <v>16000</v>
      </c>
      <c r="M37" s="32" t="e">
        <f ca="1">표1[[#This Row],[열8]]/10^7</f>
        <v>#REF!</v>
      </c>
      <c r="O37" s="29">
        <v>16000</v>
      </c>
      <c r="P37" s="29">
        <v>140351965048.31</v>
      </c>
    </row>
    <row r="38" spans="1:16" x14ac:dyDescent="0.3">
      <c r="A38">
        <v>16700</v>
      </c>
      <c r="E38" t="e" cm="1">
        <f t="array" aca="1" ref="E38" ca="1">INDIRECT("'[상승값.xlsx]상승'!E" &amp; A38)</f>
        <v>#REF!</v>
      </c>
      <c r="F38" s="4" t="e">
        <f t="shared" ca="1" si="0"/>
        <v>#REF!</v>
      </c>
      <c r="G38">
        <v>0.43</v>
      </c>
      <c r="H38" t="e">
        <f ca="1">표1[[#This Row],[열6]]*표1[[#This Row],[열7]]</f>
        <v>#REF!</v>
      </c>
      <c r="I38">
        <v>0.43</v>
      </c>
      <c r="J38" s="1" t="e">
        <f ca="1">표1[[#This Row],[열8]]/10^7</f>
        <v>#REF!</v>
      </c>
      <c r="K38">
        <v>16000</v>
      </c>
      <c r="L38">
        <v>16700</v>
      </c>
      <c r="M38" t="e">
        <f ca="1">표1[[#This Row],[열8]]/10^7</f>
        <v>#REF!</v>
      </c>
      <c r="O38" s="30">
        <v>16700</v>
      </c>
      <c r="P38" s="30">
        <v>348524858612.15002</v>
      </c>
    </row>
    <row r="39" spans="1:16" x14ac:dyDescent="0.3">
      <c r="A39">
        <v>17000</v>
      </c>
      <c r="E39" t="e" cm="1">
        <f t="array" aca="1" ref="E39" ca="1">INDIRECT("'[상승값.xlsx]상승'!E" &amp; A39)</f>
        <v>#REF!</v>
      </c>
      <c r="F39" s="4" t="e">
        <f ca="1">E39-E38</f>
        <v>#REF!</v>
      </c>
      <c r="G39">
        <v>0.43</v>
      </c>
      <c r="H39" t="e">
        <f ca="1">표1[[#This Row],[열6]]*표1[[#This Row],[열7]]</f>
        <v>#REF!</v>
      </c>
      <c r="I39">
        <v>0.43</v>
      </c>
      <c r="J39" s="1" t="e">
        <f ca="1">표1[[#This Row],[열8]]/10^7</f>
        <v>#REF!</v>
      </c>
      <c r="K39">
        <v>16500</v>
      </c>
      <c r="L39">
        <v>17000</v>
      </c>
      <c r="M39" t="e">
        <f ca="1">표1[[#This Row],[열8]]/10^7</f>
        <v>#REF!</v>
      </c>
      <c r="O39" s="29">
        <v>17000</v>
      </c>
      <c r="P39" s="29">
        <v>158625861381.92999</v>
      </c>
    </row>
    <row r="40" spans="1:16" x14ac:dyDescent="0.3">
      <c r="A40">
        <v>17700</v>
      </c>
      <c r="E40" t="e" cm="1">
        <f t="array" aca="1" ref="E40" ca="1">INDIRECT("'[상승값.xlsx]상승'!E" &amp; A40)</f>
        <v>#REF!</v>
      </c>
      <c r="F40" s="4" t="e">
        <f t="shared" ca="1" si="0"/>
        <v>#REF!</v>
      </c>
      <c r="G40">
        <v>0.43</v>
      </c>
      <c r="H40" t="e">
        <f ca="1">표1[[#This Row],[열6]]*표1[[#This Row],[열7]]</f>
        <v>#REF!</v>
      </c>
      <c r="I40">
        <v>0.43</v>
      </c>
      <c r="J40" s="31" t="e">
        <f ca="1">표1[[#This Row],[열8]]/10^7</f>
        <v>#REF!</v>
      </c>
      <c r="K40" s="32">
        <v>17000</v>
      </c>
      <c r="L40">
        <v>17700</v>
      </c>
      <c r="M40" t="e">
        <f ca="1">표1[[#This Row],[열8]]/10^7</f>
        <v>#REF!</v>
      </c>
      <c r="O40" s="30">
        <v>17700</v>
      </c>
      <c r="P40" s="30">
        <v>392468283389.88</v>
      </c>
    </row>
    <row r="41" spans="1:16" x14ac:dyDescent="0.3">
      <c r="A41">
        <v>18000</v>
      </c>
      <c r="E41" t="e" cm="1">
        <f t="array" aca="1" ref="E41" ca="1">INDIRECT("'[상승값.xlsx]상승'!E" &amp; A41)</f>
        <v>#REF!</v>
      </c>
      <c r="F41" s="4" t="e">
        <f ca="1">E41-E40</f>
        <v>#REF!</v>
      </c>
      <c r="G41">
        <v>0.43000000000000005</v>
      </c>
      <c r="H41" t="e">
        <f ca="1">표1[[#This Row],[열6]]*표1[[#This Row],[열7]]</f>
        <v>#REF!</v>
      </c>
      <c r="I41">
        <v>0.43000000000000005</v>
      </c>
      <c r="J41" s="1" t="e">
        <f ca="1">표1[[#This Row],[열8]]/10^7</f>
        <v>#REF!</v>
      </c>
      <c r="K41">
        <v>17500</v>
      </c>
      <c r="L41">
        <v>18000</v>
      </c>
      <c r="M41" s="32" t="e">
        <f ca="1">표1[[#This Row],[열8]]/10^7</f>
        <v>#REF!</v>
      </c>
      <c r="O41" s="29">
        <v>18000</v>
      </c>
      <c r="P41" s="29">
        <v>178017757715.12003</v>
      </c>
    </row>
    <row r="42" spans="1:16" x14ac:dyDescent="0.3">
      <c r="A42">
        <v>18700</v>
      </c>
      <c r="E42" t="e" cm="1">
        <f t="array" aca="1" ref="E42" ca="1">INDIRECT("'[상승값.xlsx]상승'!E" &amp; A42)</f>
        <v>#REF!</v>
      </c>
      <c r="F42" s="4" t="e">
        <f t="shared" ca="1" si="0"/>
        <v>#REF!</v>
      </c>
      <c r="G42">
        <v>0.43</v>
      </c>
      <c r="H42" t="e">
        <f ca="1">표1[[#This Row],[열6]]*표1[[#This Row],[열7]]</f>
        <v>#REF!</v>
      </c>
      <c r="I42">
        <v>0.43</v>
      </c>
      <c r="J42" s="1" t="e">
        <f ca="1">표1[[#This Row],[열8]]/10^7</f>
        <v>#REF!</v>
      </c>
      <c r="K42">
        <v>18000</v>
      </c>
      <c r="L42">
        <v>18700</v>
      </c>
      <c r="M42" t="e">
        <f ca="1">표1[[#This Row],[열8]]/10^7</f>
        <v>#REF!</v>
      </c>
      <c r="O42" s="30">
        <v>18700</v>
      </c>
      <c r="P42" s="30">
        <v>439020374834.41998</v>
      </c>
    </row>
    <row r="43" spans="1:16" x14ac:dyDescent="0.3">
      <c r="A43">
        <v>19000</v>
      </c>
      <c r="E43" t="e" cm="1">
        <f t="array" aca="1" ref="E43" ca="1">INDIRECT("'[상승값.xlsx]상승'!E" &amp; A43)</f>
        <v>#REF!</v>
      </c>
      <c r="F43" s="4" t="e">
        <f ca="1">E43-E42</f>
        <v>#REF!</v>
      </c>
      <c r="G43">
        <v>0.42999999999999994</v>
      </c>
      <c r="H43" t="e">
        <f ca="1">표1[[#This Row],[열6]]*표1[[#This Row],[열7]]</f>
        <v>#REF!</v>
      </c>
      <c r="I43">
        <v>0.42999999999999994</v>
      </c>
      <c r="J43" s="1" t="e">
        <f ca="1">표1[[#This Row],[열8]]/10^7</f>
        <v>#REF!</v>
      </c>
      <c r="K43">
        <v>18500</v>
      </c>
      <c r="L43">
        <v>19000</v>
      </c>
      <c r="M43" t="e">
        <f ca="1">표1[[#This Row],[열8]]/10^7</f>
        <v>#REF!</v>
      </c>
      <c r="O43" s="29">
        <v>19000</v>
      </c>
      <c r="P43" s="29">
        <v>198527654048.30997</v>
      </c>
    </row>
    <row r="44" spans="1:16" x14ac:dyDescent="0.3">
      <c r="A44">
        <v>19700</v>
      </c>
      <c r="E44" t="e" cm="1">
        <f t="array" aca="1" ref="E44" ca="1">INDIRECT("'[상승값.xlsx]상승'!E" &amp; A44)</f>
        <v>#REF!</v>
      </c>
      <c r="F44" s="4" t="e">
        <f t="shared" ca="1" si="0"/>
        <v>#REF!</v>
      </c>
      <c r="G44">
        <v>0.43000000000000005</v>
      </c>
      <c r="H44" t="e">
        <f ca="1">표1[[#This Row],[열6]]*표1[[#This Row],[열7]]</f>
        <v>#REF!</v>
      </c>
      <c r="I44">
        <v>0.43000000000000005</v>
      </c>
      <c r="J44" s="31" t="e">
        <f ca="1">표1[[#This Row],[열8]]/10^7</f>
        <v>#REF!</v>
      </c>
      <c r="K44" s="32">
        <v>19000</v>
      </c>
      <c r="L44">
        <v>19700</v>
      </c>
      <c r="M44" t="e">
        <f ca="1">표1[[#This Row],[열8]]/10^7</f>
        <v>#REF!</v>
      </c>
      <c r="O44" s="30">
        <v>19700</v>
      </c>
      <c r="P44" s="30">
        <v>488181132945.77008</v>
      </c>
    </row>
    <row r="45" spans="1:16" x14ac:dyDescent="0.3">
      <c r="H45">
        <f>표1[[#This Row],[열6]]*표1[[#This Row],[열7]]</f>
        <v>0</v>
      </c>
      <c r="I45" t="e">
        <f>표1[[#This Row],[열7]]/표1[[#This Row],[열6]]</f>
        <v>#DIV/0!</v>
      </c>
      <c r="J45">
        <f>표1[[#This Row],[열8]]/10^7</f>
        <v>0</v>
      </c>
      <c r="K45">
        <v>19500</v>
      </c>
      <c r="M45" s="32">
        <f>표1[[#This Row],[열8]]/10^7</f>
        <v>0</v>
      </c>
    </row>
  </sheetData>
  <sortState xmlns:xlrd2="http://schemas.microsoft.com/office/spreadsheetml/2017/richdata2" ref="A5:F44">
    <sortCondition ref="A5:A44"/>
  </sortState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8967E-9DFE-4975-87A4-2401F29635E9}">
  <dimension ref="B2:U169"/>
  <sheetViews>
    <sheetView topLeftCell="D1" workbookViewId="0">
      <selection activeCell="G2" sqref="G2:L22"/>
    </sheetView>
  </sheetViews>
  <sheetFormatPr defaultRowHeight="16.5" x14ac:dyDescent="0.3"/>
  <cols>
    <col min="5" max="6" width="9.875" bestFit="1" customWidth="1"/>
  </cols>
  <sheetData>
    <row r="2" spans="2:21" x14ac:dyDescent="0.3">
      <c r="M2">
        <v>100</v>
      </c>
      <c r="N2">
        <v>12</v>
      </c>
    </row>
    <row r="3" spans="2:21" x14ac:dyDescent="0.3">
      <c r="B3" s="29">
        <v>0.88</v>
      </c>
      <c r="C3" t="e">
        <f>'육성1 골드'!H4*B3</f>
        <v>#VALUE!</v>
      </c>
      <c r="D3">
        <v>9900</v>
      </c>
      <c r="M3">
        <f>100+나무계산!O$4*나무계산!K4</f>
        <v>101</v>
      </c>
      <c r="N3">
        <f>150+나무계산!K4*나무계산!O$5</f>
        <v>152</v>
      </c>
      <c r="O3">
        <f>N$102+나무계산!O$6*나무계산!K4</f>
        <v>353</v>
      </c>
      <c r="P3">
        <f>O$102+나무계산!O$7*나무계산!K4</f>
        <v>654</v>
      </c>
      <c r="Q3">
        <f>P$102+나무계산!O$8*나무계산!K4</f>
        <v>1055</v>
      </c>
      <c r="S3">
        <v>25</v>
      </c>
      <c r="U3">
        <f>SUM(M3:M27)</f>
        <v>2825</v>
      </c>
    </row>
    <row r="4" spans="2:21" x14ac:dyDescent="0.3">
      <c r="B4" s="30">
        <v>0.88</v>
      </c>
      <c r="C4" t="e">
        <f ca="1">'육성1 골드'!H5*B4</f>
        <v>#REF!</v>
      </c>
      <c r="D4">
        <v>12100</v>
      </c>
      <c r="M4">
        <f>100+나무계산!O$4*나무계산!K5</f>
        <v>102</v>
      </c>
      <c r="N4">
        <f>150+나무계산!K5*나무계산!O$5</f>
        <v>154</v>
      </c>
      <c r="O4">
        <f>N$102+나무계산!O$6*나무계산!K5</f>
        <v>356</v>
      </c>
      <c r="P4">
        <f>O$102+나무계산!O$7*나무계산!K5</f>
        <v>658</v>
      </c>
      <c r="Q4">
        <f>P$102+나무계산!O$8*나무계산!K5</f>
        <v>1060</v>
      </c>
      <c r="S4">
        <v>125</v>
      </c>
    </row>
    <row r="5" spans="2:21" x14ac:dyDescent="0.3">
      <c r="B5" s="29">
        <v>0.88</v>
      </c>
      <c r="C5" t="e">
        <f ca="1">'육성1 골드'!H6*B5</f>
        <v>#REF!</v>
      </c>
      <c r="D5">
        <v>70400</v>
      </c>
      <c r="M5">
        <f>100+나무계산!O$4*나무계산!K6</f>
        <v>103</v>
      </c>
      <c r="N5">
        <f>150+나무계산!K6*나무계산!O$5</f>
        <v>156</v>
      </c>
      <c r="O5">
        <f>N$102+나무계산!O$6*나무계산!K6</f>
        <v>359</v>
      </c>
      <c r="P5">
        <f>O$102+나무계산!O$7*나무계산!K6</f>
        <v>662</v>
      </c>
      <c r="Q5">
        <f>P$102+나무계산!O$8*나무계산!K6</f>
        <v>1065</v>
      </c>
      <c r="S5">
        <v>225</v>
      </c>
    </row>
    <row r="6" spans="2:21" x14ac:dyDescent="0.3">
      <c r="B6" s="29">
        <v>0.8</v>
      </c>
      <c r="C6" t="e">
        <f ca="1">'육성1 골드'!H7*B6</f>
        <v>#REF!</v>
      </c>
      <c r="D6">
        <v>96000</v>
      </c>
      <c r="M6">
        <f>100+나무계산!O$4*나무계산!K7</f>
        <v>104</v>
      </c>
      <c r="N6">
        <f>150+나무계산!K7*나무계산!O$5</f>
        <v>158</v>
      </c>
      <c r="O6">
        <f>N$102+나무계산!O$6*나무계산!K7</f>
        <v>362</v>
      </c>
      <c r="P6">
        <f>O$102+나무계산!O$7*나무계산!K7</f>
        <v>666</v>
      </c>
      <c r="Q6">
        <f>P$102+나무계산!O$8*나무계산!K7</f>
        <v>1070</v>
      </c>
      <c r="S6">
        <v>325</v>
      </c>
    </row>
    <row r="7" spans="2:21" x14ac:dyDescent="0.3">
      <c r="B7" s="30">
        <v>0.80000000000000016</v>
      </c>
      <c r="C7" t="e">
        <f ca="1">'육성1 골드'!H8*B7</f>
        <v>#REF!</v>
      </c>
      <c r="D7">
        <v>136000.00000000003</v>
      </c>
      <c r="M7">
        <f>100+나무계산!O$4*나무계산!K8</f>
        <v>105</v>
      </c>
      <c r="N7">
        <f>150+나무계산!K8*나무계산!O$5</f>
        <v>160</v>
      </c>
      <c r="O7">
        <f>N$102+나무계산!O$6*나무계산!K8</f>
        <v>365</v>
      </c>
      <c r="P7">
        <f>O$102+나무계산!O$7*나무계산!K8</f>
        <v>670</v>
      </c>
      <c r="Q7">
        <f>P$102+나무계산!O$8*나무계산!K8</f>
        <v>1075</v>
      </c>
      <c r="S7">
        <v>425</v>
      </c>
    </row>
    <row r="8" spans="2:21" x14ac:dyDescent="0.3">
      <c r="B8" s="29">
        <v>0.8</v>
      </c>
      <c r="C8" t="e">
        <f ca="1">'육성1 골드'!H9*B8</f>
        <v>#REF!</v>
      </c>
      <c r="D8">
        <v>184000</v>
      </c>
      <c r="M8">
        <f>100+나무계산!O$4*나무계산!K9</f>
        <v>106</v>
      </c>
      <c r="N8">
        <f>150+나무계산!K9*나무계산!O$5</f>
        <v>162</v>
      </c>
      <c r="O8">
        <f>N$102+나무계산!O$6*나무계산!K9</f>
        <v>368</v>
      </c>
      <c r="P8">
        <f>O$102+나무계산!O$7*나무계산!K9</f>
        <v>674</v>
      </c>
      <c r="Q8">
        <f>P$102+나무계산!O$8*나무계산!K9</f>
        <v>1080</v>
      </c>
      <c r="S8">
        <v>525</v>
      </c>
    </row>
    <row r="9" spans="2:21" x14ac:dyDescent="0.3">
      <c r="B9" s="30">
        <v>0.8</v>
      </c>
      <c r="C9" t="e">
        <f ca="1">'육성1 골드'!H10*B9</f>
        <v>#REF!</v>
      </c>
      <c r="D9">
        <v>240000</v>
      </c>
      <c r="M9">
        <f>100+나무계산!O$4*나무계산!K10</f>
        <v>107</v>
      </c>
      <c r="N9">
        <f>150+나무계산!K10*나무계산!O$5</f>
        <v>164</v>
      </c>
      <c r="O9">
        <f>N$102+나무계산!O$6*나무계산!K10</f>
        <v>371</v>
      </c>
      <c r="P9">
        <f>O$102+나무계산!O$7*나무계산!K10</f>
        <v>678</v>
      </c>
      <c r="Q9">
        <f>P$102+나무계산!O$8*나무계산!K10</f>
        <v>1085</v>
      </c>
      <c r="S9">
        <v>625</v>
      </c>
    </row>
    <row r="10" spans="2:21" x14ac:dyDescent="0.3">
      <c r="B10" s="29">
        <v>0.8</v>
      </c>
      <c r="C10" t="e">
        <f ca="1">'육성1 골드'!H11*B10</f>
        <v>#REF!</v>
      </c>
      <c r="D10">
        <v>304000</v>
      </c>
      <c r="M10">
        <f>100+나무계산!O$4*나무계산!K11</f>
        <v>108</v>
      </c>
      <c r="N10">
        <f>150+나무계산!K11*나무계산!O$5</f>
        <v>166</v>
      </c>
      <c r="O10">
        <f>N$102+나무계산!O$6*나무계산!K11</f>
        <v>374</v>
      </c>
      <c r="P10">
        <f>O$102+나무계산!O$7*나무계산!K11</f>
        <v>682</v>
      </c>
      <c r="Q10">
        <f>P$102+나무계산!O$8*나무계산!K11</f>
        <v>1090</v>
      </c>
      <c r="S10">
        <v>725</v>
      </c>
    </row>
    <row r="11" spans="2:21" x14ac:dyDescent="0.3">
      <c r="B11" s="30">
        <v>0.80000000000000016</v>
      </c>
      <c r="C11" t="e">
        <f ca="1">'육성1 골드'!H12*B11</f>
        <v>#REF!</v>
      </c>
      <c r="D11">
        <v>376000.00000000006</v>
      </c>
      <c r="M11">
        <f>100+나무계산!O$4*나무계산!K12</f>
        <v>109</v>
      </c>
      <c r="N11">
        <f>150+나무계산!K12*나무계산!O$5</f>
        <v>168</v>
      </c>
      <c r="O11">
        <f>N$102+나무계산!O$6*나무계산!K12</f>
        <v>377</v>
      </c>
      <c r="P11">
        <f>O$102+나무계산!O$7*나무계산!K12</f>
        <v>686</v>
      </c>
      <c r="Q11">
        <f>P$102+나무계산!O$8*나무계산!K12</f>
        <v>1095</v>
      </c>
      <c r="S11">
        <v>825</v>
      </c>
    </row>
    <row r="12" spans="2:21" x14ac:dyDescent="0.3">
      <c r="B12" s="29">
        <v>0.6</v>
      </c>
      <c r="C12" t="e">
        <f ca="1">'육성1 골드'!H13*B12</f>
        <v>#REF!</v>
      </c>
      <c r="D12">
        <v>342000</v>
      </c>
      <c r="M12">
        <f>100+나무계산!O$4*나무계산!K13</f>
        <v>110</v>
      </c>
      <c r="N12">
        <f>150+나무계산!K13*나무계산!O$5</f>
        <v>170</v>
      </c>
      <c r="O12">
        <f>N$102+나무계산!O$6*나무계산!K13</f>
        <v>380</v>
      </c>
      <c r="P12">
        <f>O$102+나무계산!O$7*나무계산!K13</f>
        <v>690</v>
      </c>
      <c r="Q12">
        <f>P$102+나무계산!O$8*나무계산!K13</f>
        <v>1100</v>
      </c>
      <c r="S12">
        <v>925</v>
      </c>
    </row>
    <row r="13" spans="2:21" x14ac:dyDescent="0.3">
      <c r="B13" s="30">
        <v>0.6</v>
      </c>
      <c r="C13" t="e">
        <f ca="1">'육성1 골드'!H14*B13</f>
        <v>#REF!</v>
      </c>
      <c r="D13">
        <v>408000</v>
      </c>
      <c r="M13">
        <f>100+나무계산!O$4*나무계산!K14</f>
        <v>111</v>
      </c>
      <c r="N13">
        <f>150+나무계산!K14*나무계산!O$5</f>
        <v>172</v>
      </c>
      <c r="O13">
        <f>N$102+나무계산!O$6*나무계산!K14</f>
        <v>383</v>
      </c>
      <c r="P13">
        <f>O$102+나무계산!O$7*나무계산!K14</f>
        <v>694</v>
      </c>
      <c r="Q13">
        <f>P$102+나무계산!O$8*나무계산!K14</f>
        <v>1105</v>
      </c>
      <c r="S13">
        <v>1025</v>
      </c>
    </row>
    <row r="14" spans="2:21" x14ac:dyDescent="0.3">
      <c r="B14" s="29">
        <v>0.6</v>
      </c>
      <c r="C14" t="e">
        <f ca="1">'육성1 골드'!H15*B14</f>
        <v>#REF!</v>
      </c>
      <c r="D14">
        <v>480000</v>
      </c>
      <c r="M14">
        <f>100+나무계산!O$4*나무계산!K15</f>
        <v>112</v>
      </c>
      <c r="N14">
        <f>150+나무계산!K15*나무계산!O$5</f>
        <v>174</v>
      </c>
      <c r="O14">
        <f>N$102+나무계산!O$6*나무계산!K15</f>
        <v>386</v>
      </c>
      <c r="P14">
        <f>O$102+나무계산!O$7*나무계산!K15</f>
        <v>698</v>
      </c>
      <c r="Q14">
        <f>P$102+나무계산!O$8*나무계산!K15</f>
        <v>1110</v>
      </c>
      <c r="S14">
        <v>1125</v>
      </c>
    </row>
    <row r="15" spans="2:21" x14ac:dyDescent="0.3">
      <c r="B15" s="30">
        <v>0.6</v>
      </c>
      <c r="C15" t="e">
        <f ca="1">'육성1 골드'!H16*B15</f>
        <v>#REF!</v>
      </c>
      <c r="D15">
        <v>558000</v>
      </c>
      <c r="M15">
        <f>100+나무계산!O$4*나무계산!K16</f>
        <v>113</v>
      </c>
      <c r="N15">
        <f>150+나무계산!K16*나무계산!O$5</f>
        <v>176</v>
      </c>
      <c r="O15">
        <f>N$102+나무계산!O$6*나무계산!K16</f>
        <v>389</v>
      </c>
      <c r="P15">
        <f>O$102+나무계산!O$7*나무계산!K16</f>
        <v>702</v>
      </c>
      <c r="Q15">
        <f>P$102+나무계산!O$8*나무계산!K16</f>
        <v>1115</v>
      </c>
      <c r="S15">
        <v>1225</v>
      </c>
    </row>
    <row r="16" spans="2:21" x14ac:dyDescent="0.3">
      <c r="B16" s="29">
        <v>0.6</v>
      </c>
      <c r="C16" t="e">
        <f ca="1">'육성1 골드'!H17*B16</f>
        <v>#REF!</v>
      </c>
      <c r="D16">
        <v>642000</v>
      </c>
      <c r="M16">
        <f>100+나무계산!O$4*나무계산!K17</f>
        <v>114</v>
      </c>
      <c r="N16">
        <f>150+나무계산!K17*나무계산!O$5</f>
        <v>178</v>
      </c>
      <c r="O16">
        <f>N$102+나무계산!O$6*나무계산!K17</f>
        <v>392</v>
      </c>
      <c r="P16">
        <f>O$102+나무계산!O$7*나무계산!K17</f>
        <v>706</v>
      </c>
      <c r="Q16">
        <f>P$102+나무계산!O$8*나무계산!K17</f>
        <v>1120</v>
      </c>
      <c r="S16">
        <v>1325</v>
      </c>
    </row>
    <row r="17" spans="2:19" x14ac:dyDescent="0.3">
      <c r="B17" s="30">
        <v>0.6</v>
      </c>
      <c r="C17" t="e">
        <f ca="1">'육성1 골드'!H18*B17</f>
        <v>#REF!</v>
      </c>
      <c r="D17">
        <v>732000</v>
      </c>
      <c r="M17">
        <f>100+나무계산!O$4*나무계산!K18</f>
        <v>115</v>
      </c>
      <c r="N17">
        <f>150+나무계산!K18*나무계산!O$5</f>
        <v>180</v>
      </c>
      <c r="O17">
        <f>N$102+나무계산!O$6*나무계산!K18</f>
        <v>395</v>
      </c>
      <c r="P17">
        <f>O$102+나무계산!O$7*나무계산!K18</f>
        <v>710</v>
      </c>
      <c r="Q17">
        <f>P$102+나무계산!O$8*나무계산!K18</f>
        <v>1125</v>
      </c>
      <c r="S17">
        <v>1425</v>
      </c>
    </row>
    <row r="18" spans="2:19" x14ac:dyDescent="0.3">
      <c r="B18" s="29">
        <v>0.55000000000000004</v>
      </c>
      <c r="C18" t="e">
        <f ca="1">'육성1 골드'!H19*B18</f>
        <v>#REF!</v>
      </c>
      <c r="D18">
        <v>759000.00000000012</v>
      </c>
      <c r="M18">
        <f>100+나무계산!O$4*나무계산!K19</f>
        <v>116</v>
      </c>
      <c r="N18">
        <f>150+나무계산!K19*나무계산!O$5</f>
        <v>182</v>
      </c>
      <c r="O18">
        <f>N$102+나무계산!O$6*나무계산!K19</f>
        <v>398</v>
      </c>
      <c r="P18">
        <f>O$102+나무계산!O$7*나무계산!K19</f>
        <v>714</v>
      </c>
      <c r="Q18">
        <f>P$102+나무계산!O$8*나무계산!K19</f>
        <v>1130</v>
      </c>
      <c r="S18">
        <v>1525</v>
      </c>
    </row>
    <row r="19" spans="2:19" x14ac:dyDescent="0.3">
      <c r="B19" s="30">
        <v>0.55000000000000004</v>
      </c>
      <c r="C19" t="e">
        <f ca="1">'육성1 골드'!H20*B19</f>
        <v>#REF!</v>
      </c>
      <c r="D19">
        <v>852500.00000000012</v>
      </c>
      <c r="M19">
        <f>100+나무계산!O$4*나무계산!K20</f>
        <v>117</v>
      </c>
      <c r="N19">
        <f>150+나무계산!K20*나무계산!O$5</f>
        <v>184</v>
      </c>
      <c r="O19">
        <f>N$102+나무계산!O$6*나무계산!K20</f>
        <v>401</v>
      </c>
      <c r="P19">
        <f>O$102+나무계산!O$7*나무계산!K20</f>
        <v>718</v>
      </c>
      <c r="Q19">
        <f>P$102+나무계산!O$8*나무계산!K20</f>
        <v>1135</v>
      </c>
      <c r="S19">
        <v>1625</v>
      </c>
    </row>
    <row r="20" spans="2:19" x14ac:dyDescent="0.3">
      <c r="B20" s="29">
        <v>0.55000000000000004</v>
      </c>
      <c r="C20" t="e">
        <f ca="1">'육성1 골드'!H21*B20</f>
        <v>#REF!</v>
      </c>
      <c r="D20">
        <v>951500.00000000012</v>
      </c>
      <c r="M20">
        <f>100+나무계산!O$4*나무계산!K21</f>
        <v>118</v>
      </c>
      <c r="N20">
        <f>150+나무계산!K21*나무계산!O$5</f>
        <v>186</v>
      </c>
      <c r="O20">
        <f>N$102+나무계산!O$6*나무계산!K21</f>
        <v>404</v>
      </c>
      <c r="P20">
        <f>O$102+나무계산!O$7*나무계산!K21</f>
        <v>722</v>
      </c>
      <c r="Q20">
        <f>P$102+나무계산!O$8*나무계산!K21</f>
        <v>1140</v>
      </c>
      <c r="S20">
        <v>1725</v>
      </c>
    </row>
    <row r="21" spans="2:19" x14ac:dyDescent="0.3">
      <c r="B21" s="30">
        <v>0.55000000000000004</v>
      </c>
      <c r="C21" t="e">
        <f ca="1">'육성1 골드'!H22*B21</f>
        <v>#REF!</v>
      </c>
      <c r="D21">
        <v>1056000</v>
      </c>
      <c r="M21">
        <f>100+나무계산!O$4*나무계산!K22</f>
        <v>119</v>
      </c>
      <c r="N21">
        <f>150+나무계산!K22*나무계산!O$5</f>
        <v>188</v>
      </c>
      <c r="O21">
        <f>N$102+나무계산!O$6*나무계산!K22</f>
        <v>407</v>
      </c>
      <c r="P21">
        <f>O$102+나무계산!O$7*나무계산!K22</f>
        <v>726</v>
      </c>
      <c r="Q21">
        <f>P$102+나무계산!O$8*나무계산!K22</f>
        <v>1145</v>
      </c>
      <c r="S21">
        <v>1825</v>
      </c>
    </row>
    <row r="22" spans="2:19" x14ac:dyDescent="0.3">
      <c r="B22" s="29">
        <v>0.55000000000000004</v>
      </c>
      <c r="C22" t="e">
        <f ca="1">'육성1 골드'!H23*B22</f>
        <v>#REF!</v>
      </c>
      <c r="D22">
        <v>1166000</v>
      </c>
      <c r="M22">
        <f>100+나무계산!O$4*나무계산!K23</f>
        <v>120</v>
      </c>
      <c r="N22">
        <f>150+나무계산!K23*나무계산!O$5</f>
        <v>190</v>
      </c>
      <c r="O22">
        <f>N$102+나무계산!O$6*나무계산!K23</f>
        <v>410</v>
      </c>
      <c r="P22">
        <f>O$102+나무계산!O$7*나무계산!K23</f>
        <v>730</v>
      </c>
      <c r="Q22">
        <f>P$102+나무계산!O$8*나무계산!K23</f>
        <v>1150</v>
      </c>
      <c r="S22">
        <v>1925</v>
      </c>
    </row>
    <row r="23" spans="2:19" x14ac:dyDescent="0.3">
      <c r="B23" s="30">
        <v>0.55000000000000004</v>
      </c>
      <c r="C23" t="e">
        <f ca="1">'육성1 골드'!H24*B23</f>
        <v>#REF!</v>
      </c>
      <c r="D23">
        <v>1281500</v>
      </c>
      <c r="L23">
        <v>21</v>
      </c>
      <c r="M23">
        <f>100+나무계산!O$4*L23</f>
        <v>121</v>
      </c>
      <c r="N23">
        <f>150+L23*나무계산!O$5</f>
        <v>192</v>
      </c>
      <c r="O23">
        <f>N$102+나무계산!O$6*L23</f>
        <v>413</v>
      </c>
      <c r="P23">
        <f>O$102+나무계산!O$7*L23</f>
        <v>734</v>
      </c>
      <c r="Q23">
        <f>P$102+나무계산!O$8*L23</f>
        <v>1155</v>
      </c>
    </row>
    <row r="24" spans="2:19" x14ac:dyDescent="0.3">
      <c r="B24" s="29">
        <v>0.55000000000000004</v>
      </c>
      <c r="C24" t="e">
        <f ca="1">'육성1 골드'!H25*B24</f>
        <v>#REF!</v>
      </c>
      <c r="D24">
        <v>1402500</v>
      </c>
      <c r="L24">
        <v>22</v>
      </c>
      <c r="M24">
        <f>100+나무계산!O$4*L24</f>
        <v>122</v>
      </c>
      <c r="N24">
        <f>150+L24*나무계산!O$5</f>
        <v>194</v>
      </c>
      <c r="O24">
        <f>N$102+나무계산!O$6*L24</f>
        <v>416</v>
      </c>
      <c r="P24">
        <f>O$102+나무계산!O$7*L24</f>
        <v>738</v>
      </c>
      <c r="Q24">
        <f>P$102+나무계산!O$8*L24</f>
        <v>1160</v>
      </c>
    </row>
    <row r="25" spans="2:19" x14ac:dyDescent="0.3">
      <c r="B25" s="30">
        <v>0.5</v>
      </c>
      <c r="C25" t="e">
        <f ca="1">'육성1 골드'!H26*B25</f>
        <v>#REF!</v>
      </c>
      <c r="D25">
        <v>1390000</v>
      </c>
      <c r="L25">
        <v>23</v>
      </c>
      <c r="M25">
        <f>100+나무계산!O$4*L25</f>
        <v>123</v>
      </c>
      <c r="N25">
        <f>150+L25*나무계산!O$5</f>
        <v>196</v>
      </c>
      <c r="O25">
        <f>N$102+나무계산!O$6*L25</f>
        <v>419</v>
      </c>
      <c r="P25">
        <f>O$102+나무계산!O$7*L25</f>
        <v>742</v>
      </c>
      <c r="Q25">
        <f>P$102+나무계산!O$8*L25</f>
        <v>1165</v>
      </c>
    </row>
    <row r="26" spans="2:19" x14ac:dyDescent="0.3">
      <c r="B26" s="29">
        <v>0.5</v>
      </c>
      <c r="C26" t="e">
        <f ca="1">'육성1 골드'!H27*B26</f>
        <v>#REF!</v>
      </c>
      <c r="D26">
        <v>1510000</v>
      </c>
      <c r="L26">
        <v>24</v>
      </c>
      <c r="M26">
        <f>100+나무계산!O$4*L26</f>
        <v>124</v>
      </c>
      <c r="N26">
        <f>150+L26*나무계산!O$5</f>
        <v>198</v>
      </c>
      <c r="O26">
        <f>N$102+나무계산!O$6*L26</f>
        <v>422</v>
      </c>
      <c r="P26">
        <f>O$102+나무계산!O$7*L26</f>
        <v>746</v>
      </c>
      <c r="Q26">
        <f>P$102+나무계산!O$8*L26</f>
        <v>1170</v>
      </c>
    </row>
    <row r="27" spans="2:19" x14ac:dyDescent="0.3">
      <c r="B27" s="30">
        <v>0.45</v>
      </c>
      <c r="C27" t="e">
        <f ca="1">'육성1 골드'!H28*B27</f>
        <v>#REF!</v>
      </c>
      <c r="D27">
        <v>1471500</v>
      </c>
      <c r="L27">
        <v>25</v>
      </c>
      <c r="M27">
        <f>100+나무계산!O$4*L27</f>
        <v>125</v>
      </c>
      <c r="N27">
        <f>150+L27*나무계산!O$5</f>
        <v>200</v>
      </c>
      <c r="O27">
        <f>N$102+나무계산!O$6*L27</f>
        <v>425</v>
      </c>
      <c r="P27">
        <f>O$102+나무계산!O$7*L27</f>
        <v>750</v>
      </c>
      <c r="Q27">
        <f>P$102+나무계산!O$8*L27</f>
        <v>1175</v>
      </c>
    </row>
    <row r="28" spans="2:19" x14ac:dyDescent="0.3">
      <c r="B28" s="29">
        <v>0.43</v>
      </c>
      <c r="C28" t="e">
        <f ca="1">'육성1 골드'!H29*B28</f>
        <v>#REF!</v>
      </c>
      <c r="D28">
        <v>1517900</v>
      </c>
      <c r="L28">
        <v>26</v>
      </c>
      <c r="M28">
        <f>100+나무계산!O$4*L28</f>
        <v>126</v>
      </c>
      <c r="N28">
        <f>150+L28*나무계산!O$5</f>
        <v>202</v>
      </c>
      <c r="O28">
        <f>N$102+나무계산!O$6*L28</f>
        <v>428</v>
      </c>
      <c r="P28">
        <f>O$102+나무계산!O$7*L28</f>
        <v>754</v>
      </c>
      <c r="Q28">
        <f>P$102+나무계산!O$8*L28</f>
        <v>1180</v>
      </c>
    </row>
    <row r="29" spans="2:19" x14ac:dyDescent="0.3">
      <c r="B29" s="30">
        <v>0.43</v>
      </c>
      <c r="C29" t="e">
        <f ca="1">'육성1 골드'!H30*B29</f>
        <v>#REF!</v>
      </c>
      <c r="D29">
        <v>1634000</v>
      </c>
      <c r="L29">
        <v>27</v>
      </c>
      <c r="M29">
        <f>100+나무계산!O$4*L29</f>
        <v>127</v>
      </c>
      <c r="N29">
        <f>150+L29*나무계산!O$5</f>
        <v>204</v>
      </c>
      <c r="O29">
        <f>N$102+나무계산!O$6*L29</f>
        <v>431</v>
      </c>
      <c r="P29">
        <f>O$102+나무계산!O$7*L29</f>
        <v>758</v>
      </c>
      <c r="Q29">
        <f>P$102+나무계산!O$8*L29</f>
        <v>1185</v>
      </c>
    </row>
    <row r="30" spans="2:19" x14ac:dyDescent="0.3">
      <c r="B30" s="29">
        <v>0.43</v>
      </c>
      <c r="C30" t="e">
        <f ca="1">'육성1 골드'!H31*B30</f>
        <v>#REF!</v>
      </c>
      <c r="D30">
        <v>1754400</v>
      </c>
      <c r="L30">
        <v>28</v>
      </c>
      <c r="M30">
        <f>100+나무계산!O$4*L30</f>
        <v>128</v>
      </c>
      <c r="N30">
        <f>150+L30*나무계산!O$5</f>
        <v>206</v>
      </c>
      <c r="O30">
        <f>N$102+나무계산!O$6*L30</f>
        <v>434</v>
      </c>
      <c r="P30">
        <f>O$102+나무계산!O$7*L30</f>
        <v>762</v>
      </c>
      <c r="Q30">
        <f>P$102+나무계산!O$8*L30</f>
        <v>1190</v>
      </c>
    </row>
    <row r="31" spans="2:19" x14ac:dyDescent="0.3">
      <c r="B31" s="30">
        <v>0.43</v>
      </c>
      <c r="C31" t="e">
        <f ca="1">'육성1 골드'!H32*B31</f>
        <v>#REF!</v>
      </c>
      <c r="D31">
        <v>1879100</v>
      </c>
      <c r="L31">
        <v>29</v>
      </c>
      <c r="M31">
        <f>100+나무계산!O$4*L31</f>
        <v>129</v>
      </c>
      <c r="N31">
        <f>150+L31*나무계산!O$5</f>
        <v>208</v>
      </c>
      <c r="O31">
        <f>N$102+나무계산!O$6*L31</f>
        <v>437</v>
      </c>
      <c r="P31">
        <f>O$102+나무계산!O$7*L31</f>
        <v>766</v>
      </c>
      <c r="Q31">
        <f>P$102+나무계산!O$8*L31</f>
        <v>1195</v>
      </c>
    </row>
    <row r="32" spans="2:19" x14ac:dyDescent="0.3">
      <c r="B32" s="29">
        <v>0.43</v>
      </c>
      <c r="C32" t="e">
        <f ca="1">'육성1 골드'!H33*B32</f>
        <v>#REF!</v>
      </c>
      <c r="D32">
        <v>2008100</v>
      </c>
      <c r="L32">
        <v>30</v>
      </c>
      <c r="M32">
        <f>100+나무계산!O$4*L32</f>
        <v>130</v>
      </c>
      <c r="N32">
        <f>150+L32*나무계산!O$5</f>
        <v>210</v>
      </c>
      <c r="O32">
        <f>N$102+나무계산!O$6*L32</f>
        <v>440</v>
      </c>
      <c r="P32">
        <f>O$102+나무계산!O$7*L32</f>
        <v>770</v>
      </c>
      <c r="Q32">
        <f>P$102+나무계산!O$8*L32</f>
        <v>1200</v>
      </c>
    </row>
    <row r="33" spans="2:17" x14ac:dyDescent="0.3">
      <c r="L33">
        <v>31</v>
      </c>
      <c r="M33">
        <f>100+나무계산!O$4*L33</f>
        <v>131</v>
      </c>
      <c r="N33">
        <f>150+L33*나무계산!O$5</f>
        <v>212</v>
      </c>
      <c r="O33">
        <f>N$102+나무계산!O$6*L33</f>
        <v>443</v>
      </c>
      <c r="P33">
        <f>O$102+나무계산!O$7*L33</f>
        <v>774</v>
      </c>
      <c r="Q33">
        <f>P$102+나무계산!O$8*L33</f>
        <v>1205</v>
      </c>
    </row>
    <row r="34" spans="2:17" x14ac:dyDescent="0.3">
      <c r="L34">
        <v>32</v>
      </c>
      <c r="M34">
        <f>100+나무계산!O$4*L34</f>
        <v>132</v>
      </c>
      <c r="N34">
        <f>150+L34*나무계산!O$5</f>
        <v>214</v>
      </c>
      <c r="O34">
        <f>N$102+나무계산!O$6*L34</f>
        <v>446</v>
      </c>
      <c r="P34">
        <f>O$102+나무계산!O$7*L34</f>
        <v>778</v>
      </c>
      <c r="Q34">
        <f>P$102+나무계산!O$8*L34</f>
        <v>1210</v>
      </c>
    </row>
    <row r="35" spans="2:17" x14ac:dyDescent="0.3">
      <c r="L35">
        <v>33</v>
      </c>
      <c r="M35">
        <f>100+나무계산!O$4*L35</f>
        <v>133</v>
      </c>
      <c r="N35">
        <f>150+L35*나무계산!O$5</f>
        <v>216</v>
      </c>
      <c r="O35">
        <f>N$102+나무계산!O$6*L35</f>
        <v>449</v>
      </c>
      <c r="P35">
        <f>O$102+나무계산!O$7*L35</f>
        <v>782</v>
      </c>
      <c r="Q35">
        <f>P$102+나무계산!O$8*L35</f>
        <v>1215</v>
      </c>
    </row>
    <row r="36" spans="2:17" x14ac:dyDescent="0.3">
      <c r="F36" t="s">
        <v>115</v>
      </c>
      <c r="L36">
        <v>34</v>
      </c>
      <c r="M36">
        <f>100+나무계산!O$4*L36</f>
        <v>134</v>
      </c>
      <c r="N36">
        <f>150+L36*나무계산!O$5</f>
        <v>218</v>
      </c>
      <c r="O36">
        <f>N$102+나무계산!O$6*L36</f>
        <v>452</v>
      </c>
      <c r="P36">
        <f>O$102+나무계산!O$7*L36</f>
        <v>786</v>
      </c>
      <c r="Q36">
        <f>P$102+나무계산!O$8*L36</f>
        <v>1220</v>
      </c>
    </row>
    <row r="37" spans="2:17" x14ac:dyDescent="0.3">
      <c r="L37">
        <v>35</v>
      </c>
      <c r="M37">
        <f>100+나무계산!O$4*L37</f>
        <v>135</v>
      </c>
      <c r="N37">
        <f>150+L37*나무계산!O$5</f>
        <v>220</v>
      </c>
      <c r="O37">
        <f>N$102+나무계산!O$6*L37</f>
        <v>455</v>
      </c>
      <c r="P37">
        <f>O$102+나무계산!O$7*L37</f>
        <v>790</v>
      </c>
      <c r="Q37">
        <f>P$102+나무계산!O$8*L37</f>
        <v>1225</v>
      </c>
    </row>
    <row r="38" spans="2:17" x14ac:dyDescent="0.3">
      <c r="L38">
        <v>36</v>
      </c>
      <c r="M38">
        <f>100+나무계산!O$4*L38</f>
        <v>136</v>
      </c>
      <c r="N38">
        <f>150+L38*나무계산!O$5</f>
        <v>222</v>
      </c>
      <c r="O38">
        <f>N$102+나무계산!O$6*L38</f>
        <v>458</v>
      </c>
      <c r="P38">
        <f>O$102+나무계산!O$7*L38</f>
        <v>794</v>
      </c>
      <c r="Q38">
        <f>P$102+나무계산!O$8*L38</f>
        <v>1230</v>
      </c>
    </row>
    <row r="39" spans="2:17" x14ac:dyDescent="0.3">
      <c r="B39" s="30">
        <v>700</v>
      </c>
      <c r="C39" s="30">
        <v>358560408.80000001</v>
      </c>
      <c r="E39" s="1">
        <f>C39/(10^5)</f>
        <v>3585.604088</v>
      </c>
      <c r="F39" s="1">
        <f>E39/1000</f>
        <v>3.5856040880000002</v>
      </c>
      <c r="G39">
        <v>5</v>
      </c>
      <c r="L39">
        <v>37</v>
      </c>
      <c r="M39">
        <f>100+나무계산!O$4*L39</f>
        <v>137</v>
      </c>
      <c r="N39">
        <f>150+L39*나무계산!O$5</f>
        <v>224</v>
      </c>
      <c r="O39">
        <f>N$102+나무계산!O$6*L39</f>
        <v>461</v>
      </c>
      <c r="P39">
        <f>O$102+나무계산!O$7*L39</f>
        <v>798</v>
      </c>
      <c r="Q39">
        <f>P$102+나무계산!O$8*L39</f>
        <v>1235</v>
      </c>
    </row>
    <row r="40" spans="2:17" x14ac:dyDescent="0.3">
      <c r="B40" s="30">
        <v>1700</v>
      </c>
      <c r="C40" s="30">
        <v>4490208271.1999998</v>
      </c>
      <c r="E40" s="1">
        <f t="shared" ref="E40" si="0">C40/(10^5)</f>
        <v>44902.082711999996</v>
      </c>
      <c r="F40" s="1">
        <f t="shared" ref="F40:F58" si="1">E40/1000</f>
        <v>44.902082711999995</v>
      </c>
      <c r="G40">
        <v>5</v>
      </c>
      <c r="L40">
        <v>38</v>
      </c>
      <c r="M40">
        <f>100+나무계산!O$4*L40</f>
        <v>138</v>
      </c>
      <c r="N40">
        <f>150+L40*나무계산!O$5</f>
        <v>226</v>
      </c>
      <c r="O40">
        <f>N$102+나무계산!O$6*L40</f>
        <v>464</v>
      </c>
      <c r="P40">
        <f>O$102+나무계산!O$7*L40</f>
        <v>802</v>
      </c>
      <c r="Q40">
        <f>P$102+나무계산!O$8*L40</f>
        <v>1240</v>
      </c>
    </row>
    <row r="41" spans="2:17" x14ac:dyDescent="0.3">
      <c r="B41" s="30">
        <v>2700</v>
      </c>
      <c r="C41" s="30">
        <v>11764740015</v>
      </c>
      <c r="E41" s="1">
        <f t="shared" ref="E41:E58" si="2">C41/(10^7)</f>
        <v>1176.4740015</v>
      </c>
      <c r="F41" s="1">
        <f t="shared" si="1"/>
        <v>1.1764740014999999</v>
      </c>
      <c r="L41">
        <v>39</v>
      </c>
      <c r="M41">
        <f>100+나무계산!O$4*L41</f>
        <v>139</v>
      </c>
      <c r="N41">
        <f>150+L41*나무계산!O$5</f>
        <v>228</v>
      </c>
      <c r="O41">
        <f>N$102+나무계산!O$6*L41</f>
        <v>467</v>
      </c>
      <c r="P41">
        <f>O$102+나무계산!O$7*L41</f>
        <v>806</v>
      </c>
      <c r="Q41">
        <f>P$102+나무계산!O$8*L41</f>
        <v>1245</v>
      </c>
    </row>
    <row r="42" spans="2:17" x14ac:dyDescent="0.3">
      <c r="B42" s="30">
        <v>3700</v>
      </c>
      <c r="C42" s="30">
        <v>20440469536.799999</v>
      </c>
      <c r="E42" s="1">
        <f t="shared" si="2"/>
        <v>2044.0469536799999</v>
      </c>
      <c r="F42" s="1">
        <f t="shared" si="1"/>
        <v>2.0440469536799997</v>
      </c>
      <c r="L42">
        <v>40</v>
      </c>
      <c r="M42">
        <f>100+나무계산!O$4*L42</f>
        <v>140</v>
      </c>
      <c r="N42">
        <f>150+L42*나무계산!O$5</f>
        <v>230</v>
      </c>
      <c r="O42">
        <f>N$102+나무계산!O$6*L42</f>
        <v>470</v>
      </c>
      <c r="P42">
        <f>O$102+나무계산!O$7*L42</f>
        <v>810</v>
      </c>
      <c r="Q42">
        <f>P$102+나무계산!O$8*L42</f>
        <v>1250</v>
      </c>
    </row>
    <row r="43" spans="2:17" x14ac:dyDescent="0.3">
      <c r="B43" s="30">
        <v>4700</v>
      </c>
      <c r="C43" s="30">
        <v>34436876203.799995</v>
      </c>
      <c r="E43" s="1">
        <f t="shared" si="2"/>
        <v>3443.6876203799993</v>
      </c>
      <c r="F43" s="1">
        <f t="shared" si="1"/>
        <v>3.4436876203799995</v>
      </c>
      <c r="L43">
        <v>41</v>
      </c>
      <c r="M43">
        <f>100+나무계산!O$4*L43</f>
        <v>141</v>
      </c>
      <c r="N43">
        <f>150+L43*나무계산!O$5</f>
        <v>232</v>
      </c>
      <c r="O43">
        <f>N$102+나무계산!O$6*L43</f>
        <v>473</v>
      </c>
      <c r="P43">
        <f>O$102+나무계산!O$7*L43</f>
        <v>814</v>
      </c>
      <c r="Q43">
        <f>P$102+나무계산!O$8*L43</f>
        <v>1255</v>
      </c>
    </row>
    <row r="44" spans="2:17" x14ac:dyDescent="0.3">
      <c r="B44" s="30">
        <v>5700</v>
      </c>
      <c r="C44" s="30">
        <v>52073282870.400002</v>
      </c>
      <c r="E44" s="1">
        <f t="shared" si="2"/>
        <v>5207.3282870399999</v>
      </c>
      <c r="F44" s="1">
        <f t="shared" si="1"/>
        <v>5.2073282870400002</v>
      </c>
      <c r="L44">
        <v>42</v>
      </c>
      <c r="M44">
        <f>100+나무계산!O$4*L44</f>
        <v>142</v>
      </c>
      <c r="N44">
        <f>150+L44*나무계산!O$5</f>
        <v>234</v>
      </c>
      <c r="O44">
        <f>N$102+나무계산!O$6*L44</f>
        <v>476</v>
      </c>
      <c r="P44">
        <f>O$102+나무계산!O$7*L44</f>
        <v>818</v>
      </c>
      <c r="Q44">
        <f>P$102+나무계산!O$8*L44</f>
        <v>1260</v>
      </c>
    </row>
    <row r="45" spans="2:17" x14ac:dyDescent="0.3">
      <c r="B45" s="30">
        <v>6700</v>
      </c>
      <c r="C45" s="30">
        <v>67237215408.550003</v>
      </c>
      <c r="E45" s="1">
        <f t="shared" si="2"/>
        <v>6723.7215408550001</v>
      </c>
      <c r="F45" s="1">
        <f t="shared" si="1"/>
        <v>6.7237215408550002</v>
      </c>
      <c r="L45">
        <v>43</v>
      </c>
      <c r="M45">
        <f>100+나무계산!O$4*L45</f>
        <v>143</v>
      </c>
      <c r="N45">
        <f>150+L45*나무계산!O$5</f>
        <v>236</v>
      </c>
      <c r="O45">
        <f>N$102+나무계산!O$6*L45</f>
        <v>479</v>
      </c>
      <c r="P45">
        <f>O$102+나무계산!O$7*L45</f>
        <v>822</v>
      </c>
      <c r="Q45">
        <f>P$102+나무계산!O$8*L45</f>
        <v>1265</v>
      </c>
    </row>
    <row r="46" spans="2:17" x14ac:dyDescent="0.3">
      <c r="B46" s="30">
        <v>7700</v>
      </c>
      <c r="C46" s="30">
        <v>90077254852.75</v>
      </c>
      <c r="E46" s="1">
        <f t="shared" si="2"/>
        <v>9007.7254852749993</v>
      </c>
      <c r="F46" s="1">
        <f t="shared" si="1"/>
        <v>9.0077254852749995</v>
      </c>
      <c r="L46">
        <v>44</v>
      </c>
      <c r="M46">
        <f>100+나무계산!O$4*L46</f>
        <v>144</v>
      </c>
      <c r="N46">
        <f>150+L46*나무계산!O$5</f>
        <v>238</v>
      </c>
      <c r="O46">
        <f>N$102+나무계산!O$6*L46</f>
        <v>482</v>
      </c>
      <c r="P46">
        <f>O$102+나무계산!O$7*L46</f>
        <v>826</v>
      </c>
      <c r="Q46">
        <f>P$102+나무계산!O$8*L46</f>
        <v>1270</v>
      </c>
    </row>
    <row r="47" spans="2:17" x14ac:dyDescent="0.3">
      <c r="B47" s="30">
        <v>8700</v>
      </c>
      <c r="C47" s="30">
        <v>116253960963.8</v>
      </c>
      <c r="E47" s="1">
        <f t="shared" si="2"/>
        <v>11625.39609638</v>
      </c>
      <c r="F47" s="1">
        <f t="shared" si="1"/>
        <v>11.625396096379999</v>
      </c>
      <c r="L47">
        <v>45</v>
      </c>
      <c r="M47">
        <f>100+나무계산!O$4*L47</f>
        <v>145</v>
      </c>
      <c r="N47">
        <f>150+L47*나무계산!O$5</f>
        <v>240</v>
      </c>
      <c r="O47">
        <f>N$102+나무계산!O$6*L47</f>
        <v>485</v>
      </c>
      <c r="P47">
        <f>O$102+나무계산!O$7*L47</f>
        <v>830</v>
      </c>
      <c r="Q47">
        <f>P$102+나무계산!O$8*L47</f>
        <v>1275</v>
      </c>
    </row>
    <row r="48" spans="2:17" x14ac:dyDescent="0.3">
      <c r="B48" s="30">
        <v>9700</v>
      </c>
      <c r="C48" s="30">
        <v>132515757947</v>
      </c>
      <c r="E48" s="1">
        <f t="shared" si="2"/>
        <v>13251.5757947</v>
      </c>
      <c r="F48" s="1">
        <f t="shared" si="1"/>
        <v>13.251575794700001</v>
      </c>
      <c r="L48">
        <v>46</v>
      </c>
      <c r="M48">
        <f>100+나무계산!O$4*L48</f>
        <v>146</v>
      </c>
      <c r="N48">
        <f>150+L48*나무계산!O$5</f>
        <v>242</v>
      </c>
      <c r="O48">
        <f>N$102+나무계산!O$6*L48</f>
        <v>488</v>
      </c>
      <c r="P48">
        <f>O$102+나무계산!O$7*L48</f>
        <v>834</v>
      </c>
      <c r="Q48">
        <f>P$102+나무계산!O$8*L48</f>
        <v>1280</v>
      </c>
    </row>
    <row r="49" spans="2:17" x14ac:dyDescent="0.3">
      <c r="B49" s="30">
        <v>10700</v>
      </c>
      <c r="C49" s="30">
        <v>162379430169.5</v>
      </c>
      <c r="E49" s="1">
        <f t="shared" si="2"/>
        <v>16237.943016949999</v>
      </c>
      <c r="F49" s="1">
        <f t="shared" si="1"/>
        <v>16.237943016949998</v>
      </c>
      <c r="L49">
        <v>47</v>
      </c>
      <c r="M49">
        <f>100+나무계산!O$4*L49</f>
        <v>147</v>
      </c>
      <c r="N49">
        <f>150+L49*나무계산!O$5</f>
        <v>244</v>
      </c>
      <c r="O49">
        <f>N$102+나무계산!O$6*L49</f>
        <v>491</v>
      </c>
      <c r="P49">
        <f>O$102+나무계산!O$7*L49</f>
        <v>838</v>
      </c>
      <c r="Q49">
        <f>P$102+나무계산!O$8*L49</f>
        <v>1285</v>
      </c>
    </row>
    <row r="50" spans="2:17" x14ac:dyDescent="0.3">
      <c r="B50" s="30">
        <v>11700</v>
      </c>
      <c r="C50" s="30">
        <v>195276435725</v>
      </c>
      <c r="E50" s="1">
        <f t="shared" si="2"/>
        <v>19527.643572500001</v>
      </c>
      <c r="F50" s="1">
        <f t="shared" si="1"/>
        <v>19.527643572500001</v>
      </c>
      <c r="L50">
        <v>48</v>
      </c>
      <c r="M50">
        <f>100+나무계산!O$4*L50</f>
        <v>148</v>
      </c>
      <c r="N50">
        <f>150+L50*나무계산!O$5</f>
        <v>246</v>
      </c>
      <c r="O50">
        <f>N$102+나무계산!O$6*L50</f>
        <v>494</v>
      </c>
      <c r="P50">
        <f>O$102+나무계산!O$7*L50</f>
        <v>842</v>
      </c>
      <c r="Q50">
        <f>P$102+나무계산!O$8*L50</f>
        <v>1290</v>
      </c>
    </row>
    <row r="51" spans="2:17" x14ac:dyDescent="0.3">
      <c r="B51" s="30">
        <v>12700</v>
      </c>
      <c r="C51" s="30">
        <v>231206774614</v>
      </c>
      <c r="E51" s="1">
        <f t="shared" si="2"/>
        <v>23120.677461399999</v>
      </c>
      <c r="F51" s="1">
        <f t="shared" si="1"/>
        <v>23.1206774614</v>
      </c>
      <c r="L51">
        <v>49</v>
      </c>
      <c r="M51">
        <f>100+나무계산!O$4*L51</f>
        <v>149</v>
      </c>
      <c r="N51">
        <f>150+L51*나무계산!O$5</f>
        <v>248</v>
      </c>
      <c r="O51">
        <f>N$102+나무계산!O$6*L51</f>
        <v>497</v>
      </c>
      <c r="P51">
        <f>O$102+나무계산!O$7*L51</f>
        <v>846</v>
      </c>
      <c r="Q51">
        <f>P$102+나무계산!O$8*L51</f>
        <v>1295</v>
      </c>
    </row>
    <row r="52" spans="2:17" x14ac:dyDescent="0.3">
      <c r="B52" s="30">
        <v>13700</v>
      </c>
      <c r="C52" s="30">
        <v>270170446836.5</v>
      </c>
      <c r="E52" s="1">
        <f t="shared" si="2"/>
        <v>27017.044683650001</v>
      </c>
      <c r="F52" s="1">
        <f t="shared" si="1"/>
        <v>27.017044683650003</v>
      </c>
      <c r="L52">
        <v>50</v>
      </c>
      <c r="M52">
        <f>100+나무계산!O$4*L52</f>
        <v>150</v>
      </c>
      <c r="N52">
        <f>150+L52*나무계산!O$5</f>
        <v>250</v>
      </c>
      <c r="O52">
        <f>N$102+나무계산!O$6*L52</f>
        <v>500</v>
      </c>
      <c r="P52">
        <f>O$102+나무계산!O$7*L52</f>
        <v>850</v>
      </c>
      <c r="Q52">
        <f>P$102+나무계산!O$8*L52</f>
        <v>1300</v>
      </c>
    </row>
    <row r="53" spans="2:17" x14ac:dyDescent="0.3">
      <c r="B53" s="30">
        <v>14700</v>
      </c>
      <c r="C53" s="30">
        <v>280950707152.79999</v>
      </c>
      <c r="E53" s="1">
        <f t="shared" si="2"/>
        <v>28095.070715279999</v>
      </c>
      <c r="F53" s="1">
        <f t="shared" si="1"/>
        <v>28.095070715279999</v>
      </c>
      <c r="L53">
        <v>51</v>
      </c>
      <c r="M53">
        <f>100+나무계산!O$4*L53</f>
        <v>151</v>
      </c>
      <c r="N53">
        <f>150+L53*나무계산!O$5</f>
        <v>252</v>
      </c>
      <c r="O53">
        <f>N$102+나무계산!O$6*L53</f>
        <v>503</v>
      </c>
      <c r="P53">
        <f>O$102+나무계산!O$7*L53</f>
        <v>854</v>
      </c>
      <c r="Q53">
        <f>P$102+나무계산!O$8*L53</f>
        <v>1305</v>
      </c>
    </row>
    <row r="54" spans="2:17" x14ac:dyDescent="0.3">
      <c r="B54" s="30">
        <v>15700</v>
      </c>
      <c r="C54" s="30">
        <v>307190100501.22998</v>
      </c>
      <c r="E54" s="1">
        <f t="shared" si="2"/>
        <v>30719.010050122997</v>
      </c>
      <c r="F54" s="1">
        <f t="shared" si="1"/>
        <v>30.719010050122996</v>
      </c>
      <c r="L54">
        <v>52</v>
      </c>
      <c r="M54">
        <f>100+나무계산!O$4*L54</f>
        <v>152</v>
      </c>
      <c r="N54">
        <f>150+L54*나무계산!O$5</f>
        <v>254</v>
      </c>
      <c r="O54">
        <f>N$102+나무계산!O$6*L54</f>
        <v>506</v>
      </c>
      <c r="P54">
        <f>O$102+나무계산!O$7*L54</f>
        <v>858</v>
      </c>
      <c r="Q54">
        <f>P$102+나무계산!O$8*L54</f>
        <v>1310</v>
      </c>
    </row>
    <row r="55" spans="2:17" x14ac:dyDescent="0.3">
      <c r="B55" s="30">
        <v>16700</v>
      </c>
      <c r="C55" s="30">
        <v>348524858612.15002</v>
      </c>
      <c r="E55" s="1">
        <f t="shared" si="2"/>
        <v>34852.485861215006</v>
      </c>
      <c r="F55" s="1">
        <f t="shared" si="1"/>
        <v>34.852485861215008</v>
      </c>
      <c r="L55">
        <v>53</v>
      </c>
      <c r="M55">
        <f>100+나무계산!O$4*L55</f>
        <v>153</v>
      </c>
      <c r="N55">
        <f>150+L55*나무계산!O$5</f>
        <v>256</v>
      </c>
      <c r="O55">
        <f>N$102+나무계산!O$6*L55</f>
        <v>509</v>
      </c>
      <c r="P55">
        <f>O$102+나무계산!O$7*L55</f>
        <v>862</v>
      </c>
      <c r="Q55">
        <f>P$102+나무계산!O$8*L55</f>
        <v>1315</v>
      </c>
    </row>
    <row r="56" spans="2:17" x14ac:dyDescent="0.3">
      <c r="B56" s="30">
        <v>17700</v>
      </c>
      <c r="C56" s="30">
        <v>392468283389.88</v>
      </c>
      <c r="E56" s="1">
        <f t="shared" si="2"/>
        <v>39246.828338988002</v>
      </c>
      <c r="F56" s="1">
        <f t="shared" si="1"/>
        <v>39.246828338988003</v>
      </c>
      <c r="L56">
        <v>54</v>
      </c>
      <c r="M56">
        <f>100+나무계산!O$4*L56</f>
        <v>154</v>
      </c>
      <c r="N56">
        <f>150+L56*나무계산!O$5</f>
        <v>258</v>
      </c>
      <c r="O56">
        <f>N$102+나무계산!O$6*L56</f>
        <v>512</v>
      </c>
      <c r="P56">
        <f>O$102+나무계산!O$7*L56</f>
        <v>866</v>
      </c>
      <c r="Q56">
        <f>P$102+나무계산!O$8*L56</f>
        <v>1320</v>
      </c>
    </row>
    <row r="57" spans="2:17" x14ac:dyDescent="0.3">
      <c r="B57" s="30">
        <v>18700</v>
      </c>
      <c r="C57" s="30">
        <v>439020374834.41998</v>
      </c>
      <c r="E57" s="1">
        <f t="shared" si="2"/>
        <v>43902.037483442</v>
      </c>
      <c r="F57" s="1">
        <f t="shared" si="1"/>
        <v>43.902037483442001</v>
      </c>
      <c r="L57">
        <v>55</v>
      </c>
      <c r="M57">
        <f>100+나무계산!O$4*L57</f>
        <v>155</v>
      </c>
      <c r="N57">
        <f>150+L57*나무계산!O$5</f>
        <v>260</v>
      </c>
      <c r="O57">
        <f>N$102+나무계산!O$6*L57</f>
        <v>515</v>
      </c>
      <c r="P57">
        <f>O$102+나무계산!O$7*L57</f>
        <v>870</v>
      </c>
      <c r="Q57">
        <f>P$102+나무계산!O$8*L57</f>
        <v>1325</v>
      </c>
    </row>
    <row r="58" spans="2:17" x14ac:dyDescent="0.3">
      <c r="B58" s="30">
        <v>19700</v>
      </c>
      <c r="C58" s="30">
        <v>488181132945.77008</v>
      </c>
      <c r="E58" s="1">
        <f t="shared" si="2"/>
        <v>48818.113294577008</v>
      </c>
      <c r="F58" s="1">
        <f t="shared" si="1"/>
        <v>48.81811329457701</v>
      </c>
      <c r="L58">
        <v>56</v>
      </c>
      <c r="M58">
        <f>100+나무계산!O$4*L58</f>
        <v>156</v>
      </c>
      <c r="N58">
        <f>150+L58*나무계산!O$5</f>
        <v>262</v>
      </c>
      <c r="O58">
        <f>N$102+나무계산!O$6*L58</f>
        <v>518</v>
      </c>
      <c r="P58">
        <f>O$102+나무계산!O$7*L58</f>
        <v>874</v>
      </c>
      <c r="Q58">
        <f>P$102+나무계산!O$8*L58</f>
        <v>1330</v>
      </c>
    </row>
    <row r="59" spans="2:17" x14ac:dyDescent="0.3">
      <c r="L59">
        <v>57</v>
      </c>
      <c r="M59">
        <f>100+나무계산!O$4*L59</f>
        <v>157</v>
      </c>
      <c r="N59">
        <f>150+L59*나무계산!O$5</f>
        <v>264</v>
      </c>
      <c r="O59">
        <f>N$102+나무계산!O$6*L59</f>
        <v>521</v>
      </c>
      <c r="P59">
        <f>O$102+나무계산!O$7*L59</f>
        <v>878</v>
      </c>
      <c r="Q59">
        <f>P$102+나무계산!O$8*L59</f>
        <v>1335</v>
      </c>
    </row>
    <row r="60" spans="2:17" x14ac:dyDescent="0.3">
      <c r="L60">
        <v>58</v>
      </c>
      <c r="M60">
        <f>100+나무계산!O$4*L60</f>
        <v>158</v>
      </c>
      <c r="N60">
        <f>150+L60*나무계산!O$5</f>
        <v>266</v>
      </c>
      <c r="O60">
        <f>N$102+나무계산!O$6*L60</f>
        <v>524</v>
      </c>
      <c r="P60">
        <f>O$102+나무계산!O$7*L60</f>
        <v>882</v>
      </c>
      <c r="Q60">
        <f>P$102+나무계산!O$8*L60</f>
        <v>1340</v>
      </c>
    </row>
    <row r="61" spans="2:17" x14ac:dyDescent="0.3">
      <c r="L61">
        <v>59</v>
      </c>
      <c r="M61">
        <f>100+나무계산!O$4*L61</f>
        <v>159</v>
      </c>
      <c r="N61">
        <f>150+L61*나무계산!O$5</f>
        <v>268</v>
      </c>
      <c r="O61">
        <f>N$102+나무계산!O$6*L61</f>
        <v>527</v>
      </c>
      <c r="P61">
        <f>O$102+나무계산!O$7*L61</f>
        <v>886</v>
      </c>
      <c r="Q61">
        <f>P$102+나무계산!O$8*L61</f>
        <v>1345</v>
      </c>
    </row>
    <row r="62" spans="2:17" x14ac:dyDescent="0.3">
      <c r="L62">
        <v>60</v>
      </c>
      <c r="M62">
        <f>100+나무계산!O$4*L62</f>
        <v>160</v>
      </c>
      <c r="N62">
        <f>150+L62*나무계산!O$5</f>
        <v>270</v>
      </c>
      <c r="O62">
        <f>N$102+나무계산!O$6*L62</f>
        <v>530</v>
      </c>
      <c r="P62">
        <f>O$102+나무계산!O$7*L62</f>
        <v>890</v>
      </c>
      <c r="Q62">
        <f>P$102+나무계산!O$8*L62</f>
        <v>1350</v>
      </c>
    </row>
    <row r="63" spans="2:17" x14ac:dyDescent="0.3">
      <c r="L63">
        <v>61</v>
      </c>
      <c r="M63">
        <f>100+나무계산!O$4*L63</f>
        <v>161</v>
      </c>
      <c r="N63">
        <f>150+L63*나무계산!O$5</f>
        <v>272</v>
      </c>
      <c r="O63">
        <f>N$102+나무계산!O$6*L63</f>
        <v>533</v>
      </c>
      <c r="P63">
        <f>O$102+나무계산!O$7*L63</f>
        <v>894</v>
      </c>
      <c r="Q63">
        <f>P$102+나무계산!O$8*L63</f>
        <v>1355</v>
      </c>
    </row>
    <row r="64" spans="2:17" x14ac:dyDescent="0.3">
      <c r="L64">
        <v>62</v>
      </c>
      <c r="M64">
        <f>100+나무계산!O$4*L64</f>
        <v>162</v>
      </c>
      <c r="N64">
        <f>150+L64*나무계산!O$5</f>
        <v>274</v>
      </c>
      <c r="O64">
        <f>N$102+나무계산!O$6*L64</f>
        <v>536</v>
      </c>
      <c r="P64">
        <f>O$102+나무계산!O$7*L64</f>
        <v>898</v>
      </c>
      <c r="Q64">
        <f>P$102+나무계산!O$8*L64</f>
        <v>1360</v>
      </c>
    </row>
    <row r="65" spans="12:17" x14ac:dyDescent="0.3">
      <c r="L65">
        <v>63</v>
      </c>
      <c r="M65">
        <f>100+나무계산!O$4*L65</f>
        <v>163</v>
      </c>
      <c r="N65">
        <f>150+L65*나무계산!O$5</f>
        <v>276</v>
      </c>
      <c r="O65">
        <f>N$102+나무계산!O$6*L65</f>
        <v>539</v>
      </c>
      <c r="P65">
        <f>O$102+나무계산!O$7*L65</f>
        <v>902</v>
      </c>
      <c r="Q65">
        <f>P$102+나무계산!O$8*L65</f>
        <v>1365</v>
      </c>
    </row>
    <row r="66" spans="12:17" x14ac:dyDescent="0.3">
      <c r="L66">
        <v>64</v>
      </c>
      <c r="M66">
        <f>100+나무계산!O$4*L66</f>
        <v>164</v>
      </c>
      <c r="N66">
        <f>150+L66*나무계산!O$5</f>
        <v>278</v>
      </c>
      <c r="O66">
        <f>N$102+나무계산!O$6*L66</f>
        <v>542</v>
      </c>
      <c r="P66">
        <f>O$102+나무계산!O$7*L66</f>
        <v>906</v>
      </c>
      <c r="Q66">
        <f>P$102+나무계산!O$8*L66</f>
        <v>1370</v>
      </c>
    </row>
    <row r="67" spans="12:17" x14ac:dyDescent="0.3">
      <c r="L67">
        <v>65</v>
      </c>
      <c r="M67">
        <f>100+나무계산!O$4*L67</f>
        <v>165</v>
      </c>
      <c r="N67">
        <f>150+L67*나무계산!O$5</f>
        <v>280</v>
      </c>
      <c r="O67">
        <f>N$102+나무계산!O$6*L67</f>
        <v>545</v>
      </c>
      <c r="P67">
        <f>O$102+나무계산!O$7*L67</f>
        <v>910</v>
      </c>
      <c r="Q67">
        <f>P$102+나무계산!O$8*L67</f>
        <v>1375</v>
      </c>
    </row>
    <row r="68" spans="12:17" x14ac:dyDescent="0.3">
      <c r="L68">
        <v>66</v>
      </c>
      <c r="M68">
        <f>100+나무계산!O$4*L68</f>
        <v>166</v>
      </c>
      <c r="N68">
        <f>150+L68*나무계산!O$5</f>
        <v>282</v>
      </c>
      <c r="O68">
        <f>N$102+나무계산!O$6*L68</f>
        <v>548</v>
      </c>
      <c r="P68">
        <f>O$102+나무계산!O$7*L68</f>
        <v>914</v>
      </c>
      <c r="Q68">
        <f>P$102+나무계산!O$8*L68</f>
        <v>1380</v>
      </c>
    </row>
    <row r="69" spans="12:17" x14ac:dyDescent="0.3">
      <c r="L69">
        <v>67</v>
      </c>
      <c r="M69">
        <f>100+나무계산!O$4*L69</f>
        <v>167</v>
      </c>
      <c r="N69">
        <f>150+L69*나무계산!O$5</f>
        <v>284</v>
      </c>
      <c r="O69">
        <f>N$102+나무계산!O$6*L69</f>
        <v>551</v>
      </c>
      <c r="P69">
        <f>O$102+나무계산!O$7*L69</f>
        <v>918</v>
      </c>
      <c r="Q69">
        <f>P$102+나무계산!O$8*L69</f>
        <v>1385</v>
      </c>
    </row>
    <row r="70" spans="12:17" x14ac:dyDescent="0.3">
      <c r="L70">
        <v>68</v>
      </c>
      <c r="M70">
        <f>100+나무계산!O$4*L70</f>
        <v>168</v>
      </c>
      <c r="N70">
        <f>150+L70*나무계산!O$5</f>
        <v>286</v>
      </c>
      <c r="O70">
        <f>N$102+나무계산!O$6*L70</f>
        <v>554</v>
      </c>
      <c r="P70">
        <f>O$102+나무계산!O$7*L70</f>
        <v>922</v>
      </c>
      <c r="Q70">
        <f>P$102+나무계산!O$8*L70</f>
        <v>1390</v>
      </c>
    </row>
    <row r="71" spans="12:17" x14ac:dyDescent="0.3">
      <c r="L71">
        <v>69</v>
      </c>
      <c r="M71">
        <f>100+나무계산!O$4*L71</f>
        <v>169</v>
      </c>
      <c r="N71">
        <f>150+L71*나무계산!O$5</f>
        <v>288</v>
      </c>
      <c r="O71">
        <f>N$102+나무계산!O$6*L71</f>
        <v>557</v>
      </c>
      <c r="P71">
        <f>O$102+나무계산!O$7*L71</f>
        <v>926</v>
      </c>
      <c r="Q71">
        <f>P$102+나무계산!O$8*L71</f>
        <v>1395</v>
      </c>
    </row>
    <row r="72" spans="12:17" x14ac:dyDescent="0.3">
      <c r="L72">
        <v>70</v>
      </c>
      <c r="M72">
        <f>100+나무계산!O$4*L72</f>
        <v>170</v>
      </c>
      <c r="N72">
        <f>150+L72*나무계산!O$5</f>
        <v>290</v>
      </c>
      <c r="O72">
        <f>N$102+나무계산!O$6*L72</f>
        <v>560</v>
      </c>
      <c r="P72">
        <f>O$102+나무계산!O$7*L72</f>
        <v>930</v>
      </c>
      <c r="Q72">
        <f>P$102+나무계산!O$8*L72</f>
        <v>1400</v>
      </c>
    </row>
    <row r="73" spans="12:17" x14ac:dyDescent="0.3">
      <c r="L73">
        <v>71</v>
      </c>
      <c r="M73">
        <f>100+나무계산!O$4*L73</f>
        <v>171</v>
      </c>
      <c r="N73">
        <f>150+L73*나무계산!O$5</f>
        <v>292</v>
      </c>
      <c r="O73">
        <f>N$102+나무계산!O$6*L73</f>
        <v>563</v>
      </c>
      <c r="P73">
        <f>O$102+나무계산!O$7*L73</f>
        <v>934</v>
      </c>
      <c r="Q73">
        <f>P$102+나무계산!O$8*L73</f>
        <v>1405</v>
      </c>
    </row>
    <row r="74" spans="12:17" x14ac:dyDescent="0.3">
      <c r="L74">
        <v>72</v>
      </c>
      <c r="M74">
        <f>100+나무계산!O$4*L74</f>
        <v>172</v>
      </c>
      <c r="N74">
        <f>150+L74*나무계산!O$5</f>
        <v>294</v>
      </c>
      <c r="O74">
        <f>N$102+나무계산!O$6*L74</f>
        <v>566</v>
      </c>
      <c r="P74">
        <f>O$102+나무계산!O$7*L74</f>
        <v>938</v>
      </c>
      <c r="Q74">
        <f>P$102+나무계산!O$8*L74</f>
        <v>1410</v>
      </c>
    </row>
    <row r="75" spans="12:17" x14ac:dyDescent="0.3">
      <c r="L75">
        <v>73</v>
      </c>
      <c r="M75">
        <f>100+나무계산!O$4*L75</f>
        <v>173</v>
      </c>
      <c r="N75">
        <f>150+L75*나무계산!O$5</f>
        <v>296</v>
      </c>
      <c r="O75">
        <f>N$102+나무계산!O$6*L75</f>
        <v>569</v>
      </c>
      <c r="P75">
        <f>O$102+나무계산!O$7*L75</f>
        <v>942</v>
      </c>
      <c r="Q75">
        <f>P$102+나무계산!O$8*L75</f>
        <v>1415</v>
      </c>
    </row>
    <row r="76" spans="12:17" x14ac:dyDescent="0.3">
      <c r="L76">
        <v>74</v>
      </c>
      <c r="M76">
        <f>100+나무계산!O$4*L76</f>
        <v>174</v>
      </c>
      <c r="N76">
        <f>150+L76*나무계산!O$5</f>
        <v>298</v>
      </c>
      <c r="O76">
        <f>N$102+나무계산!O$6*L76</f>
        <v>572</v>
      </c>
      <c r="P76">
        <f>O$102+나무계산!O$7*L76</f>
        <v>946</v>
      </c>
      <c r="Q76">
        <f>P$102+나무계산!O$8*L76</f>
        <v>1420</v>
      </c>
    </row>
    <row r="77" spans="12:17" x14ac:dyDescent="0.3">
      <c r="L77">
        <v>75</v>
      </c>
      <c r="M77">
        <f>100+나무계산!O$4*L77</f>
        <v>175</v>
      </c>
      <c r="N77">
        <f>150+L77*나무계산!O$5</f>
        <v>300</v>
      </c>
      <c r="O77">
        <f>N$102+나무계산!O$6*L77</f>
        <v>575</v>
      </c>
      <c r="P77">
        <f>O$102+나무계산!O$7*L77</f>
        <v>950</v>
      </c>
      <c r="Q77">
        <f>P$102+나무계산!O$8*L77</f>
        <v>1425</v>
      </c>
    </row>
    <row r="78" spans="12:17" x14ac:dyDescent="0.3">
      <c r="L78">
        <v>76</v>
      </c>
      <c r="M78">
        <f>100+나무계산!O$4*L78</f>
        <v>176</v>
      </c>
      <c r="N78">
        <f>150+L78*나무계산!O$5</f>
        <v>302</v>
      </c>
      <c r="O78">
        <f>N$102+나무계산!O$6*L78</f>
        <v>578</v>
      </c>
      <c r="P78">
        <f>O$102+나무계산!O$7*L78</f>
        <v>954</v>
      </c>
      <c r="Q78">
        <f>P$102+나무계산!O$8*L78</f>
        <v>1430</v>
      </c>
    </row>
    <row r="79" spans="12:17" x14ac:dyDescent="0.3">
      <c r="L79">
        <v>77</v>
      </c>
      <c r="M79">
        <f>100+나무계산!O$4*L79</f>
        <v>177</v>
      </c>
      <c r="N79">
        <f>150+L79*나무계산!O$5</f>
        <v>304</v>
      </c>
      <c r="O79">
        <f>N$102+나무계산!O$6*L79</f>
        <v>581</v>
      </c>
      <c r="P79">
        <f>O$102+나무계산!O$7*L79</f>
        <v>958</v>
      </c>
      <c r="Q79">
        <f>P$102+나무계산!O$8*L79</f>
        <v>1435</v>
      </c>
    </row>
    <row r="80" spans="12:17" x14ac:dyDescent="0.3">
      <c r="L80">
        <v>78</v>
      </c>
      <c r="M80">
        <f>100+나무계산!O$4*L80</f>
        <v>178</v>
      </c>
      <c r="N80">
        <f>150+L80*나무계산!O$5</f>
        <v>306</v>
      </c>
      <c r="O80">
        <f>N$102+나무계산!O$6*L80</f>
        <v>584</v>
      </c>
      <c r="P80">
        <f>O$102+나무계산!O$7*L80</f>
        <v>962</v>
      </c>
      <c r="Q80">
        <f>P$102+나무계산!O$8*L80</f>
        <v>1440</v>
      </c>
    </row>
    <row r="81" spans="12:17" x14ac:dyDescent="0.3">
      <c r="L81">
        <v>79</v>
      </c>
      <c r="M81">
        <f>100+나무계산!O$4*L81</f>
        <v>179</v>
      </c>
      <c r="N81">
        <f>150+L81*나무계산!O$5</f>
        <v>308</v>
      </c>
      <c r="O81">
        <f>N$102+나무계산!O$6*L81</f>
        <v>587</v>
      </c>
      <c r="P81">
        <f>O$102+나무계산!O$7*L81</f>
        <v>966</v>
      </c>
      <c r="Q81">
        <f>P$102+나무계산!O$8*L81</f>
        <v>1445</v>
      </c>
    </row>
    <row r="82" spans="12:17" x14ac:dyDescent="0.3">
      <c r="L82">
        <v>80</v>
      </c>
      <c r="M82">
        <f>100+나무계산!O$4*L82</f>
        <v>180</v>
      </c>
      <c r="N82">
        <f>150+L82*나무계산!O$5</f>
        <v>310</v>
      </c>
      <c r="O82">
        <f>N$102+나무계산!O$6*L82</f>
        <v>590</v>
      </c>
      <c r="P82">
        <f>O$102+나무계산!O$7*L82</f>
        <v>970</v>
      </c>
      <c r="Q82">
        <f>P$102+나무계산!O$8*L82</f>
        <v>1450</v>
      </c>
    </row>
    <row r="83" spans="12:17" x14ac:dyDescent="0.3">
      <c r="L83">
        <v>81</v>
      </c>
      <c r="M83">
        <f>100+나무계산!O$4*L83</f>
        <v>181</v>
      </c>
      <c r="N83">
        <f>150+L83*나무계산!O$5</f>
        <v>312</v>
      </c>
      <c r="O83">
        <f>N$102+나무계산!O$6*L83</f>
        <v>593</v>
      </c>
      <c r="P83">
        <f>O$102+나무계산!O$7*L83</f>
        <v>974</v>
      </c>
      <c r="Q83">
        <f>P$102+나무계산!O$8*L83</f>
        <v>1455</v>
      </c>
    </row>
    <row r="84" spans="12:17" x14ac:dyDescent="0.3">
      <c r="L84">
        <v>82</v>
      </c>
      <c r="M84">
        <f>100+나무계산!O$4*L84</f>
        <v>182</v>
      </c>
      <c r="N84">
        <f>150+L84*나무계산!O$5</f>
        <v>314</v>
      </c>
      <c r="O84">
        <f>N$102+나무계산!O$6*L84</f>
        <v>596</v>
      </c>
      <c r="P84">
        <f>O$102+나무계산!O$7*L84</f>
        <v>978</v>
      </c>
      <c r="Q84">
        <f>P$102+나무계산!O$8*L84</f>
        <v>1460</v>
      </c>
    </row>
    <row r="85" spans="12:17" x14ac:dyDescent="0.3">
      <c r="L85">
        <v>83</v>
      </c>
      <c r="M85">
        <f>100+나무계산!O$4*L85</f>
        <v>183</v>
      </c>
      <c r="N85">
        <f>150+L85*나무계산!O$5</f>
        <v>316</v>
      </c>
      <c r="O85">
        <f>N$102+나무계산!O$6*L85</f>
        <v>599</v>
      </c>
      <c r="P85">
        <f>O$102+나무계산!O$7*L85</f>
        <v>982</v>
      </c>
      <c r="Q85">
        <f>P$102+나무계산!O$8*L85</f>
        <v>1465</v>
      </c>
    </row>
    <row r="86" spans="12:17" x14ac:dyDescent="0.3">
      <c r="L86">
        <v>84</v>
      </c>
      <c r="M86">
        <f>100+나무계산!O$4*L86</f>
        <v>184</v>
      </c>
      <c r="N86">
        <f>150+L86*나무계산!O$5</f>
        <v>318</v>
      </c>
      <c r="O86">
        <f>N$102+나무계산!O$6*L86</f>
        <v>602</v>
      </c>
      <c r="P86">
        <f>O$102+나무계산!O$7*L86</f>
        <v>986</v>
      </c>
      <c r="Q86">
        <f>P$102+나무계산!O$8*L86</f>
        <v>1470</v>
      </c>
    </row>
    <row r="87" spans="12:17" x14ac:dyDescent="0.3">
      <c r="L87">
        <v>85</v>
      </c>
      <c r="M87">
        <f>100+나무계산!O$4*L87</f>
        <v>185</v>
      </c>
      <c r="N87">
        <f>150+L87*나무계산!O$5</f>
        <v>320</v>
      </c>
      <c r="O87">
        <f>N$102+나무계산!O$6*L87</f>
        <v>605</v>
      </c>
      <c r="P87">
        <f>O$102+나무계산!O$7*L87</f>
        <v>990</v>
      </c>
      <c r="Q87">
        <f>P$102+나무계산!O$8*L87</f>
        <v>1475</v>
      </c>
    </row>
    <row r="88" spans="12:17" x14ac:dyDescent="0.3">
      <c r="L88">
        <v>86</v>
      </c>
      <c r="M88">
        <f>100+나무계산!O$4*L88</f>
        <v>186</v>
      </c>
      <c r="N88">
        <f>150+L88*나무계산!O$5</f>
        <v>322</v>
      </c>
      <c r="O88">
        <f>N$102+나무계산!O$6*L88</f>
        <v>608</v>
      </c>
      <c r="P88">
        <f>O$102+나무계산!O$7*L88</f>
        <v>994</v>
      </c>
      <c r="Q88">
        <f>P$102+나무계산!O$8*L88</f>
        <v>1480</v>
      </c>
    </row>
    <row r="89" spans="12:17" x14ac:dyDescent="0.3">
      <c r="L89">
        <v>87</v>
      </c>
      <c r="M89">
        <f>100+나무계산!O$4*L89</f>
        <v>187</v>
      </c>
      <c r="N89">
        <f>150+L89*나무계산!O$5</f>
        <v>324</v>
      </c>
      <c r="O89">
        <f>N$102+나무계산!O$6*L89</f>
        <v>611</v>
      </c>
      <c r="P89">
        <f>O$102+나무계산!O$7*L89</f>
        <v>998</v>
      </c>
      <c r="Q89">
        <f>P$102+나무계산!O$8*L89</f>
        <v>1485</v>
      </c>
    </row>
    <row r="90" spans="12:17" x14ac:dyDescent="0.3">
      <c r="L90">
        <v>88</v>
      </c>
      <c r="M90">
        <f>100+나무계산!O$4*L90</f>
        <v>188</v>
      </c>
      <c r="N90">
        <f>150+L90*나무계산!O$5</f>
        <v>326</v>
      </c>
      <c r="O90">
        <f>N$102+나무계산!O$6*L90</f>
        <v>614</v>
      </c>
      <c r="P90">
        <f>O$102+나무계산!O$7*L90</f>
        <v>1002</v>
      </c>
      <c r="Q90">
        <f>P$102+나무계산!O$8*L90</f>
        <v>1490</v>
      </c>
    </row>
    <row r="91" spans="12:17" x14ac:dyDescent="0.3">
      <c r="L91">
        <v>89</v>
      </c>
      <c r="M91">
        <f>100+나무계산!O$4*L91</f>
        <v>189</v>
      </c>
      <c r="N91">
        <f>150+L91*나무계산!O$5</f>
        <v>328</v>
      </c>
      <c r="O91">
        <f>N$102+나무계산!O$6*L91</f>
        <v>617</v>
      </c>
      <c r="P91">
        <f>O$102+나무계산!O$7*L91</f>
        <v>1006</v>
      </c>
      <c r="Q91">
        <f>P$102+나무계산!O$8*L91</f>
        <v>1495</v>
      </c>
    </row>
    <row r="92" spans="12:17" x14ac:dyDescent="0.3">
      <c r="L92">
        <v>90</v>
      </c>
      <c r="M92">
        <f>100+나무계산!O$4*L92</f>
        <v>190</v>
      </c>
      <c r="N92">
        <f>150+L92*나무계산!O$5</f>
        <v>330</v>
      </c>
      <c r="O92">
        <f>N$102+나무계산!O$6*L92</f>
        <v>620</v>
      </c>
      <c r="P92">
        <f>O$102+나무계산!O$7*L92</f>
        <v>1010</v>
      </c>
      <c r="Q92">
        <f>P$102+나무계산!O$8*L92</f>
        <v>1500</v>
      </c>
    </row>
    <row r="93" spans="12:17" x14ac:dyDescent="0.3">
      <c r="L93">
        <v>91</v>
      </c>
      <c r="M93">
        <f>100+나무계산!O$4*L93</f>
        <v>191</v>
      </c>
      <c r="N93">
        <f>150+L93*나무계산!O$5</f>
        <v>332</v>
      </c>
      <c r="O93">
        <f>N$102+나무계산!O$6*L93</f>
        <v>623</v>
      </c>
      <c r="P93">
        <f>O$102+나무계산!O$7*L93</f>
        <v>1014</v>
      </c>
      <c r="Q93">
        <f>P$102+나무계산!O$8*L93</f>
        <v>1505</v>
      </c>
    </row>
    <row r="94" spans="12:17" x14ac:dyDescent="0.3">
      <c r="L94">
        <v>92</v>
      </c>
      <c r="M94">
        <f>100+나무계산!O$4*L94</f>
        <v>192</v>
      </c>
      <c r="N94">
        <f>150+L94*나무계산!O$5</f>
        <v>334</v>
      </c>
      <c r="O94">
        <f>N$102+나무계산!O$6*L94</f>
        <v>626</v>
      </c>
      <c r="P94">
        <f>O$102+나무계산!O$7*L94</f>
        <v>1018</v>
      </c>
      <c r="Q94">
        <f>P$102+나무계산!O$8*L94</f>
        <v>1510</v>
      </c>
    </row>
    <row r="95" spans="12:17" x14ac:dyDescent="0.3">
      <c r="L95">
        <v>93</v>
      </c>
      <c r="M95">
        <f>100+나무계산!O$4*L95</f>
        <v>193</v>
      </c>
      <c r="N95">
        <f>150+L95*나무계산!O$5</f>
        <v>336</v>
      </c>
      <c r="O95">
        <f>N$102+나무계산!O$6*L95</f>
        <v>629</v>
      </c>
      <c r="P95">
        <f>O$102+나무계산!O$7*L95</f>
        <v>1022</v>
      </c>
      <c r="Q95">
        <f>P$102+나무계산!O$8*L95</f>
        <v>1515</v>
      </c>
    </row>
    <row r="96" spans="12:17" x14ac:dyDescent="0.3">
      <c r="L96">
        <v>94</v>
      </c>
      <c r="M96">
        <f>100+나무계산!O$4*L96</f>
        <v>194</v>
      </c>
      <c r="N96">
        <f>150+L96*나무계산!O$5</f>
        <v>338</v>
      </c>
      <c r="O96">
        <f>N$102+나무계산!O$6*L96</f>
        <v>632</v>
      </c>
      <c r="P96">
        <f>O$102+나무계산!O$7*L96</f>
        <v>1026</v>
      </c>
      <c r="Q96">
        <f>P$102+나무계산!O$8*L96</f>
        <v>1520</v>
      </c>
    </row>
    <row r="97" spans="12:17" x14ac:dyDescent="0.3">
      <c r="L97">
        <v>95</v>
      </c>
      <c r="M97">
        <f>100+나무계산!O$4*L97</f>
        <v>195</v>
      </c>
      <c r="N97">
        <f>150+L97*나무계산!O$5</f>
        <v>340</v>
      </c>
      <c r="O97">
        <f>N$102+나무계산!O$6*L97</f>
        <v>635</v>
      </c>
      <c r="P97">
        <f>O$102+나무계산!O$7*L97</f>
        <v>1030</v>
      </c>
      <c r="Q97">
        <f>P$102+나무계산!O$8*L97</f>
        <v>1525</v>
      </c>
    </row>
    <row r="98" spans="12:17" x14ac:dyDescent="0.3">
      <c r="L98">
        <v>96</v>
      </c>
      <c r="M98">
        <f>100+나무계산!O$4*L98</f>
        <v>196</v>
      </c>
      <c r="N98">
        <f>150+L98*나무계산!O$5</f>
        <v>342</v>
      </c>
      <c r="O98">
        <f>N$102+나무계산!O$6*L98</f>
        <v>638</v>
      </c>
      <c r="P98">
        <f>O$102+나무계산!O$7*L98</f>
        <v>1034</v>
      </c>
      <c r="Q98">
        <f>P$102+나무계산!O$8*L98</f>
        <v>1530</v>
      </c>
    </row>
    <row r="99" spans="12:17" x14ac:dyDescent="0.3">
      <c r="L99">
        <v>97</v>
      </c>
      <c r="M99">
        <f>100+나무계산!O$4*L99</f>
        <v>197</v>
      </c>
      <c r="N99">
        <f>150+L99*나무계산!O$5</f>
        <v>344</v>
      </c>
      <c r="O99">
        <f>N$102+나무계산!O$6*L99</f>
        <v>641</v>
      </c>
      <c r="P99">
        <f>O$102+나무계산!O$7*L99</f>
        <v>1038</v>
      </c>
      <c r="Q99">
        <f>P$102+나무계산!O$8*L99</f>
        <v>1535</v>
      </c>
    </row>
    <row r="100" spans="12:17" x14ac:dyDescent="0.3">
      <c r="L100">
        <v>98</v>
      </c>
      <c r="M100">
        <f>100+나무계산!O$4*L100</f>
        <v>198</v>
      </c>
      <c r="N100">
        <f>150+L100*나무계산!O$5</f>
        <v>346</v>
      </c>
      <c r="O100">
        <f>N$102+나무계산!O$6*L100</f>
        <v>644</v>
      </c>
      <c r="P100">
        <f>O$102+나무계산!O$7*L100</f>
        <v>1042</v>
      </c>
      <c r="Q100">
        <f>P$102+나무계산!O$8*L100</f>
        <v>1540</v>
      </c>
    </row>
    <row r="101" spans="12:17" x14ac:dyDescent="0.3">
      <c r="L101">
        <v>99</v>
      </c>
      <c r="M101">
        <f>100+나무계산!O$4*L101</f>
        <v>199</v>
      </c>
      <c r="N101">
        <f>150+L101*나무계산!O$5</f>
        <v>348</v>
      </c>
      <c r="O101">
        <f>N$102+나무계산!O$6*L101</f>
        <v>647</v>
      </c>
      <c r="P101">
        <f>O$102+나무계산!O$7*L101</f>
        <v>1046</v>
      </c>
      <c r="Q101">
        <f>P$102+나무계산!O$8*L101</f>
        <v>1545</v>
      </c>
    </row>
    <row r="102" spans="12:17" x14ac:dyDescent="0.3">
      <c r="L102">
        <v>100</v>
      </c>
      <c r="M102">
        <f>100+나무계산!O$4*L102</f>
        <v>200</v>
      </c>
      <c r="N102">
        <f>150+L102*나무계산!O$5</f>
        <v>350</v>
      </c>
      <c r="O102">
        <f>N$102+나무계산!O$6*L102</f>
        <v>650</v>
      </c>
      <c r="P102">
        <f>O$102+나무계산!O$7*L102</f>
        <v>1050</v>
      </c>
      <c r="Q102">
        <f>P$102+나무계산!O$8*L102</f>
        <v>1550</v>
      </c>
    </row>
    <row r="124" spans="12:12" x14ac:dyDescent="0.3">
      <c r="L124">
        <v>122</v>
      </c>
    </row>
    <row r="125" spans="12:12" x14ac:dyDescent="0.3">
      <c r="L125">
        <v>123</v>
      </c>
    </row>
    <row r="126" spans="12:12" x14ac:dyDescent="0.3">
      <c r="L126">
        <v>124</v>
      </c>
    </row>
    <row r="127" spans="12:12" x14ac:dyDescent="0.3">
      <c r="L127">
        <v>125</v>
      </c>
    </row>
    <row r="128" spans="12:12" x14ac:dyDescent="0.3">
      <c r="L128">
        <v>126</v>
      </c>
    </row>
    <row r="129" spans="12:12" x14ac:dyDescent="0.3">
      <c r="L129">
        <v>127</v>
      </c>
    </row>
    <row r="130" spans="12:12" x14ac:dyDescent="0.3">
      <c r="L130">
        <v>128</v>
      </c>
    </row>
    <row r="131" spans="12:12" x14ac:dyDescent="0.3">
      <c r="L131">
        <v>129</v>
      </c>
    </row>
    <row r="132" spans="12:12" x14ac:dyDescent="0.3">
      <c r="L132">
        <v>130</v>
      </c>
    </row>
    <row r="133" spans="12:12" x14ac:dyDescent="0.3">
      <c r="L133">
        <v>131</v>
      </c>
    </row>
    <row r="134" spans="12:12" x14ac:dyDescent="0.3">
      <c r="L134">
        <v>132</v>
      </c>
    </row>
    <row r="135" spans="12:12" x14ac:dyDescent="0.3">
      <c r="L135">
        <v>133</v>
      </c>
    </row>
    <row r="136" spans="12:12" x14ac:dyDescent="0.3">
      <c r="L136">
        <v>134</v>
      </c>
    </row>
    <row r="137" spans="12:12" x14ac:dyDescent="0.3">
      <c r="L137">
        <v>135</v>
      </c>
    </row>
    <row r="138" spans="12:12" x14ac:dyDescent="0.3">
      <c r="L138">
        <v>136</v>
      </c>
    </row>
    <row r="139" spans="12:12" x14ac:dyDescent="0.3">
      <c r="L139">
        <v>137</v>
      </c>
    </row>
    <row r="140" spans="12:12" x14ac:dyDescent="0.3">
      <c r="L140">
        <v>138</v>
      </c>
    </row>
    <row r="141" spans="12:12" x14ac:dyDescent="0.3">
      <c r="L141">
        <v>139</v>
      </c>
    </row>
    <row r="142" spans="12:12" x14ac:dyDescent="0.3">
      <c r="L142">
        <v>140</v>
      </c>
    </row>
    <row r="143" spans="12:12" x14ac:dyDescent="0.3">
      <c r="L143">
        <v>141</v>
      </c>
    </row>
    <row r="144" spans="12:12" x14ac:dyDescent="0.3">
      <c r="L144">
        <v>142</v>
      </c>
    </row>
    <row r="145" spans="12:12" x14ac:dyDescent="0.3">
      <c r="L145">
        <v>143</v>
      </c>
    </row>
    <row r="146" spans="12:12" x14ac:dyDescent="0.3">
      <c r="L146">
        <v>144</v>
      </c>
    </row>
    <row r="147" spans="12:12" x14ac:dyDescent="0.3">
      <c r="L147">
        <v>145</v>
      </c>
    </row>
    <row r="148" spans="12:12" x14ac:dyDescent="0.3">
      <c r="L148">
        <v>146</v>
      </c>
    </row>
    <row r="149" spans="12:12" x14ac:dyDescent="0.3">
      <c r="L149">
        <v>147</v>
      </c>
    </row>
    <row r="150" spans="12:12" x14ac:dyDescent="0.3">
      <c r="L150">
        <v>148</v>
      </c>
    </row>
    <row r="151" spans="12:12" x14ac:dyDescent="0.3">
      <c r="L151">
        <v>149</v>
      </c>
    </row>
    <row r="152" spans="12:12" x14ac:dyDescent="0.3">
      <c r="L152">
        <v>150</v>
      </c>
    </row>
    <row r="153" spans="12:12" x14ac:dyDescent="0.3">
      <c r="L153">
        <v>151</v>
      </c>
    </row>
    <row r="154" spans="12:12" x14ac:dyDescent="0.3">
      <c r="L154">
        <v>152</v>
      </c>
    </row>
    <row r="155" spans="12:12" x14ac:dyDescent="0.3">
      <c r="L155">
        <v>153</v>
      </c>
    </row>
    <row r="156" spans="12:12" x14ac:dyDescent="0.3">
      <c r="L156">
        <v>154</v>
      </c>
    </row>
    <row r="157" spans="12:12" x14ac:dyDescent="0.3">
      <c r="L157">
        <v>155</v>
      </c>
    </row>
    <row r="158" spans="12:12" x14ac:dyDescent="0.3">
      <c r="L158">
        <v>156</v>
      </c>
    </row>
    <row r="159" spans="12:12" x14ac:dyDescent="0.3">
      <c r="L159">
        <v>157</v>
      </c>
    </row>
    <row r="160" spans="12:12" x14ac:dyDescent="0.3">
      <c r="L160">
        <v>158</v>
      </c>
    </row>
    <row r="161" spans="12:12" x14ac:dyDescent="0.3">
      <c r="L161">
        <v>159</v>
      </c>
    </row>
    <row r="162" spans="12:12" x14ac:dyDescent="0.3">
      <c r="L162">
        <v>160</v>
      </c>
    </row>
    <row r="163" spans="12:12" x14ac:dyDescent="0.3">
      <c r="L163">
        <v>161</v>
      </c>
    </row>
    <row r="164" spans="12:12" x14ac:dyDescent="0.3">
      <c r="L164">
        <v>162</v>
      </c>
    </row>
    <row r="165" spans="12:12" x14ac:dyDescent="0.3">
      <c r="L165">
        <v>163</v>
      </c>
    </row>
    <row r="166" spans="12:12" x14ac:dyDescent="0.3">
      <c r="L166">
        <v>164</v>
      </c>
    </row>
    <row r="167" spans="12:12" x14ac:dyDescent="0.3">
      <c r="L167">
        <v>165</v>
      </c>
    </row>
    <row r="168" spans="12:12" x14ac:dyDescent="0.3">
      <c r="L168">
        <v>166</v>
      </c>
    </row>
    <row r="169" spans="12:12" x14ac:dyDescent="0.3">
      <c r="L169">
        <v>167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8A6E6-EB01-41AF-8E05-0E32C4C8395B}">
  <dimension ref="A1:AI43"/>
  <sheetViews>
    <sheetView topLeftCell="L1" workbookViewId="0">
      <pane xSplit="3" ySplit="3" topLeftCell="X22" activePane="bottomRight" state="frozen"/>
      <selection activeCell="L1" sqref="L1"/>
      <selection pane="topRight" activeCell="O1" sqref="O1"/>
      <selection pane="bottomLeft" activeCell="L4" sqref="L4"/>
      <selection pane="bottomRight" activeCell="AE9" sqref="AE9"/>
    </sheetView>
  </sheetViews>
  <sheetFormatPr defaultRowHeight="16.5" x14ac:dyDescent="0.3"/>
  <sheetData>
    <row r="1" spans="1:35" x14ac:dyDescent="0.3">
      <c r="T1" t="s">
        <v>124</v>
      </c>
      <c r="X1">
        <f>S1*V1*0.6</f>
        <v>0</v>
      </c>
      <c r="AA1">
        <v>100</v>
      </c>
      <c r="AB1">
        <f>AA1*100</f>
        <v>10000</v>
      </c>
    </row>
    <row r="2" spans="1:35" x14ac:dyDescent="0.3">
      <c r="X2">
        <f t="shared" ref="X2:X3" si="0">S2*V2*0.6</f>
        <v>0</v>
      </c>
      <c r="AA2">
        <v>250</v>
      </c>
      <c r="AB2">
        <f>AA2*200</f>
        <v>50000</v>
      </c>
    </row>
    <row r="3" spans="1:35" x14ac:dyDescent="0.3">
      <c r="M3">
        <v>50</v>
      </c>
      <c r="N3">
        <v>100</v>
      </c>
      <c r="P3" t="s">
        <v>121</v>
      </c>
      <c r="Q3" t="s">
        <v>122</v>
      </c>
      <c r="R3" t="s">
        <v>123</v>
      </c>
      <c r="T3" t="s">
        <v>121</v>
      </c>
      <c r="U3" t="s">
        <v>120</v>
      </c>
      <c r="X3">
        <f t="shared" si="0"/>
        <v>0</v>
      </c>
      <c r="Z3">
        <f>Z5/200</f>
        <v>114</v>
      </c>
    </row>
    <row r="4" spans="1:35" x14ac:dyDescent="0.3">
      <c r="A4">
        <v>1</v>
      </c>
      <c r="B4" t="s">
        <v>94</v>
      </c>
      <c r="C4">
        <v>25</v>
      </c>
      <c r="D4">
        <v>50</v>
      </c>
      <c r="E4">
        <v>75</v>
      </c>
      <c r="I4">
        <v>0</v>
      </c>
      <c r="K4">
        <v>1</v>
      </c>
      <c r="L4">
        <v>0</v>
      </c>
      <c r="M4">
        <v>25</v>
      </c>
      <c r="N4">
        <v>50</v>
      </c>
      <c r="O4">
        <v>1</v>
      </c>
      <c r="P4">
        <v>100</v>
      </c>
      <c r="Q4">
        <f>P4+M4*$K4</f>
        <v>125</v>
      </c>
      <c r="R4">
        <f>$P$4+N4*$K4</f>
        <v>150</v>
      </c>
      <c r="T4">
        <f>25*(P4+Q4)/2*4</f>
        <v>11250</v>
      </c>
      <c r="U4">
        <f>25*(R4+Q4)/2*4</f>
        <v>13750</v>
      </c>
      <c r="V4">
        <f>U4+T4</f>
        <v>25000</v>
      </c>
      <c r="W4" s="29">
        <v>0.95</v>
      </c>
      <c r="X4">
        <v>6412.5</v>
      </c>
      <c r="Y4">
        <v>7837.5</v>
      </c>
      <c r="Z4">
        <f t="shared" ref="Z4:Z38" si="1">T4*W4*0.6</f>
        <v>6412.5</v>
      </c>
      <c r="AA4">
        <f>U4*W4*0.6</f>
        <v>7837.5</v>
      </c>
      <c r="AC4">
        <f t="shared" ref="AC4:AC38" si="2">V4*W4*0.6</f>
        <v>14250</v>
      </c>
      <c r="AE4">
        <v>1</v>
      </c>
      <c r="AF4">
        <v>12000</v>
      </c>
      <c r="AG4">
        <v>1</v>
      </c>
      <c r="AH4">
        <v>5400</v>
      </c>
      <c r="AI4">
        <v>1</v>
      </c>
    </row>
    <row r="5" spans="1:35" x14ac:dyDescent="0.3">
      <c r="A5">
        <v>2</v>
      </c>
      <c r="B5" t="s">
        <v>95</v>
      </c>
      <c r="C5">
        <v>125</v>
      </c>
      <c r="D5">
        <v>150</v>
      </c>
      <c r="E5">
        <v>125</v>
      </c>
      <c r="I5">
        <v>25</v>
      </c>
      <c r="K5">
        <v>2</v>
      </c>
      <c r="L5">
        <v>50</v>
      </c>
      <c r="M5">
        <v>100</v>
      </c>
      <c r="N5">
        <v>150</v>
      </c>
      <c r="O5">
        <v>2</v>
      </c>
      <c r="P5">
        <f>R4</f>
        <v>150</v>
      </c>
      <c r="Q5">
        <f>P5+(M5-L5)*O5</f>
        <v>250</v>
      </c>
      <c r="R5">
        <f>Q5+(N5-M5)*O5</f>
        <v>350</v>
      </c>
      <c r="T5">
        <f>50*(P5+Q5)/2*4</f>
        <v>40000</v>
      </c>
      <c r="U5">
        <f>50*(R5+Q5)/2*4</f>
        <v>60000</v>
      </c>
      <c r="V5">
        <f t="shared" ref="V5:V23" si="3">U5+T5</f>
        <v>100000</v>
      </c>
      <c r="W5" s="30">
        <v>0.95</v>
      </c>
      <c r="X5">
        <v>22800</v>
      </c>
      <c r="Y5">
        <v>34200</v>
      </c>
      <c r="Z5">
        <f t="shared" si="1"/>
        <v>22800</v>
      </c>
      <c r="AA5">
        <f t="shared" ref="AA5:AA23" si="4">U5*W5*0.6</f>
        <v>34200</v>
      </c>
      <c r="AC5">
        <f t="shared" si="2"/>
        <v>57000</v>
      </c>
      <c r="AE5">
        <v>200</v>
      </c>
      <c r="AF5">
        <v>48000</v>
      </c>
      <c r="AG5">
        <v>200</v>
      </c>
      <c r="AH5">
        <v>6600</v>
      </c>
      <c r="AI5">
        <v>2</v>
      </c>
    </row>
    <row r="6" spans="1:35" x14ac:dyDescent="0.3">
      <c r="A6">
        <v>3</v>
      </c>
      <c r="B6" t="s">
        <v>96</v>
      </c>
      <c r="C6">
        <v>225</v>
      </c>
      <c r="D6">
        <v>250</v>
      </c>
      <c r="E6">
        <v>175</v>
      </c>
      <c r="I6">
        <v>50</v>
      </c>
      <c r="K6">
        <v>3</v>
      </c>
      <c r="L6">
        <v>150</v>
      </c>
      <c r="M6" s="32">
        <v>200</v>
      </c>
      <c r="N6">
        <v>250</v>
      </c>
      <c r="O6">
        <v>3</v>
      </c>
      <c r="P6">
        <f t="shared" ref="P6:P23" si="5">R5</f>
        <v>350</v>
      </c>
      <c r="Q6">
        <f t="shared" ref="Q6:Q23" si="6">P6+(M6-L6)*O6</f>
        <v>500</v>
      </c>
      <c r="R6">
        <f t="shared" ref="R6:R23" si="7">Q6+(N6-M6)*O6</f>
        <v>650</v>
      </c>
      <c r="T6">
        <f t="shared" ref="T6:T23" si="8">50*(P6+Q6)/2*4</f>
        <v>85000</v>
      </c>
      <c r="U6">
        <f t="shared" ref="U6:U23" si="9">50*(R6+Q6)/2*4</f>
        <v>115000</v>
      </c>
      <c r="V6">
        <f t="shared" si="3"/>
        <v>200000</v>
      </c>
      <c r="W6" s="30">
        <v>0.9</v>
      </c>
      <c r="X6">
        <v>45900</v>
      </c>
      <c r="Y6">
        <v>62100</v>
      </c>
      <c r="Z6">
        <f t="shared" si="1"/>
        <v>45900</v>
      </c>
      <c r="AA6">
        <f t="shared" si="4"/>
        <v>62100</v>
      </c>
      <c r="AC6">
        <f t="shared" si="2"/>
        <v>108000</v>
      </c>
      <c r="AE6">
        <v>600</v>
      </c>
      <c r="AF6">
        <v>84000</v>
      </c>
      <c r="AG6">
        <v>400</v>
      </c>
      <c r="AH6">
        <v>19200</v>
      </c>
      <c r="AI6">
        <v>3</v>
      </c>
    </row>
    <row r="7" spans="1:35" x14ac:dyDescent="0.3">
      <c r="A7">
        <v>4</v>
      </c>
      <c r="B7" t="s">
        <v>97</v>
      </c>
      <c r="C7">
        <v>325</v>
      </c>
      <c r="D7">
        <v>350</v>
      </c>
      <c r="E7">
        <v>225</v>
      </c>
      <c r="I7">
        <v>100</v>
      </c>
      <c r="K7">
        <v>4</v>
      </c>
      <c r="L7">
        <v>250</v>
      </c>
      <c r="M7">
        <v>300</v>
      </c>
      <c r="N7">
        <v>350</v>
      </c>
      <c r="O7">
        <v>4</v>
      </c>
      <c r="P7">
        <f t="shared" si="5"/>
        <v>650</v>
      </c>
      <c r="Q7">
        <f t="shared" si="6"/>
        <v>850</v>
      </c>
      <c r="R7">
        <f t="shared" si="7"/>
        <v>1050</v>
      </c>
      <c r="T7">
        <f t="shared" si="8"/>
        <v>150000</v>
      </c>
      <c r="U7">
        <f t="shared" si="9"/>
        <v>190000</v>
      </c>
      <c r="V7">
        <f t="shared" si="3"/>
        <v>340000</v>
      </c>
      <c r="W7" s="30">
        <v>0.9</v>
      </c>
      <c r="X7">
        <v>81000</v>
      </c>
      <c r="Y7">
        <v>102600</v>
      </c>
      <c r="Z7">
        <f t="shared" si="1"/>
        <v>81000</v>
      </c>
      <c r="AA7">
        <f t="shared" si="4"/>
        <v>102600</v>
      </c>
      <c r="AC7">
        <f t="shared" si="2"/>
        <v>183600</v>
      </c>
      <c r="AE7">
        <v>1000</v>
      </c>
      <c r="AF7">
        <v>142799.99999999997</v>
      </c>
      <c r="AG7">
        <v>600</v>
      </c>
      <c r="AH7">
        <v>28800</v>
      </c>
      <c r="AI7">
        <v>4</v>
      </c>
    </row>
    <row r="8" spans="1:35" x14ac:dyDescent="0.3">
      <c r="A8">
        <v>5</v>
      </c>
      <c r="B8" t="s">
        <v>98</v>
      </c>
      <c r="C8">
        <v>425</v>
      </c>
      <c r="D8">
        <v>450</v>
      </c>
      <c r="E8">
        <v>275</v>
      </c>
      <c r="I8">
        <v>150</v>
      </c>
      <c r="K8">
        <v>5</v>
      </c>
      <c r="L8">
        <v>350</v>
      </c>
      <c r="M8" s="32">
        <v>400</v>
      </c>
      <c r="N8">
        <v>450</v>
      </c>
      <c r="O8">
        <v>5</v>
      </c>
      <c r="P8">
        <f t="shared" si="5"/>
        <v>1050</v>
      </c>
      <c r="Q8">
        <f t="shared" si="6"/>
        <v>1300</v>
      </c>
      <c r="R8">
        <f t="shared" si="7"/>
        <v>1550</v>
      </c>
      <c r="T8">
        <f t="shared" si="8"/>
        <v>235000</v>
      </c>
      <c r="U8">
        <f t="shared" si="9"/>
        <v>285000</v>
      </c>
      <c r="V8">
        <f t="shared" si="3"/>
        <v>520000</v>
      </c>
      <c r="W8" s="29">
        <v>0.85</v>
      </c>
      <c r="X8">
        <v>119850</v>
      </c>
      <c r="Y8">
        <v>145350</v>
      </c>
      <c r="Z8">
        <f t="shared" si="1"/>
        <v>119850</v>
      </c>
      <c r="AA8">
        <f t="shared" si="4"/>
        <v>145350</v>
      </c>
      <c r="AC8">
        <f t="shared" si="2"/>
        <v>265200</v>
      </c>
      <c r="AE8">
        <v>1400</v>
      </c>
      <c r="AF8">
        <v>187200</v>
      </c>
      <c r="AG8">
        <v>800</v>
      </c>
      <c r="AH8">
        <v>35699.999999999993</v>
      </c>
      <c r="AI8">
        <v>5</v>
      </c>
    </row>
    <row r="9" spans="1:35" x14ac:dyDescent="0.3">
      <c r="A9">
        <v>6</v>
      </c>
      <c r="B9" t="s">
        <v>99</v>
      </c>
      <c r="C9">
        <v>525</v>
      </c>
      <c r="D9">
        <v>550</v>
      </c>
      <c r="E9">
        <v>325</v>
      </c>
      <c r="I9">
        <v>200</v>
      </c>
      <c r="K9">
        <v>6</v>
      </c>
      <c r="L9">
        <v>450</v>
      </c>
      <c r="M9">
        <v>500</v>
      </c>
      <c r="N9">
        <v>550</v>
      </c>
      <c r="O9">
        <v>6</v>
      </c>
      <c r="P9">
        <f t="shared" si="5"/>
        <v>1550</v>
      </c>
      <c r="Q9">
        <f t="shared" si="6"/>
        <v>1850</v>
      </c>
      <c r="R9">
        <f t="shared" si="7"/>
        <v>2150</v>
      </c>
      <c r="T9">
        <f t="shared" si="8"/>
        <v>340000</v>
      </c>
      <c r="U9">
        <f t="shared" si="9"/>
        <v>400000</v>
      </c>
      <c r="V9">
        <f t="shared" si="3"/>
        <v>740000</v>
      </c>
      <c r="W9" s="29">
        <v>0.8</v>
      </c>
      <c r="X9">
        <v>163200</v>
      </c>
      <c r="Y9">
        <v>192000</v>
      </c>
      <c r="Z9">
        <f t="shared" si="1"/>
        <v>163200</v>
      </c>
      <c r="AA9">
        <f t="shared" si="4"/>
        <v>192000</v>
      </c>
      <c r="AC9">
        <f t="shared" si="2"/>
        <v>355200</v>
      </c>
      <c r="AE9">
        <v>1800</v>
      </c>
      <c r="AF9">
        <v>266400</v>
      </c>
      <c r="AG9">
        <v>1000</v>
      </c>
      <c r="AH9">
        <v>48300</v>
      </c>
      <c r="AI9">
        <v>6</v>
      </c>
    </row>
    <row r="10" spans="1:35" x14ac:dyDescent="0.3">
      <c r="A10">
        <v>7</v>
      </c>
      <c r="B10" t="s">
        <v>100</v>
      </c>
      <c r="C10">
        <v>625</v>
      </c>
      <c r="D10">
        <v>650</v>
      </c>
      <c r="E10">
        <v>375</v>
      </c>
      <c r="I10">
        <v>250</v>
      </c>
      <c r="K10">
        <v>7</v>
      </c>
      <c r="L10">
        <v>550</v>
      </c>
      <c r="M10" s="32">
        <v>600</v>
      </c>
      <c r="N10">
        <v>650</v>
      </c>
      <c r="O10">
        <v>7</v>
      </c>
      <c r="P10">
        <f t="shared" si="5"/>
        <v>2150</v>
      </c>
      <c r="Q10">
        <f t="shared" si="6"/>
        <v>2500</v>
      </c>
      <c r="R10">
        <f t="shared" si="7"/>
        <v>2850</v>
      </c>
      <c r="T10">
        <f t="shared" si="8"/>
        <v>465000</v>
      </c>
      <c r="U10">
        <f t="shared" si="9"/>
        <v>535000</v>
      </c>
      <c r="V10">
        <f t="shared" si="3"/>
        <v>1000000</v>
      </c>
      <c r="W10" s="30">
        <v>0.8</v>
      </c>
      <c r="X10">
        <v>223200</v>
      </c>
      <c r="Y10">
        <v>256800</v>
      </c>
      <c r="Z10">
        <f t="shared" si="1"/>
        <v>223200</v>
      </c>
      <c r="AA10">
        <f t="shared" si="4"/>
        <v>256800</v>
      </c>
      <c r="AC10">
        <f t="shared" si="2"/>
        <v>480000</v>
      </c>
      <c r="AE10">
        <v>2200</v>
      </c>
      <c r="AF10">
        <v>360000</v>
      </c>
      <c r="AG10">
        <v>1200</v>
      </c>
      <c r="AH10">
        <v>63000</v>
      </c>
      <c r="AI10">
        <v>7</v>
      </c>
    </row>
    <row r="11" spans="1:35" x14ac:dyDescent="0.3">
      <c r="A11">
        <v>8</v>
      </c>
      <c r="B11" t="s">
        <v>101</v>
      </c>
      <c r="C11">
        <v>725</v>
      </c>
      <c r="D11">
        <v>750</v>
      </c>
      <c r="E11">
        <v>425</v>
      </c>
      <c r="I11">
        <v>300</v>
      </c>
      <c r="K11">
        <v>8</v>
      </c>
      <c r="L11">
        <v>650</v>
      </c>
      <c r="M11">
        <v>700</v>
      </c>
      <c r="N11">
        <v>750</v>
      </c>
      <c r="O11">
        <v>8</v>
      </c>
      <c r="P11">
        <f t="shared" si="5"/>
        <v>2850</v>
      </c>
      <c r="Q11">
        <f t="shared" si="6"/>
        <v>3250</v>
      </c>
      <c r="R11">
        <f t="shared" si="7"/>
        <v>3650</v>
      </c>
      <c r="T11">
        <f t="shared" si="8"/>
        <v>610000</v>
      </c>
      <c r="U11">
        <f t="shared" si="9"/>
        <v>690000</v>
      </c>
      <c r="V11">
        <f t="shared" si="3"/>
        <v>1300000</v>
      </c>
      <c r="W11" s="30">
        <v>0.75</v>
      </c>
      <c r="X11">
        <v>274500</v>
      </c>
      <c r="Y11">
        <v>310500</v>
      </c>
      <c r="Z11">
        <f t="shared" si="1"/>
        <v>274500</v>
      </c>
      <c r="AA11">
        <f t="shared" si="4"/>
        <v>310500</v>
      </c>
      <c r="AC11">
        <f t="shared" si="2"/>
        <v>585000</v>
      </c>
      <c r="AE11">
        <v>2600</v>
      </c>
      <c r="AF11">
        <v>468000</v>
      </c>
      <c r="AG11">
        <v>1400</v>
      </c>
      <c r="AH11">
        <v>79800</v>
      </c>
      <c r="AI11">
        <v>8</v>
      </c>
    </row>
    <row r="12" spans="1:35" x14ac:dyDescent="0.3">
      <c r="A12">
        <v>9</v>
      </c>
      <c r="B12" t="s">
        <v>102</v>
      </c>
      <c r="C12">
        <v>825</v>
      </c>
      <c r="D12">
        <v>850</v>
      </c>
      <c r="E12">
        <v>475</v>
      </c>
      <c r="I12">
        <v>350</v>
      </c>
      <c r="K12">
        <v>9</v>
      </c>
      <c r="L12">
        <v>750</v>
      </c>
      <c r="M12" s="32">
        <v>800</v>
      </c>
      <c r="N12">
        <v>850</v>
      </c>
      <c r="O12">
        <v>9</v>
      </c>
      <c r="P12">
        <f t="shared" si="5"/>
        <v>3650</v>
      </c>
      <c r="Q12">
        <f t="shared" si="6"/>
        <v>4100</v>
      </c>
      <c r="R12">
        <f t="shared" si="7"/>
        <v>4550</v>
      </c>
      <c r="T12">
        <f t="shared" si="8"/>
        <v>775000</v>
      </c>
      <c r="U12">
        <f t="shared" si="9"/>
        <v>865000</v>
      </c>
      <c r="V12">
        <f t="shared" si="3"/>
        <v>1640000</v>
      </c>
      <c r="W12" s="29">
        <v>0.7</v>
      </c>
      <c r="X12">
        <v>325500</v>
      </c>
      <c r="Y12">
        <v>363300</v>
      </c>
      <c r="Z12">
        <f t="shared" si="1"/>
        <v>325500</v>
      </c>
      <c r="AA12">
        <f t="shared" si="4"/>
        <v>363300</v>
      </c>
      <c r="AC12">
        <f t="shared" si="2"/>
        <v>688800</v>
      </c>
      <c r="AE12">
        <v>3000</v>
      </c>
      <c r="AF12">
        <v>590400</v>
      </c>
      <c r="AG12">
        <v>1600</v>
      </c>
      <c r="AH12">
        <v>84600</v>
      </c>
      <c r="AI12">
        <v>9</v>
      </c>
    </row>
    <row r="13" spans="1:35" x14ac:dyDescent="0.3">
      <c r="A13">
        <v>10</v>
      </c>
      <c r="B13" t="s">
        <v>103</v>
      </c>
      <c r="C13">
        <v>925</v>
      </c>
      <c r="D13">
        <v>950</v>
      </c>
      <c r="E13">
        <v>525</v>
      </c>
      <c r="I13">
        <v>400</v>
      </c>
      <c r="K13">
        <v>10</v>
      </c>
      <c r="L13">
        <v>850</v>
      </c>
      <c r="M13">
        <v>900</v>
      </c>
      <c r="N13">
        <v>950</v>
      </c>
      <c r="O13">
        <v>10</v>
      </c>
      <c r="P13">
        <f t="shared" si="5"/>
        <v>4550</v>
      </c>
      <c r="Q13">
        <f t="shared" si="6"/>
        <v>5050</v>
      </c>
      <c r="R13">
        <f t="shared" si="7"/>
        <v>5550</v>
      </c>
      <c r="T13">
        <f t="shared" si="8"/>
        <v>960000</v>
      </c>
      <c r="U13">
        <f t="shared" si="9"/>
        <v>1060000</v>
      </c>
      <c r="V13">
        <f t="shared" si="3"/>
        <v>2020000</v>
      </c>
      <c r="W13" s="29">
        <v>0.7</v>
      </c>
      <c r="X13">
        <v>403200</v>
      </c>
      <c r="Y13">
        <v>445200</v>
      </c>
      <c r="Z13">
        <f t="shared" si="1"/>
        <v>403200</v>
      </c>
      <c r="AA13">
        <f t="shared" si="4"/>
        <v>445200</v>
      </c>
      <c r="AC13">
        <f t="shared" si="2"/>
        <v>848400</v>
      </c>
      <c r="AE13">
        <v>3400</v>
      </c>
      <c r="AF13">
        <v>606000</v>
      </c>
      <c r="AG13">
        <v>1800</v>
      </c>
      <c r="AH13">
        <v>102600</v>
      </c>
      <c r="AI13">
        <v>10</v>
      </c>
    </row>
    <row r="14" spans="1:35" x14ac:dyDescent="0.3">
      <c r="A14">
        <v>11</v>
      </c>
      <c r="B14" t="s">
        <v>104</v>
      </c>
      <c r="C14">
        <v>1025</v>
      </c>
      <c r="D14">
        <v>1050</v>
      </c>
      <c r="E14">
        <v>575</v>
      </c>
      <c r="I14">
        <v>450</v>
      </c>
      <c r="K14">
        <v>11</v>
      </c>
      <c r="L14">
        <v>950</v>
      </c>
      <c r="M14">
        <v>1000</v>
      </c>
      <c r="N14">
        <v>1050</v>
      </c>
      <c r="O14">
        <v>11</v>
      </c>
      <c r="P14">
        <f t="shared" si="5"/>
        <v>5550</v>
      </c>
      <c r="Q14">
        <f t="shared" si="6"/>
        <v>6100</v>
      </c>
      <c r="R14">
        <f t="shared" si="7"/>
        <v>6650</v>
      </c>
      <c r="T14">
        <f t="shared" si="8"/>
        <v>1165000</v>
      </c>
      <c r="U14">
        <f t="shared" si="9"/>
        <v>1275000</v>
      </c>
      <c r="V14">
        <f t="shared" si="3"/>
        <v>2440000</v>
      </c>
      <c r="W14" s="30">
        <v>0.65</v>
      </c>
      <c r="X14">
        <v>454350</v>
      </c>
      <c r="Y14">
        <v>497250</v>
      </c>
      <c r="Z14">
        <f t="shared" si="1"/>
        <v>454350</v>
      </c>
      <c r="AA14">
        <f t="shared" si="4"/>
        <v>497250</v>
      </c>
      <c r="AC14">
        <f t="shared" si="2"/>
        <v>951600</v>
      </c>
      <c r="AE14">
        <v>3800</v>
      </c>
      <c r="AF14">
        <v>732000</v>
      </c>
      <c r="AG14">
        <v>2000</v>
      </c>
      <c r="AH14">
        <v>122400</v>
      </c>
      <c r="AI14">
        <v>11</v>
      </c>
    </row>
    <row r="15" spans="1:35" x14ac:dyDescent="0.3">
      <c r="A15">
        <v>12</v>
      </c>
      <c r="B15" t="s">
        <v>105</v>
      </c>
      <c r="C15">
        <v>1125</v>
      </c>
      <c r="D15">
        <v>1150</v>
      </c>
      <c r="E15">
        <v>625</v>
      </c>
      <c r="I15">
        <v>500</v>
      </c>
      <c r="K15">
        <v>12</v>
      </c>
      <c r="L15">
        <v>1050</v>
      </c>
      <c r="M15">
        <v>1100</v>
      </c>
      <c r="N15">
        <v>1150</v>
      </c>
      <c r="O15">
        <v>12</v>
      </c>
      <c r="P15">
        <f t="shared" si="5"/>
        <v>6650</v>
      </c>
      <c r="Q15">
        <f t="shared" si="6"/>
        <v>7250</v>
      </c>
      <c r="R15">
        <f t="shared" si="7"/>
        <v>7850</v>
      </c>
      <c r="T15">
        <f t="shared" si="8"/>
        <v>1390000</v>
      </c>
      <c r="U15">
        <f t="shared" si="9"/>
        <v>1510000</v>
      </c>
      <c r="V15">
        <f t="shared" si="3"/>
        <v>2900000</v>
      </c>
      <c r="W15" s="30">
        <v>0.65</v>
      </c>
      <c r="X15">
        <v>542100</v>
      </c>
      <c r="Y15">
        <v>588900</v>
      </c>
      <c r="Z15">
        <f t="shared" si="1"/>
        <v>542100</v>
      </c>
      <c r="AA15">
        <f t="shared" si="4"/>
        <v>588900</v>
      </c>
      <c r="AC15">
        <f t="shared" si="2"/>
        <v>1131000</v>
      </c>
      <c r="AE15">
        <v>4200</v>
      </c>
      <c r="AF15">
        <v>870000</v>
      </c>
      <c r="AG15">
        <v>2200</v>
      </c>
      <c r="AH15">
        <v>144000</v>
      </c>
      <c r="AI15">
        <v>12</v>
      </c>
    </row>
    <row r="16" spans="1:35" x14ac:dyDescent="0.3">
      <c r="A16">
        <v>13</v>
      </c>
      <c r="B16" t="s">
        <v>106</v>
      </c>
      <c r="C16">
        <v>1225</v>
      </c>
      <c r="D16">
        <v>1250</v>
      </c>
      <c r="E16">
        <v>675</v>
      </c>
      <c r="I16">
        <v>550</v>
      </c>
      <c r="K16">
        <v>13</v>
      </c>
      <c r="L16">
        <v>1150</v>
      </c>
      <c r="M16">
        <v>1200</v>
      </c>
      <c r="N16">
        <v>1250</v>
      </c>
      <c r="O16">
        <v>13</v>
      </c>
      <c r="P16">
        <f t="shared" si="5"/>
        <v>7850</v>
      </c>
      <c r="Q16">
        <f t="shared" si="6"/>
        <v>8500</v>
      </c>
      <c r="R16">
        <f t="shared" si="7"/>
        <v>9150</v>
      </c>
      <c r="T16">
        <f t="shared" si="8"/>
        <v>1635000</v>
      </c>
      <c r="U16">
        <f t="shared" si="9"/>
        <v>1765000</v>
      </c>
      <c r="V16">
        <f t="shared" si="3"/>
        <v>3400000</v>
      </c>
      <c r="W16" s="29">
        <v>0.6</v>
      </c>
      <c r="X16">
        <v>588600</v>
      </c>
      <c r="Y16">
        <v>635400</v>
      </c>
      <c r="Z16">
        <f t="shared" si="1"/>
        <v>588600</v>
      </c>
      <c r="AA16">
        <f t="shared" si="4"/>
        <v>635400</v>
      </c>
      <c r="AC16">
        <f t="shared" si="2"/>
        <v>1224000</v>
      </c>
      <c r="AE16">
        <v>4600</v>
      </c>
      <c r="AF16">
        <v>1020000</v>
      </c>
      <c r="AG16">
        <v>2400</v>
      </c>
      <c r="AH16">
        <v>167400</v>
      </c>
      <c r="AI16">
        <v>13</v>
      </c>
    </row>
    <row r="17" spans="1:35" x14ac:dyDescent="0.3">
      <c r="A17">
        <v>14</v>
      </c>
      <c r="B17" t="s">
        <v>107</v>
      </c>
      <c r="C17">
        <v>1325</v>
      </c>
      <c r="D17">
        <v>1350</v>
      </c>
      <c r="E17">
        <v>725</v>
      </c>
      <c r="I17">
        <v>600</v>
      </c>
      <c r="K17">
        <v>14</v>
      </c>
      <c r="L17">
        <v>1250</v>
      </c>
      <c r="M17">
        <v>1300</v>
      </c>
      <c r="N17">
        <v>1350</v>
      </c>
      <c r="O17">
        <v>14</v>
      </c>
      <c r="P17">
        <f t="shared" si="5"/>
        <v>9150</v>
      </c>
      <c r="Q17">
        <f t="shared" si="6"/>
        <v>9850</v>
      </c>
      <c r="R17">
        <f t="shared" si="7"/>
        <v>10550</v>
      </c>
      <c r="T17">
        <f t="shared" si="8"/>
        <v>1900000</v>
      </c>
      <c r="U17">
        <f t="shared" si="9"/>
        <v>2040000</v>
      </c>
      <c r="V17">
        <f t="shared" si="3"/>
        <v>3940000</v>
      </c>
      <c r="W17" s="29">
        <v>0.6</v>
      </c>
      <c r="X17">
        <v>684000</v>
      </c>
      <c r="Y17">
        <v>734400</v>
      </c>
      <c r="Z17">
        <f t="shared" si="1"/>
        <v>684000</v>
      </c>
      <c r="AA17">
        <f t="shared" si="4"/>
        <v>734400</v>
      </c>
      <c r="AC17">
        <f t="shared" si="2"/>
        <v>1418400</v>
      </c>
      <c r="AE17">
        <v>5000</v>
      </c>
      <c r="AF17">
        <v>1182000</v>
      </c>
      <c r="AG17">
        <v>2600</v>
      </c>
      <c r="AH17">
        <v>192600</v>
      </c>
      <c r="AI17">
        <v>14</v>
      </c>
    </row>
    <row r="18" spans="1:35" x14ac:dyDescent="0.3">
      <c r="A18">
        <v>15</v>
      </c>
      <c r="B18" t="s">
        <v>108</v>
      </c>
      <c r="C18">
        <v>1425</v>
      </c>
      <c r="D18">
        <v>1450</v>
      </c>
      <c r="E18">
        <v>775</v>
      </c>
      <c r="I18">
        <v>650</v>
      </c>
      <c r="K18">
        <v>15</v>
      </c>
      <c r="L18">
        <v>1350</v>
      </c>
      <c r="M18">
        <v>1400</v>
      </c>
      <c r="N18">
        <v>1450</v>
      </c>
      <c r="O18">
        <v>15</v>
      </c>
      <c r="P18">
        <f t="shared" si="5"/>
        <v>10550</v>
      </c>
      <c r="Q18">
        <f t="shared" si="6"/>
        <v>11300</v>
      </c>
      <c r="R18">
        <f t="shared" si="7"/>
        <v>12050</v>
      </c>
      <c r="T18">
        <f t="shared" si="8"/>
        <v>2185000</v>
      </c>
      <c r="U18">
        <f t="shared" si="9"/>
        <v>2335000</v>
      </c>
      <c r="V18">
        <f t="shared" si="3"/>
        <v>4520000</v>
      </c>
      <c r="W18" s="29">
        <v>0.6</v>
      </c>
      <c r="X18">
        <v>786600</v>
      </c>
      <c r="Y18">
        <v>840600</v>
      </c>
      <c r="Z18">
        <f t="shared" si="1"/>
        <v>786600</v>
      </c>
      <c r="AA18">
        <f t="shared" si="4"/>
        <v>840600</v>
      </c>
      <c r="AC18">
        <f t="shared" si="2"/>
        <v>1627200</v>
      </c>
      <c r="AE18">
        <v>5400</v>
      </c>
      <c r="AF18">
        <v>1356000</v>
      </c>
      <c r="AG18">
        <v>2800</v>
      </c>
      <c r="AH18">
        <v>219600</v>
      </c>
      <c r="AI18">
        <v>15</v>
      </c>
    </row>
    <row r="19" spans="1:35" x14ac:dyDescent="0.3">
      <c r="A19">
        <v>16</v>
      </c>
      <c r="B19" t="s">
        <v>109</v>
      </c>
      <c r="C19">
        <v>1525</v>
      </c>
      <c r="D19">
        <v>1550</v>
      </c>
      <c r="E19">
        <v>825</v>
      </c>
      <c r="I19">
        <v>700</v>
      </c>
      <c r="K19">
        <v>16</v>
      </c>
      <c r="L19">
        <v>1450</v>
      </c>
      <c r="M19">
        <v>1500</v>
      </c>
      <c r="N19">
        <v>1550</v>
      </c>
      <c r="O19">
        <v>16</v>
      </c>
      <c r="P19">
        <f t="shared" si="5"/>
        <v>12050</v>
      </c>
      <c r="Q19">
        <f t="shared" si="6"/>
        <v>12850</v>
      </c>
      <c r="R19">
        <f t="shared" si="7"/>
        <v>13650</v>
      </c>
      <c r="T19">
        <f t="shared" si="8"/>
        <v>2490000</v>
      </c>
      <c r="U19">
        <f t="shared" si="9"/>
        <v>2650000</v>
      </c>
      <c r="V19">
        <f t="shared" si="3"/>
        <v>5140000</v>
      </c>
      <c r="W19" s="29">
        <v>0.6</v>
      </c>
      <c r="X19">
        <v>896400</v>
      </c>
      <c r="Y19">
        <v>954000</v>
      </c>
      <c r="Z19">
        <f t="shared" si="1"/>
        <v>896400</v>
      </c>
      <c r="AA19">
        <f t="shared" si="4"/>
        <v>954000</v>
      </c>
      <c r="AC19">
        <f t="shared" si="2"/>
        <v>1850400</v>
      </c>
      <c r="AE19">
        <v>5800</v>
      </c>
      <c r="AF19">
        <v>1542000</v>
      </c>
      <c r="AG19">
        <v>3000</v>
      </c>
      <c r="AH19">
        <v>248400</v>
      </c>
      <c r="AI19">
        <v>16</v>
      </c>
    </row>
    <row r="20" spans="1:35" x14ac:dyDescent="0.3">
      <c r="A20">
        <v>17</v>
      </c>
      <c r="B20" t="s">
        <v>110</v>
      </c>
      <c r="C20">
        <v>1625</v>
      </c>
      <c r="D20">
        <v>1650</v>
      </c>
      <c r="E20">
        <v>875</v>
      </c>
      <c r="I20">
        <v>750</v>
      </c>
      <c r="K20">
        <v>17</v>
      </c>
      <c r="L20">
        <v>1550</v>
      </c>
      <c r="M20">
        <v>1600</v>
      </c>
      <c r="N20">
        <v>1650</v>
      </c>
      <c r="O20">
        <v>17</v>
      </c>
      <c r="P20">
        <f t="shared" si="5"/>
        <v>13650</v>
      </c>
      <c r="Q20">
        <f t="shared" si="6"/>
        <v>14500</v>
      </c>
      <c r="R20">
        <f t="shared" si="7"/>
        <v>15350</v>
      </c>
      <c r="T20">
        <f t="shared" si="8"/>
        <v>2815000</v>
      </c>
      <c r="U20">
        <f t="shared" si="9"/>
        <v>2985000</v>
      </c>
      <c r="V20">
        <f t="shared" si="3"/>
        <v>5800000</v>
      </c>
      <c r="W20" s="29">
        <v>0.6</v>
      </c>
      <c r="X20">
        <v>1013400</v>
      </c>
      <c r="Y20">
        <v>1074600</v>
      </c>
      <c r="Z20">
        <f t="shared" si="1"/>
        <v>1013400</v>
      </c>
      <c r="AA20">
        <f t="shared" si="4"/>
        <v>1074600</v>
      </c>
      <c r="AC20">
        <f t="shared" si="2"/>
        <v>2088000</v>
      </c>
      <c r="AE20">
        <v>6200</v>
      </c>
      <c r="AF20">
        <v>1740000</v>
      </c>
      <c r="AG20">
        <v>3200</v>
      </c>
      <c r="AH20">
        <v>279000</v>
      </c>
      <c r="AI20">
        <v>17</v>
      </c>
    </row>
    <row r="21" spans="1:35" x14ac:dyDescent="0.3">
      <c r="A21">
        <v>18</v>
      </c>
      <c r="B21" t="s">
        <v>111</v>
      </c>
      <c r="C21">
        <v>1725</v>
      </c>
      <c r="D21">
        <v>1750</v>
      </c>
      <c r="E21">
        <v>925</v>
      </c>
      <c r="I21">
        <v>800</v>
      </c>
      <c r="K21">
        <v>18</v>
      </c>
      <c r="L21">
        <v>1650</v>
      </c>
      <c r="M21">
        <v>1700</v>
      </c>
      <c r="N21">
        <v>1750</v>
      </c>
      <c r="O21">
        <v>18</v>
      </c>
      <c r="P21">
        <f t="shared" si="5"/>
        <v>15350</v>
      </c>
      <c r="Q21">
        <f t="shared" si="6"/>
        <v>16250</v>
      </c>
      <c r="R21">
        <f t="shared" si="7"/>
        <v>17150</v>
      </c>
      <c r="T21">
        <f t="shared" si="8"/>
        <v>3160000</v>
      </c>
      <c r="U21">
        <f t="shared" si="9"/>
        <v>3340000</v>
      </c>
      <c r="V21">
        <f t="shared" si="3"/>
        <v>6500000</v>
      </c>
      <c r="W21" s="30">
        <v>0.5</v>
      </c>
      <c r="X21">
        <v>948000</v>
      </c>
      <c r="Y21">
        <v>1002000</v>
      </c>
      <c r="Z21">
        <f t="shared" si="1"/>
        <v>948000</v>
      </c>
      <c r="AA21">
        <f t="shared" si="4"/>
        <v>1002000</v>
      </c>
      <c r="AC21">
        <f t="shared" si="2"/>
        <v>1950000</v>
      </c>
      <c r="AE21">
        <v>6600</v>
      </c>
      <c r="AF21">
        <v>1950000</v>
      </c>
      <c r="AG21">
        <v>3400</v>
      </c>
      <c r="AH21">
        <v>288000</v>
      </c>
      <c r="AI21">
        <v>18</v>
      </c>
    </row>
    <row r="22" spans="1:35" x14ac:dyDescent="0.3">
      <c r="A22">
        <v>19</v>
      </c>
      <c r="B22" t="s">
        <v>112</v>
      </c>
      <c r="C22">
        <v>1825</v>
      </c>
      <c r="D22">
        <v>1850</v>
      </c>
      <c r="E22">
        <v>975</v>
      </c>
      <c r="I22">
        <v>850</v>
      </c>
      <c r="K22">
        <v>19</v>
      </c>
      <c r="L22">
        <v>1750</v>
      </c>
      <c r="M22">
        <v>1800</v>
      </c>
      <c r="N22">
        <v>1850</v>
      </c>
      <c r="O22">
        <v>19</v>
      </c>
      <c r="P22">
        <f t="shared" si="5"/>
        <v>17150</v>
      </c>
      <c r="Q22">
        <f t="shared" si="6"/>
        <v>18100</v>
      </c>
      <c r="R22">
        <f t="shared" si="7"/>
        <v>19050</v>
      </c>
      <c r="T22">
        <f t="shared" si="8"/>
        <v>3525000</v>
      </c>
      <c r="U22">
        <f t="shared" si="9"/>
        <v>3715000</v>
      </c>
      <c r="V22">
        <f t="shared" si="3"/>
        <v>7240000</v>
      </c>
      <c r="W22" s="30">
        <v>0.5</v>
      </c>
      <c r="X22">
        <v>1057500</v>
      </c>
      <c r="Y22">
        <v>1114500</v>
      </c>
      <c r="Z22">
        <f t="shared" si="1"/>
        <v>1057500</v>
      </c>
      <c r="AA22">
        <f t="shared" si="4"/>
        <v>1114500</v>
      </c>
      <c r="AC22">
        <f t="shared" si="2"/>
        <v>2172000</v>
      </c>
      <c r="AE22">
        <v>7000</v>
      </c>
      <c r="AF22">
        <v>2172000</v>
      </c>
      <c r="AG22">
        <v>3600</v>
      </c>
      <c r="AH22">
        <v>311400</v>
      </c>
      <c r="AI22">
        <v>19</v>
      </c>
    </row>
    <row r="23" spans="1:35" x14ac:dyDescent="0.3">
      <c r="A23">
        <v>20</v>
      </c>
      <c r="B23" t="s">
        <v>113</v>
      </c>
      <c r="C23">
        <v>1925</v>
      </c>
      <c r="D23">
        <v>1950</v>
      </c>
      <c r="E23">
        <v>1025</v>
      </c>
      <c r="I23">
        <v>900</v>
      </c>
      <c r="K23">
        <v>20</v>
      </c>
      <c r="L23">
        <v>1850</v>
      </c>
      <c r="M23">
        <v>1900</v>
      </c>
      <c r="N23">
        <v>1950</v>
      </c>
      <c r="O23">
        <v>20</v>
      </c>
      <c r="P23">
        <f t="shared" si="5"/>
        <v>19050</v>
      </c>
      <c r="Q23">
        <f t="shared" si="6"/>
        <v>20050</v>
      </c>
      <c r="R23">
        <f t="shared" si="7"/>
        <v>21050</v>
      </c>
      <c r="T23">
        <f t="shared" si="8"/>
        <v>3910000</v>
      </c>
      <c r="U23">
        <f t="shared" si="9"/>
        <v>4110000</v>
      </c>
      <c r="V23">
        <f t="shared" si="3"/>
        <v>8020000</v>
      </c>
      <c r="W23" s="29">
        <v>0.5</v>
      </c>
      <c r="X23">
        <v>1173000</v>
      </c>
      <c r="Y23">
        <v>1233000</v>
      </c>
      <c r="Z23">
        <f t="shared" si="1"/>
        <v>1173000</v>
      </c>
      <c r="AA23">
        <f t="shared" si="4"/>
        <v>1233000</v>
      </c>
      <c r="AC23">
        <f t="shared" si="2"/>
        <v>2406000</v>
      </c>
      <c r="AE23">
        <v>7400</v>
      </c>
      <c r="AF23">
        <v>2406000</v>
      </c>
      <c r="AG23">
        <v>3800</v>
      </c>
      <c r="AH23">
        <v>318000</v>
      </c>
      <c r="AI23">
        <v>20</v>
      </c>
    </row>
    <row r="24" spans="1:35" x14ac:dyDescent="0.3">
      <c r="I24">
        <v>950</v>
      </c>
      <c r="L24">
        <v>1950</v>
      </c>
      <c r="M24">
        <v>2000</v>
      </c>
      <c r="N24">
        <v>2050</v>
      </c>
      <c r="O24">
        <v>21</v>
      </c>
      <c r="P24">
        <f t="shared" ref="P24:P41" si="10">R23</f>
        <v>21050</v>
      </c>
      <c r="Q24">
        <f t="shared" ref="Q24:Q41" si="11">P24+(M24-L24)*O24</f>
        <v>22100</v>
      </c>
      <c r="R24">
        <f t="shared" ref="R24:R41" si="12">Q24+(N24-M24)*O24</f>
        <v>23150</v>
      </c>
      <c r="T24">
        <f t="shared" ref="T24:T41" si="13">50*(P24+Q24)/2*4</f>
        <v>4315000</v>
      </c>
      <c r="U24">
        <f t="shared" ref="U24:U41" si="14">50*(R24+Q24)/2*4</f>
        <v>4525000</v>
      </c>
      <c r="V24">
        <f t="shared" ref="V24:V41" si="15">U24+T24</f>
        <v>8840000</v>
      </c>
      <c r="W24" s="29">
        <v>1.5</v>
      </c>
      <c r="X24">
        <v>3883500</v>
      </c>
      <c r="Y24">
        <v>4072500</v>
      </c>
      <c r="Z24">
        <f t="shared" si="1"/>
        <v>3883500</v>
      </c>
      <c r="AA24">
        <f t="shared" ref="AA24:AA38" si="16">U24*W24*0.6</f>
        <v>4072500</v>
      </c>
      <c r="AC24">
        <f t="shared" si="2"/>
        <v>7956000</v>
      </c>
      <c r="AG24">
        <v>4000</v>
      </c>
      <c r="AH24">
        <v>349500</v>
      </c>
      <c r="AI24">
        <v>21</v>
      </c>
    </row>
    <row r="25" spans="1:35" x14ac:dyDescent="0.3">
      <c r="I25">
        <v>1000</v>
      </c>
      <c r="L25">
        <v>2050</v>
      </c>
      <c r="M25">
        <v>2100</v>
      </c>
      <c r="N25">
        <v>2150</v>
      </c>
      <c r="O25">
        <v>22</v>
      </c>
      <c r="P25">
        <f t="shared" si="10"/>
        <v>23150</v>
      </c>
      <c r="Q25">
        <f t="shared" si="11"/>
        <v>24250</v>
      </c>
      <c r="R25">
        <f t="shared" si="12"/>
        <v>25350</v>
      </c>
      <c r="T25">
        <f t="shared" si="13"/>
        <v>4740000</v>
      </c>
      <c r="U25">
        <f t="shared" si="14"/>
        <v>4960000</v>
      </c>
      <c r="V25">
        <f t="shared" si="15"/>
        <v>9700000</v>
      </c>
      <c r="W25" s="29">
        <v>2.5</v>
      </c>
      <c r="X25">
        <v>7110000</v>
      </c>
      <c r="Y25">
        <v>7440000</v>
      </c>
      <c r="Z25">
        <f t="shared" si="1"/>
        <v>7110000</v>
      </c>
      <c r="AA25">
        <f t="shared" si="16"/>
        <v>7440000</v>
      </c>
      <c r="AC25">
        <f t="shared" si="2"/>
        <v>14550000</v>
      </c>
      <c r="AG25">
        <v>4200</v>
      </c>
      <c r="AH25">
        <v>382500</v>
      </c>
      <c r="AI25">
        <v>22</v>
      </c>
    </row>
    <row r="26" spans="1:35" x14ac:dyDescent="0.3">
      <c r="I26">
        <v>1050</v>
      </c>
      <c r="L26">
        <v>2150</v>
      </c>
      <c r="M26">
        <v>2200</v>
      </c>
      <c r="N26">
        <v>2250</v>
      </c>
      <c r="O26">
        <v>23</v>
      </c>
      <c r="P26">
        <f t="shared" si="10"/>
        <v>25350</v>
      </c>
      <c r="Q26">
        <f t="shared" si="11"/>
        <v>26500</v>
      </c>
      <c r="R26">
        <f t="shared" si="12"/>
        <v>27650</v>
      </c>
      <c r="T26">
        <f t="shared" si="13"/>
        <v>5185000</v>
      </c>
      <c r="U26">
        <f t="shared" si="14"/>
        <v>5415000</v>
      </c>
      <c r="V26">
        <f t="shared" si="15"/>
        <v>10600000</v>
      </c>
      <c r="W26" s="29">
        <v>3.5</v>
      </c>
      <c r="X26">
        <v>10888500</v>
      </c>
      <c r="Y26">
        <v>11371500</v>
      </c>
      <c r="Z26">
        <f t="shared" si="1"/>
        <v>10888500</v>
      </c>
      <c r="AA26">
        <f t="shared" si="16"/>
        <v>11371500</v>
      </c>
      <c r="AC26">
        <f t="shared" si="2"/>
        <v>22260000</v>
      </c>
      <c r="AG26">
        <v>4400</v>
      </c>
      <c r="AH26">
        <v>417000</v>
      </c>
      <c r="AI26">
        <v>23</v>
      </c>
    </row>
    <row r="27" spans="1:35" x14ac:dyDescent="0.3">
      <c r="I27">
        <v>1100</v>
      </c>
      <c r="L27">
        <v>2250</v>
      </c>
      <c r="M27">
        <v>2300</v>
      </c>
      <c r="N27">
        <v>2350</v>
      </c>
      <c r="O27">
        <v>24</v>
      </c>
      <c r="P27">
        <f t="shared" si="10"/>
        <v>27650</v>
      </c>
      <c r="Q27">
        <f t="shared" si="11"/>
        <v>28850</v>
      </c>
      <c r="R27">
        <f t="shared" si="12"/>
        <v>30050</v>
      </c>
      <c r="T27">
        <f t="shared" si="13"/>
        <v>5650000</v>
      </c>
      <c r="U27">
        <f t="shared" si="14"/>
        <v>5890000</v>
      </c>
      <c r="V27">
        <f t="shared" si="15"/>
        <v>11540000</v>
      </c>
      <c r="W27" s="29">
        <v>4.5</v>
      </c>
      <c r="X27">
        <v>15255000</v>
      </c>
      <c r="Y27">
        <v>15903000</v>
      </c>
      <c r="Z27">
        <f t="shared" si="1"/>
        <v>15255000</v>
      </c>
      <c r="AA27">
        <f t="shared" si="16"/>
        <v>15903000</v>
      </c>
      <c r="AC27">
        <f t="shared" si="2"/>
        <v>31158000</v>
      </c>
      <c r="AG27">
        <v>4600</v>
      </c>
      <c r="AH27">
        <v>453000</v>
      </c>
      <c r="AI27">
        <v>24</v>
      </c>
    </row>
    <row r="28" spans="1:35" x14ac:dyDescent="0.3">
      <c r="I28">
        <v>1150</v>
      </c>
      <c r="L28">
        <v>2350</v>
      </c>
      <c r="M28">
        <v>2400</v>
      </c>
      <c r="N28">
        <v>2450</v>
      </c>
      <c r="O28">
        <v>25</v>
      </c>
      <c r="P28">
        <f t="shared" si="10"/>
        <v>30050</v>
      </c>
      <c r="Q28">
        <f t="shared" si="11"/>
        <v>31300</v>
      </c>
      <c r="R28">
        <f t="shared" si="12"/>
        <v>32550</v>
      </c>
      <c r="S28">
        <v>185</v>
      </c>
      <c r="T28">
        <f t="shared" si="13"/>
        <v>6135000</v>
      </c>
      <c r="U28">
        <f t="shared" si="14"/>
        <v>6385000</v>
      </c>
      <c r="V28">
        <f t="shared" si="15"/>
        <v>12520000</v>
      </c>
      <c r="W28" s="29">
        <v>5.5</v>
      </c>
      <c r="X28">
        <v>20245500</v>
      </c>
      <c r="Y28">
        <v>21070500</v>
      </c>
      <c r="Z28">
        <f t="shared" si="1"/>
        <v>20245500</v>
      </c>
      <c r="AA28">
        <f t="shared" si="16"/>
        <v>21070500</v>
      </c>
      <c r="AC28">
        <f t="shared" si="2"/>
        <v>41316000</v>
      </c>
      <c r="AG28">
        <v>4800</v>
      </c>
      <c r="AH28">
        <v>490500</v>
      </c>
      <c r="AI28">
        <v>25</v>
      </c>
    </row>
    <row r="29" spans="1:35" x14ac:dyDescent="0.3">
      <c r="I29">
        <v>1200</v>
      </c>
      <c r="L29">
        <v>2450</v>
      </c>
      <c r="M29">
        <v>2500</v>
      </c>
      <c r="N29">
        <v>2550</v>
      </c>
      <c r="O29">
        <v>26</v>
      </c>
      <c r="P29">
        <f t="shared" si="10"/>
        <v>32550</v>
      </c>
      <c r="Q29">
        <f t="shared" si="11"/>
        <v>33850</v>
      </c>
      <c r="R29">
        <f t="shared" si="12"/>
        <v>35150</v>
      </c>
      <c r="S29">
        <v>150</v>
      </c>
      <c r="T29">
        <f t="shared" si="13"/>
        <v>6640000</v>
      </c>
      <c r="U29">
        <f t="shared" si="14"/>
        <v>6900000</v>
      </c>
      <c r="V29">
        <f t="shared" si="15"/>
        <v>13540000</v>
      </c>
      <c r="W29" s="29">
        <v>6.5</v>
      </c>
      <c r="X29">
        <v>25896000</v>
      </c>
      <c r="Y29">
        <v>26910000</v>
      </c>
      <c r="Z29">
        <f t="shared" si="1"/>
        <v>25896000</v>
      </c>
      <c r="AA29">
        <f t="shared" si="16"/>
        <v>26910000</v>
      </c>
      <c r="AC29">
        <f t="shared" si="2"/>
        <v>52806000</v>
      </c>
      <c r="AG29">
        <v>5000</v>
      </c>
      <c r="AH29">
        <v>529500</v>
      </c>
      <c r="AI29">
        <v>26</v>
      </c>
    </row>
    <row r="30" spans="1:35" x14ac:dyDescent="0.3">
      <c r="I30">
        <v>1250</v>
      </c>
      <c r="L30">
        <v>2550</v>
      </c>
      <c r="M30">
        <v>2600</v>
      </c>
      <c r="N30">
        <v>2650</v>
      </c>
      <c r="O30">
        <v>27</v>
      </c>
      <c r="P30">
        <f t="shared" si="10"/>
        <v>35150</v>
      </c>
      <c r="Q30">
        <f t="shared" si="11"/>
        <v>36500</v>
      </c>
      <c r="R30">
        <f t="shared" si="12"/>
        <v>37850</v>
      </c>
      <c r="S30">
        <f t="shared" ref="S30" si="17">S28-S29</f>
        <v>35</v>
      </c>
      <c r="T30">
        <f t="shared" si="13"/>
        <v>7165000</v>
      </c>
      <c r="U30">
        <f t="shared" si="14"/>
        <v>7435000</v>
      </c>
      <c r="V30">
        <f t="shared" si="15"/>
        <v>14600000</v>
      </c>
      <c r="W30" s="29">
        <v>7.5</v>
      </c>
      <c r="X30">
        <v>32242500</v>
      </c>
      <c r="Y30">
        <v>33457500</v>
      </c>
      <c r="Z30">
        <f t="shared" si="1"/>
        <v>32242500</v>
      </c>
      <c r="AA30">
        <f t="shared" si="16"/>
        <v>33457500</v>
      </c>
      <c r="AC30">
        <f t="shared" si="2"/>
        <v>65700000</v>
      </c>
      <c r="AG30">
        <v>5200</v>
      </c>
      <c r="AH30">
        <v>570000</v>
      </c>
      <c r="AI30">
        <v>27</v>
      </c>
    </row>
    <row r="31" spans="1:35" x14ac:dyDescent="0.3">
      <c r="I31">
        <v>1300</v>
      </c>
      <c r="L31">
        <v>2650</v>
      </c>
      <c r="M31">
        <v>2700</v>
      </c>
      <c r="N31">
        <v>2750</v>
      </c>
      <c r="O31">
        <v>28</v>
      </c>
      <c r="P31">
        <f t="shared" si="10"/>
        <v>37850</v>
      </c>
      <c r="Q31">
        <f t="shared" si="11"/>
        <v>39250</v>
      </c>
      <c r="R31">
        <f t="shared" si="12"/>
        <v>40650</v>
      </c>
      <c r="T31">
        <f t="shared" si="13"/>
        <v>7710000</v>
      </c>
      <c r="U31">
        <f t="shared" si="14"/>
        <v>7990000</v>
      </c>
      <c r="V31">
        <f t="shared" si="15"/>
        <v>15700000</v>
      </c>
      <c r="W31" s="29">
        <v>8.5</v>
      </c>
      <c r="X31">
        <v>39321000</v>
      </c>
      <c r="Y31">
        <v>40749000</v>
      </c>
      <c r="Z31">
        <f t="shared" si="1"/>
        <v>39321000</v>
      </c>
      <c r="AA31">
        <f t="shared" si="16"/>
        <v>40749000</v>
      </c>
      <c r="AC31">
        <f t="shared" si="2"/>
        <v>80070000</v>
      </c>
      <c r="AG31">
        <v>5400</v>
      </c>
      <c r="AH31">
        <v>612000</v>
      </c>
      <c r="AI31">
        <v>28</v>
      </c>
    </row>
    <row r="32" spans="1:35" x14ac:dyDescent="0.3">
      <c r="I32">
        <v>1350</v>
      </c>
      <c r="L32">
        <v>2750</v>
      </c>
      <c r="M32">
        <v>2800</v>
      </c>
      <c r="N32">
        <v>2850</v>
      </c>
      <c r="O32">
        <v>29</v>
      </c>
      <c r="P32">
        <f t="shared" si="10"/>
        <v>40650</v>
      </c>
      <c r="Q32">
        <f t="shared" si="11"/>
        <v>42100</v>
      </c>
      <c r="R32">
        <f t="shared" si="12"/>
        <v>43550</v>
      </c>
      <c r="T32">
        <f t="shared" si="13"/>
        <v>8275000</v>
      </c>
      <c r="U32">
        <f t="shared" si="14"/>
        <v>8565000</v>
      </c>
      <c r="V32">
        <f t="shared" si="15"/>
        <v>16840000</v>
      </c>
      <c r="W32" s="29">
        <v>9.5</v>
      </c>
      <c r="X32">
        <v>47167500</v>
      </c>
      <c r="Y32">
        <v>48820500</v>
      </c>
      <c r="Z32">
        <f t="shared" si="1"/>
        <v>47167500</v>
      </c>
      <c r="AA32">
        <f t="shared" si="16"/>
        <v>48820500</v>
      </c>
      <c r="AC32">
        <f t="shared" si="2"/>
        <v>95988000</v>
      </c>
      <c r="AG32">
        <v>5600</v>
      </c>
      <c r="AH32">
        <v>655500</v>
      </c>
      <c r="AI32">
        <v>29</v>
      </c>
    </row>
    <row r="33" spans="9:35" x14ac:dyDescent="0.3">
      <c r="I33">
        <v>1400</v>
      </c>
      <c r="L33">
        <v>2850</v>
      </c>
      <c r="M33">
        <v>2900</v>
      </c>
      <c r="N33">
        <v>2950</v>
      </c>
      <c r="O33">
        <v>30</v>
      </c>
      <c r="P33">
        <f t="shared" si="10"/>
        <v>43550</v>
      </c>
      <c r="Q33">
        <f t="shared" si="11"/>
        <v>45050</v>
      </c>
      <c r="R33">
        <f t="shared" si="12"/>
        <v>46550</v>
      </c>
      <c r="T33">
        <f t="shared" si="13"/>
        <v>8860000</v>
      </c>
      <c r="U33">
        <f t="shared" si="14"/>
        <v>9160000</v>
      </c>
      <c r="V33">
        <f t="shared" si="15"/>
        <v>18020000</v>
      </c>
      <c r="W33" s="29">
        <v>10.5</v>
      </c>
      <c r="X33">
        <v>55818000</v>
      </c>
      <c r="Y33">
        <v>57708000</v>
      </c>
      <c r="Z33">
        <f t="shared" si="1"/>
        <v>55818000</v>
      </c>
      <c r="AA33">
        <f t="shared" si="16"/>
        <v>57708000</v>
      </c>
      <c r="AC33">
        <f t="shared" si="2"/>
        <v>113526000</v>
      </c>
      <c r="AG33">
        <v>5800</v>
      </c>
      <c r="AH33">
        <v>700500</v>
      </c>
      <c r="AI33">
        <v>30</v>
      </c>
    </row>
    <row r="34" spans="9:35" x14ac:dyDescent="0.3">
      <c r="I34">
        <v>1450</v>
      </c>
      <c r="L34">
        <v>2950</v>
      </c>
      <c r="M34">
        <v>3000</v>
      </c>
      <c r="N34">
        <v>3050</v>
      </c>
      <c r="O34">
        <v>31</v>
      </c>
      <c r="P34">
        <f t="shared" si="10"/>
        <v>46550</v>
      </c>
      <c r="Q34">
        <f t="shared" si="11"/>
        <v>48100</v>
      </c>
      <c r="R34">
        <f t="shared" si="12"/>
        <v>49650</v>
      </c>
      <c r="T34">
        <f t="shared" si="13"/>
        <v>9465000</v>
      </c>
      <c r="U34">
        <f t="shared" si="14"/>
        <v>9775000</v>
      </c>
      <c r="V34">
        <f t="shared" si="15"/>
        <v>19240000</v>
      </c>
      <c r="W34" s="29">
        <v>11.5</v>
      </c>
      <c r="X34">
        <v>65308500</v>
      </c>
      <c r="Y34">
        <v>67447500</v>
      </c>
      <c r="Z34">
        <f t="shared" si="1"/>
        <v>65308500</v>
      </c>
      <c r="AA34">
        <f t="shared" si="16"/>
        <v>67447500</v>
      </c>
      <c r="AC34">
        <f t="shared" si="2"/>
        <v>132756000</v>
      </c>
      <c r="AG34">
        <v>6000</v>
      </c>
      <c r="AH34">
        <v>747000</v>
      </c>
      <c r="AI34">
        <v>31</v>
      </c>
    </row>
    <row r="35" spans="9:35" x14ac:dyDescent="0.3">
      <c r="I35">
        <v>1500</v>
      </c>
      <c r="L35">
        <v>3050</v>
      </c>
      <c r="M35">
        <v>3100</v>
      </c>
      <c r="N35">
        <v>3150</v>
      </c>
      <c r="O35">
        <v>32</v>
      </c>
      <c r="P35">
        <f t="shared" si="10"/>
        <v>49650</v>
      </c>
      <c r="Q35">
        <f t="shared" si="11"/>
        <v>51250</v>
      </c>
      <c r="R35">
        <f t="shared" si="12"/>
        <v>52850</v>
      </c>
      <c r="T35">
        <f t="shared" si="13"/>
        <v>10090000</v>
      </c>
      <c r="U35">
        <f t="shared" si="14"/>
        <v>10410000</v>
      </c>
      <c r="V35">
        <f t="shared" si="15"/>
        <v>20500000</v>
      </c>
      <c r="W35" s="29">
        <v>12.5</v>
      </c>
      <c r="X35">
        <v>75675000</v>
      </c>
      <c r="Y35">
        <v>78075000</v>
      </c>
      <c r="Z35">
        <f t="shared" si="1"/>
        <v>75675000</v>
      </c>
      <c r="AA35">
        <f t="shared" si="16"/>
        <v>78075000</v>
      </c>
      <c r="AC35">
        <f t="shared" si="2"/>
        <v>153750000</v>
      </c>
      <c r="AG35">
        <v>6200</v>
      </c>
      <c r="AH35">
        <v>795000</v>
      </c>
      <c r="AI35">
        <v>32</v>
      </c>
    </row>
    <row r="36" spans="9:35" x14ac:dyDescent="0.3">
      <c r="I36">
        <v>1550</v>
      </c>
      <c r="L36">
        <v>3150</v>
      </c>
      <c r="M36">
        <v>3200</v>
      </c>
      <c r="N36">
        <v>3250</v>
      </c>
      <c r="O36">
        <v>33</v>
      </c>
      <c r="P36">
        <f t="shared" si="10"/>
        <v>52850</v>
      </c>
      <c r="Q36">
        <f t="shared" si="11"/>
        <v>54500</v>
      </c>
      <c r="R36">
        <f t="shared" si="12"/>
        <v>56150</v>
      </c>
      <c r="T36">
        <f t="shared" si="13"/>
        <v>10735000</v>
      </c>
      <c r="U36">
        <f t="shared" si="14"/>
        <v>11065000</v>
      </c>
      <c r="V36">
        <f t="shared" si="15"/>
        <v>21800000</v>
      </c>
      <c r="W36" s="29">
        <v>13.5</v>
      </c>
      <c r="X36">
        <v>86953500</v>
      </c>
      <c r="Y36">
        <v>89626500</v>
      </c>
      <c r="Z36">
        <f t="shared" si="1"/>
        <v>86953500</v>
      </c>
      <c r="AA36">
        <f t="shared" si="16"/>
        <v>89626500</v>
      </c>
      <c r="AC36">
        <f t="shared" si="2"/>
        <v>176580000</v>
      </c>
      <c r="AG36">
        <v>6400</v>
      </c>
      <c r="AH36">
        <v>844500</v>
      </c>
      <c r="AI36">
        <v>33</v>
      </c>
    </row>
    <row r="37" spans="9:35" x14ac:dyDescent="0.3">
      <c r="I37">
        <v>1600</v>
      </c>
      <c r="L37">
        <v>3250</v>
      </c>
      <c r="M37">
        <v>3300</v>
      </c>
      <c r="N37">
        <v>3350</v>
      </c>
      <c r="O37">
        <v>34</v>
      </c>
      <c r="P37">
        <f t="shared" si="10"/>
        <v>56150</v>
      </c>
      <c r="Q37">
        <f t="shared" si="11"/>
        <v>57850</v>
      </c>
      <c r="R37">
        <f t="shared" si="12"/>
        <v>59550</v>
      </c>
      <c r="T37">
        <f t="shared" si="13"/>
        <v>11400000</v>
      </c>
      <c r="U37">
        <f t="shared" si="14"/>
        <v>11740000</v>
      </c>
      <c r="V37">
        <f t="shared" si="15"/>
        <v>23140000</v>
      </c>
      <c r="W37" s="29">
        <v>14.5</v>
      </c>
      <c r="X37">
        <v>99180000</v>
      </c>
      <c r="Y37">
        <v>102138000</v>
      </c>
      <c r="Z37">
        <f t="shared" si="1"/>
        <v>99180000</v>
      </c>
      <c r="AA37">
        <f t="shared" si="16"/>
        <v>102138000</v>
      </c>
      <c r="AC37">
        <f t="shared" si="2"/>
        <v>201318000</v>
      </c>
      <c r="AG37">
        <v>6600</v>
      </c>
      <c r="AH37">
        <v>895500</v>
      </c>
      <c r="AI37">
        <v>34</v>
      </c>
    </row>
    <row r="38" spans="9:35" x14ac:dyDescent="0.3">
      <c r="I38">
        <v>1650</v>
      </c>
      <c r="L38">
        <v>3350</v>
      </c>
      <c r="M38">
        <v>3400</v>
      </c>
      <c r="N38">
        <v>3450</v>
      </c>
      <c r="O38">
        <v>35</v>
      </c>
      <c r="P38">
        <f t="shared" si="10"/>
        <v>59550</v>
      </c>
      <c r="Q38">
        <f t="shared" si="11"/>
        <v>61300</v>
      </c>
      <c r="R38">
        <f t="shared" si="12"/>
        <v>63050</v>
      </c>
      <c r="T38">
        <f t="shared" si="13"/>
        <v>12085000</v>
      </c>
      <c r="U38">
        <f t="shared" si="14"/>
        <v>12435000</v>
      </c>
      <c r="V38">
        <f t="shared" si="15"/>
        <v>24520000</v>
      </c>
      <c r="W38" s="29">
        <v>15.5</v>
      </c>
      <c r="X38">
        <v>112390500</v>
      </c>
      <c r="Y38">
        <v>115645500</v>
      </c>
      <c r="Z38">
        <f t="shared" si="1"/>
        <v>112390500</v>
      </c>
      <c r="AA38">
        <f t="shared" si="16"/>
        <v>115645500</v>
      </c>
      <c r="AC38">
        <f t="shared" si="2"/>
        <v>228036000</v>
      </c>
      <c r="AG38">
        <v>6800</v>
      </c>
      <c r="AH38">
        <v>948000</v>
      </c>
      <c r="AI38">
        <v>35</v>
      </c>
    </row>
    <row r="39" spans="9:35" x14ac:dyDescent="0.3">
      <c r="I39">
        <v>1700</v>
      </c>
      <c r="L39">
        <v>3450</v>
      </c>
      <c r="M39">
        <v>3500</v>
      </c>
      <c r="N39">
        <v>3550</v>
      </c>
      <c r="O39">
        <v>36</v>
      </c>
      <c r="P39">
        <f t="shared" si="10"/>
        <v>63050</v>
      </c>
      <c r="Q39">
        <f t="shared" si="11"/>
        <v>64850</v>
      </c>
      <c r="R39">
        <f t="shared" si="12"/>
        <v>66650</v>
      </c>
      <c r="T39">
        <f t="shared" si="13"/>
        <v>12790000</v>
      </c>
      <c r="U39">
        <f t="shared" si="14"/>
        <v>13150000</v>
      </c>
      <c r="V39">
        <f t="shared" si="15"/>
        <v>25940000</v>
      </c>
      <c r="W39" s="29">
        <v>16.5</v>
      </c>
      <c r="X39">
        <v>130185000</v>
      </c>
      <c r="Y39">
        <v>130185000</v>
      </c>
      <c r="Z39">
        <f>U39*W39*0.6</f>
        <v>130185000</v>
      </c>
      <c r="AA39">
        <f t="shared" ref="AA39:AA41" si="18">U39*W39*0.6</f>
        <v>130185000</v>
      </c>
      <c r="AB39">
        <f t="shared" ref="AB39:AB41" si="19">V39*W39*0.6</f>
        <v>256806000</v>
      </c>
      <c r="AF39">
        <v>7000</v>
      </c>
      <c r="AG39">
        <v>1002000</v>
      </c>
      <c r="AH39">
        <v>36</v>
      </c>
    </row>
    <row r="40" spans="9:35" x14ac:dyDescent="0.3">
      <c r="I40">
        <v>1750</v>
      </c>
      <c r="L40">
        <v>3550</v>
      </c>
      <c r="M40">
        <v>3600</v>
      </c>
      <c r="N40">
        <v>3650</v>
      </c>
      <c r="O40">
        <v>37</v>
      </c>
      <c r="P40">
        <f t="shared" si="10"/>
        <v>66650</v>
      </c>
      <c r="Q40">
        <f t="shared" si="11"/>
        <v>68500</v>
      </c>
      <c r="R40">
        <f t="shared" si="12"/>
        <v>70350</v>
      </c>
      <c r="T40">
        <f t="shared" si="13"/>
        <v>13515000</v>
      </c>
      <c r="U40">
        <f t="shared" si="14"/>
        <v>13885000</v>
      </c>
      <c r="V40">
        <f t="shared" si="15"/>
        <v>27400000</v>
      </c>
      <c r="W40" s="29">
        <v>17.5</v>
      </c>
      <c r="X40">
        <v>145792500</v>
      </c>
      <c r="Y40">
        <v>145792500</v>
      </c>
      <c r="Z40">
        <f>U40*W40*0.6</f>
        <v>145792500</v>
      </c>
      <c r="AA40">
        <f t="shared" si="18"/>
        <v>145792500</v>
      </c>
      <c r="AB40">
        <f t="shared" si="19"/>
        <v>287700000</v>
      </c>
      <c r="AF40">
        <v>7200</v>
      </c>
      <c r="AG40">
        <v>1057500</v>
      </c>
      <c r="AH40">
        <v>37</v>
      </c>
    </row>
    <row r="41" spans="9:35" x14ac:dyDescent="0.3">
      <c r="I41">
        <v>1800</v>
      </c>
      <c r="L41">
        <v>3650</v>
      </c>
      <c r="M41">
        <v>3700</v>
      </c>
      <c r="N41">
        <v>3750</v>
      </c>
      <c r="O41">
        <v>38</v>
      </c>
      <c r="P41">
        <f t="shared" si="10"/>
        <v>70350</v>
      </c>
      <c r="Q41">
        <f t="shared" si="11"/>
        <v>72250</v>
      </c>
      <c r="R41">
        <f t="shared" si="12"/>
        <v>74150</v>
      </c>
      <c r="T41">
        <f t="shared" si="13"/>
        <v>14260000</v>
      </c>
      <c r="U41">
        <f t="shared" si="14"/>
        <v>14640000</v>
      </c>
      <c r="V41">
        <f t="shared" si="15"/>
        <v>28900000</v>
      </c>
      <c r="W41" s="29">
        <v>18.5</v>
      </c>
      <c r="X41">
        <v>162504000</v>
      </c>
      <c r="Y41">
        <v>162504000</v>
      </c>
      <c r="Z41">
        <f>U41*W41*0.6</f>
        <v>162504000</v>
      </c>
      <c r="AA41">
        <f t="shared" si="18"/>
        <v>162504000</v>
      </c>
      <c r="AB41">
        <f t="shared" si="19"/>
        <v>320790000</v>
      </c>
      <c r="AF41">
        <v>7400</v>
      </c>
      <c r="AG41">
        <v>1114500</v>
      </c>
      <c r="AH41">
        <v>38</v>
      </c>
    </row>
    <row r="42" spans="9:35" x14ac:dyDescent="0.3">
      <c r="O42">
        <v>39</v>
      </c>
      <c r="W42" s="29">
        <v>0.42999999999999994</v>
      </c>
      <c r="AF42">
        <v>7600</v>
      </c>
      <c r="AG42">
        <v>1173000</v>
      </c>
      <c r="AH42">
        <v>39</v>
      </c>
    </row>
    <row r="43" spans="9:35" x14ac:dyDescent="0.3">
      <c r="O43">
        <v>40</v>
      </c>
      <c r="W43" s="30">
        <v>0.43000000000000005</v>
      </c>
      <c r="AF43">
        <v>7800</v>
      </c>
      <c r="AG43">
        <v>1233000</v>
      </c>
      <c r="AH43">
        <v>40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E9FEB-E006-4BAC-A2A3-AC98115D30F4}">
  <dimension ref="B3:L42"/>
  <sheetViews>
    <sheetView workbookViewId="0">
      <selection activeCell="K42" sqref="K3:K42"/>
    </sheetView>
  </sheetViews>
  <sheetFormatPr defaultRowHeight="16.5" x14ac:dyDescent="0.3"/>
  <sheetData>
    <row r="3" spans="2:12" x14ac:dyDescent="0.3">
      <c r="B3">
        <v>5400</v>
      </c>
      <c r="F3">
        <v>7837.5</v>
      </c>
      <c r="I3" s="1">
        <v>6412.5</v>
      </c>
      <c r="K3" s="1">
        <v>6412.5</v>
      </c>
      <c r="L3">
        <v>7837.5</v>
      </c>
    </row>
    <row r="4" spans="2:12" x14ac:dyDescent="0.3">
      <c r="B4">
        <v>6600</v>
      </c>
      <c r="F4">
        <v>8550</v>
      </c>
      <c r="I4" s="1">
        <v>7837.5</v>
      </c>
      <c r="K4" s="1">
        <v>7837.5</v>
      </c>
    </row>
    <row r="5" spans="2:12" x14ac:dyDescent="0.3">
      <c r="B5">
        <v>19200</v>
      </c>
      <c r="F5">
        <v>22800</v>
      </c>
      <c r="I5" s="1">
        <v>22800</v>
      </c>
      <c r="K5" s="1">
        <v>22800</v>
      </c>
      <c r="L5">
        <v>34200</v>
      </c>
    </row>
    <row r="6" spans="2:12" x14ac:dyDescent="0.3">
      <c r="B6">
        <v>28800</v>
      </c>
      <c r="F6">
        <v>34200</v>
      </c>
      <c r="I6" s="1">
        <v>34200</v>
      </c>
      <c r="K6" s="1">
        <v>34200</v>
      </c>
    </row>
    <row r="7" spans="2:12" x14ac:dyDescent="0.3">
      <c r="B7">
        <v>35699.999999999993</v>
      </c>
      <c r="F7">
        <v>45900</v>
      </c>
      <c r="I7" s="1">
        <v>45900</v>
      </c>
      <c r="K7" s="1">
        <v>45900</v>
      </c>
      <c r="L7">
        <v>62100</v>
      </c>
    </row>
    <row r="8" spans="2:12" x14ac:dyDescent="0.3">
      <c r="B8">
        <v>48300</v>
      </c>
      <c r="F8">
        <v>62100</v>
      </c>
      <c r="I8" s="1">
        <v>62100</v>
      </c>
      <c r="K8" s="1">
        <v>62100</v>
      </c>
    </row>
    <row r="9" spans="2:12" x14ac:dyDescent="0.3">
      <c r="B9">
        <v>63000</v>
      </c>
      <c r="F9">
        <v>81000</v>
      </c>
      <c r="I9" s="1">
        <v>81000</v>
      </c>
      <c r="K9" s="1">
        <v>81000</v>
      </c>
      <c r="L9">
        <v>102600</v>
      </c>
    </row>
    <row r="10" spans="2:12" x14ac:dyDescent="0.3">
      <c r="B10">
        <v>79800</v>
      </c>
      <c r="F10">
        <v>102600</v>
      </c>
      <c r="I10" s="1">
        <v>102600</v>
      </c>
      <c r="K10" s="1">
        <v>102600</v>
      </c>
    </row>
    <row r="11" spans="2:12" x14ac:dyDescent="0.3">
      <c r="B11">
        <v>84600</v>
      </c>
      <c r="F11">
        <v>119850</v>
      </c>
      <c r="I11" s="1">
        <v>119850</v>
      </c>
      <c r="K11" s="1">
        <v>119850</v>
      </c>
      <c r="L11">
        <v>145350</v>
      </c>
    </row>
    <row r="12" spans="2:12" x14ac:dyDescent="0.3">
      <c r="B12">
        <v>102600</v>
      </c>
      <c r="F12">
        <v>145350</v>
      </c>
      <c r="I12" s="1">
        <v>145350</v>
      </c>
      <c r="K12" s="1">
        <v>145350</v>
      </c>
    </row>
    <row r="13" spans="2:12" x14ac:dyDescent="0.3">
      <c r="B13">
        <v>122400</v>
      </c>
      <c r="F13">
        <v>173400</v>
      </c>
      <c r="I13" s="1">
        <v>173400</v>
      </c>
      <c r="K13" s="1">
        <v>163200</v>
      </c>
      <c r="L13">
        <v>192000</v>
      </c>
    </row>
    <row r="14" spans="2:12" x14ac:dyDescent="0.3">
      <c r="B14">
        <v>144000</v>
      </c>
      <c r="F14">
        <v>204000</v>
      </c>
      <c r="I14" s="1">
        <v>204000</v>
      </c>
      <c r="K14" s="1">
        <v>192000</v>
      </c>
    </row>
    <row r="15" spans="2:12" x14ac:dyDescent="0.3">
      <c r="B15">
        <v>167400</v>
      </c>
      <c r="F15">
        <v>230175</v>
      </c>
      <c r="I15" s="1">
        <v>230175</v>
      </c>
      <c r="K15" s="1">
        <v>223200</v>
      </c>
      <c r="L15">
        <v>256800</v>
      </c>
    </row>
    <row r="16" spans="2:12" x14ac:dyDescent="0.3">
      <c r="B16">
        <v>192600</v>
      </c>
      <c r="F16">
        <v>264825</v>
      </c>
      <c r="I16" s="1">
        <v>264825</v>
      </c>
      <c r="K16" s="1">
        <v>256800</v>
      </c>
    </row>
    <row r="17" spans="2:12" x14ac:dyDescent="0.3">
      <c r="B17">
        <v>219600</v>
      </c>
      <c r="F17">
        <v>294630</v>
      </c>
      <c r="I17" s="1">
        <v>294630</v>
      </c>
      <c r="K17" s="1">
        <v>274500</v>
      </c>
      <c r="L17">
        <v>310500</v>
      </c>
    </row>
    <row r="18" spans="2:12" x14ac:dyDescent="0.3">
      <c r="B18">
        <v>248400</v>
      </c>
      <c r="F18">
        <v>333270</v>
      </c>
      <c r="I18" s="1">
        <v>333270</v>
      </c>
      <c r="K18" s="1">
        <v>310500</v>
      </c>
    </row>
    <row r="19" spans="2:12" x14ac:dyDescent="0.3">
      <c r="B19">
        <v>279000</v>
      </c>
      <c r="F19">
        <v>365025</v>
      </c>
      <c r="I19" s="1">
        <v>365025</v>
      </c>
      <c r="K19" s="1">
        <v>325500</v>
      </c>
      <c r="L19">
        <v>363300</v>
      </c>
    </row>
    <row r="20" spans="2:12" x14ac:dyDescent="0.3">
      <c r="B20">
        <v>288000</v>
      </c>
      <c r="F20">
        <v>407415</v>
      </c>
      <c r="I20" s="1">
        <v>407415</v>
      </c>
      <c r="K20" s="1">
        <v>363300</v>
      </c>
    </row>
    <row r="21" spans="2:12" x14ac:dyDescent="0.3">
      <c r="B21">
        <v>311400</v>
      </c>
      <c r="F21">
        <v>440640</v>
      </c>
      <c r="I21" s="1">
        <v>440640</v>
      </c>
      <c r="K21" s="1">
        <v>403200</v>
      </c>
      <c r="L21">
        <v>445200</v>
      </c>
    </row>
    <row r="22" spans="2:12" x14ac:dyDescent="0.3">
      <c r="B22">
        <v>318000</v>
      </c>
      <c r="F22">
        <v>486540</v>
      </c>
      <c r="I22" s="1">
        <v>486540</v>
      </c>
      <c r="K22" s="1">
        <v>445200</v>
      </c>
    </row>
    <row r="23" spans="2:12" x14ac:dyDescent="0.3">
      <c r="B23">
        <v>349500</v>
      </c>
      <c r="F23">
        <v>520755</v>
      </c>
      <c r="I23" s="1">
        <v>520755</v>
      </c>
      <c r="K23" s="1">
        <v>454350</v>
      </c>
      <c r="L23">
        <v>497250</v>
      </c>
    </row>
    <row r="24" spans="2:12" x14ac:dyDescent="0.3">
      <c r="B24">
        <v>382500</v>
      </c>
      <c r="F24">
        <v>569925</v>
      </c>
      <c r="I24" s="1">
        <v>569925</v>
      </c>
      <c r="K24" s="1">
        <v>497250</v>
      </c>
    </row>
    <row r="25" spans="2:12" x14ac:dyDescent="0.3">
      <c r="B25">
        <v>417000</v>
      </c>
      <c r="F25">
        <v>604650</v>
      </c>
      <c r="I25" s="1">
        <v>604650</v>
      </c>
      <c r="K25" s="1">
        <v>542100</v>
      </c>
      <c r="L25">
        <v>588900</v>
      </c>
    </row>
    <row r="26" spans="2:12" x14ac:dyDescent="0.3">
      <c r="B26">
        <v>453000</v>
      </c>
      <c r="F26">
        <v>656850</v>
      </c>
      <c r="I26" s="1">
        <v>656850</v>
      </c>
      <c r="K26" s="1">
        <v>588600</v>
      </c>
      <c r="L26">
        <v>635400</v>
      </c>
    </row>
    <row r="27" spans="2:12" x14ac:dyDescent="0.3">
      <c r="B27">
        <v>490500</v>
      </c>
      <c r="F27">
        <v>691605</v>
      </c>
      <c r="I27" s="1">
        <v>691605</v>
      </c>
      <c r="K27" s="1">
        <v>588900</v>
      </c>
    </row>
    <row r="28" spans="2:12" x14ac:dyDescent="0.3">
      <c r="B28">
        <v>529500</v>
      </c>
      <c r="F28">
        <v>746595</v>
      </c>
      <c r="I28" s="1">
        <v>746595</v>
      </c>
      <c r="K28" s="1">
        <v>635400</v>
      </c>
    </row>
    <row r="29" spans="2:12" x14ac:dyDescent="0.3">
      <c r="B29">
        <v>570000</v>
      </c>
      <c r="F29">
        <v>780900</v>
      </c>
      <c r="I29" s="1">
        <v>780900</v>
      </c>
      <c r="K29" s="1">
        <v>684000</v>
      </c>
      <c r="L29">
        <v>734400</v>
      </c>
    </row>
    <row r="30" spans="2:12" x14ac:dyDescent="0.3">
      <c r="B30">
        <v>612000</v>
      </c>
      <c r="F30">
        <v>838440</v>
      </c>
      <c r="I30" s="1">
        <v>838440</v>
      </c>
      <c r="K30" s="1">
        <v>734400</v>
      </c>
    </row>
    <row r="31" spans="2:12" x14ac:dyDescent="0.3">
      <c r="B31">
        <v>655500</v>
      </c>
      <c r="F31">
        <v>871815</v>
      </c>
      <c r="I31" s="1">
        <v>871815</v>
      </c>
      <c r="K31" s="1">
        <v>786600</v>
      </c>
      <c r="L31">
        <v>840600</v>
      </c>
    </row>
    <row r="32" spans="2:12" x14ac:dyDescent="0.3">
      <c r="B32">
        <v>700500</v>
      </c>
      <c r="F32">
        <v>931665</v>
      </c>
      <c r="I32" s="1">
        <v>931665</v>
      </c>
      <c r="K32" s="1">
        <v>840600</v>
      </c>
    </row>
    <row r="33" spans="2:12" x14ac:dyDescent="0.3">
      <c r="B33">
        <v>747000</v>
      </c>
      <c r="F33">
        <v>963630</v>
      </c>
      <c r="I33" s="1">
        <v>963630</v>
      </c>
      <c r="K33" s="1">
        <v>896400</v>
      </c>
      <c r="L33">
        <v>954000</v>
      </c>
    </row>
    <row r="34" spans="2:12" x14ac:dyDescent="0.3">
      <c r="B34">
        <v>795000</v>
      </c>
      <c r="F34">
        <v>1025550</v>
      </c>
      <c r="I34" s="1">
        <v>1025550</v>
      </c>
      <c r="K34" s="1">
        <v>948000</v>
      </c>
      <c r="L34">
        <v>1002000</v>
      </c>
    </row>
    <row r="35" spans="2:12" x14ac:dyDescent="0.3">
      <c r="B35">
        <v>844500</v>
      </c>
      <c r="F35">
        <v>1055625</v>
      </c>
      <c r="I35" s="1">
        <v>1055625</v>
      </c>
      <c r="K35" s="1">
        <v>954000</v>
      </c>
    </row>
    <row r="36" spans="2:12" x14ac:dyDescent="0.3">
      <c r="B36">
        <v>895500</v>
      </c>
      <c r="F36">
        <v>1119375</v>
      </c>
      <c r="I36" s="1">
        <v>1119375</v>
      </c>
      <c r="K36" s="1">
        <v>1002000</v>
      </c>
    </row>
    <row r="37" spans="2:12" x14ac:dyDescent="0.3">
      <c r="B37">
        <v>948000</v>
      </c>
      <c r="F37">
        <v>1147080</v>
      </c>
      <c r="I37" s="1">
        <v>1147080</v>
      </c>
      <c r="K37" s="1">
        <v>1013400</v>
      </c>
      <c r="L37">
        <v>1074600</v>
      </c>
    </row>
    <row r="38" spans="2:12" x14ac:dyDescent="0.3">
      <c r="B38">
        <v>1002000</v>
      </c>
      <c r="F38">
        <v>1212420</v>
      </c>
      <c r="I38" s="1">
        <v>1212420</v>
      </c>
      <c r="K38" s="1">
        <v>1057500</v>
      </c>
      <c r="L38">
        <v>1114500</v>
      </c>
    </row>
    <row r="39" spans="2:12" x14ac:dyDescent="0.3">
      <c r="B39">
        <v>1057500</v>
      </c>
      <c r="F39">
        <v>1237274.9999999998</v>
      </c>
      <c r="I39" s="1">
        <v>1237274.9999999998</v>
      </c>
      <c r="K39" s="1">
        <v>1074600</v>
      </c>
    </row>
    <row r="40" spans="2:12" x14ac:dyDescent="0.3">
      <c r="B40">
        <v>1114500</v>
      </c>
      <c r="F40">
        <v>1303965</v>
      </c>
      <c r="I40" s="1">
        <v>1303965</v>
      </c>
      <c r="K40" s="1">
        <v>1114500</v>
      </c>
    </row>
    <row r="41" spans="2:12" x14ac:dyDescent="0.3">
      <c r="B41">
        <v>1173000</v>
      </c>
      <c r="F41">
        <v>1325490</v>
      </c>
      <c r="I41" s="1">
        <v>1325490</v>
      </c>
      <c r="K41" s="1">
        <v>1173000</v>
      </c>
      <c r="L41">
        <v>1233000</v>
      </c>
    </row>
    <row r="42" spans="2:12" x14ac:dyDescent="0.3">
      <c r="B42">
        <v>1233000</v>
      </c>
      <c r="F42">
        <v>1393290</v>
      </c>
      <c r="I42" s="1">
        <v>1393290</v>
      </c>
      <c r="K42" s="1">
        <v>1233000</v>
      </c>
    </row>
  </sheetData>
  <sortState xmlns:xlrd2="http://schemas.microsoft.com/office/spreadsheetml/2017/richdata2" ref="K3:L42">
    <sortCondition ref="K3:K42"/>
  </sortState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454FF-C9F1-41C0-86BA-697477BDDF4E}">
  <dimension ref="A1:AK127"/>
  <sheetViews>
    <sheetView topLeftCell="A93" zoomScale="85" zoomScaleNormal="85" workbookViewId="0">
      <selection activeCell="G108" sqref="G108:O127"/>
    </sheetView>
  </sheetViews>
  <sheetFormatPr defaultRowHeight="16.5" x14ac:dyDescent="0.3"/>
  <cols>
    <col min="3" max="3" width="8" customWidth="1"/>
    <col min="4" max="4" width="13.375" bestFit="1" customWidth="1"/>
    <col min="5" max="5" width="6.125" customWidth="1"/>
    <col min="7" max="7" width="8.25" customWidth="1"/>
    <col min="8" max="8" width="13.125" bestFit="1" customWidth="1"/>
    <col min="9" max="9" width="11" customWidth="1"/>
    <col min="10" max="10" width="18.875" customWidth="1"/>
    <col min="11" max="11" width="12.125" bestFit="1" customWidth="1"/>
    <col min="12" max="13" width="13.375" bestFit="1" customWidth="1"/>
    <col min="16" max="17" width="13.125" bestFit="1" customWidth="1"/>
    <col min="18" max="19" width="13.375" bestFit="1" customWidth="1"/>
  </cols>
  <sheetData>
    <row r="1" spans="1:21" ht="17.25" thickBot="1" x14ac:dyDescent="0.35">
      <c r="A1" s="6" t="s">
        <v>9</v>
      </c>
      <c r="B1" s="7" t="s">
        <v>10</v>
      </c>
      <c r="C1" s="7" t="s">
        <v>11</v>
      </c>
      <c r="D1" s="7" t="s">
        <v>12</v>
      </c>
      <c r="E1" s="7" t="s">
        <v>13</v>
      </c>
      <c r="F1" s="7" t="s">
        <v>14</v>
      </c>
      <c r="G1" s="7" t="s">
        <v>15</v>
      </c>
      <c r="H1" s="7" t="s">
        <v>16</v>
      </c>
      <c r="I1" s="7"/>
      <c r="J1" s="8" t="s">
        <v>17</v>
      </c>
      <c r="N1" s="41" t="s">
        <v>18</v>
      </c>
      <c r="O1" s="41"/>
      <c r="P1" s="41"/>
      <c r="Q1" s="41"/>
      <c r="R1" s="41"/>
      <c r="S1" s="41"/>
      <c r="T1" s="41"/>
    </row>
    <row r="2" spans="1:21" x14ac:dyDescent="0.3">
      <c r="A2" s="9">
        <v>1</v>
      </c>
      <c r="B2" s="10" t="s">
        <v>19</v>
      </c>
      <c r="C2" s="10">
        <v>1000000000</v>
      </c>
      <c r="D2" s="10">
        <v>1</v>
      </c>
      <c r="E2" s="10">
        <v>113608</v>
      </c>
      <c r="F2" s="10">
        <v>0</v>
      </c>
      <c r="G2" s="10" t="s">
        <v>20</v>
      </c>
      <c r="H2" s="10"/>
      <c r="I2" s="10"/>
      <c r="J2" s="11"/>
      <c r="O2" s="6" t="s">
        <v>21</v>
      </c>
      <c r="P2" s="12">
        <v>0.2</v>
      </c>
      <c r="Q2" s="12">
        <v>0.4</v>
      </c>
      <c r="R2" s="12">
        <v>0.6</v>
      </c>
      <c r="S2" s="12">
        <v>0.8</v>
      </c>
      <c r="T2" s="13">
        <v>1</v>
      </c>
    </row>
    <row r="3" spans="1:21" x14ac:dyDescent="0.3">
      <c r="A3" s="9">
        <v>2</v>
      </c>
      <c r="B3" s="10" t="s">
        <v>22</v>
      </c>
      <c r="C3" s="10">
        <v>1000000000</v>
      </c>
      <c r="D3" s="10">
        <v>1</v>
      </c>
      <c r="E3" s="10">
        <v>113608</v>
      </c>
      <c r="F3" s="10">
        <v>0</v>
      </c>
      <c r="G3" s="10" t="s">
        <v>20</v>
      </c>
      <c r="H3" s="10"/>
      <c r="I3" s="10"/>
      <c r="J3" s="11"/>
      <c r="N3" t="s">
        <v>23</v>
      </c>
      <c r="O3" s="9">
        <v>1000</v>
      </c>
      <c r="P3" s="10">
        <f>$O3*P$2</f>
        <v>200</v>
      </c>
      <c r="Q3" s="10">
        <f>$O3*Q$2</f>
        <v>400</v>
      </c>
      <c r="R3" s="10">
        <f>$O3*R$2</f>
        <v>600</v>
      </c>
      <c r="S3" s="10">
        <f>$O3*S$2</f>
        <v>800</v>
      </c>
      <c r="T3" s="11">
        <f>$O3*T$2</f>
        <v>1000</v>
      </c>
    </row>
    <row r="4" spans="1:21" x14ac:dyDescent="0.3">
      <c r="A4" s="9">
        <v>3</v>
      </c>
      <c r="B4" s="10" t="s">
        <v>24</v>
      </c>
      <c r="C4" s="10">
        <v>1500000000</v>
      </c>
      <c r="D4" s="10">
        <v>1</v>
      </c>
      <c r="E4" s="10">
        <v>250501608</v>
      </c>
      <c r="F4" s="10">
        <v>1000</v>
      </c>
      <c r="G4" s="10" t="s">
        <v>25</v>
      </c>
      <c r="H4" s="10">
        <f>1000/2*(C4+999*E4)</f>
        <v>125875553196000</v>
      </c>
      <c r="I4" s="10" t="s">
        <v>26</v>
      </c>
      <c r="J4" s="11" t="s">
        <v>27</v>
      </c>
      <c r="O4" s="9" t="s">
        <v>0</v>
      </c>
      <c r="P4" s="10">
        <f>$D$72+P3*$F$72</f>
        <v>51600321600</v>
      </c>
      <c r="Q4" s="10">
        <f>$D$72+Q3*$F$72</f>
        <v>101700643200</v>
      </c>
      <c r="R4" s="10">
        <f>$D$72+R3*$F$72</f>
        <v>151800964800</v>
      </c>
      <c r="S4" s="10">
        <f>$D$72+S3*$F$72</f>
        <v>201901286400</v>
      </c>
      <c r="T4" s="11">
        <f>$D$72+T3*$F$72</f>
        <v>252001608000</v>
      </c>
      <c r="U4" t="s">
        <v>0</v>
      </c>
    </row>
    <row r="5" spans="1:21" ht="17.25" thickBot="1" x14ac:dyDescent="0.35">
      <c r="A5" s="9">
        <v>4</v>
      </c>
      <c r="B5" s="10" t="s">
        <v>28</v>
      </c>
      <c r="C5" s="10">
        <v>1500000000</v>
      </c>
      <c r="D5" s="10">
        <v>1</v>
      </c>
      <c r="E5" s="10">
        <v>21501608</v>
      </c>
      <c r="F5" s="10">
        <v>5000</v>
      </c>
      <c r="G5" s="10" t="s">
        <v>29</v>
      </c>
      <c r="H5" s="10">
        <f>5000/2*(C5+5000*E5)</f>
        <v>272520100000000</v>
      </c>
      <c r="I5" s="10" t="s">
        <v>30</v>
      </c>
      <c r="J5" s="11" t="s">
        <v>31</v>
      </c>
      <c r="O5" s="9" t="s">
        <v>32</v>
      </c>
      <c r="P5" s="10" t="s">
        <v>33</v>
      </c>
      <c r="Q5" s="10" t="s">
        <v>34</v>
      </c>
      <c r="R5" s="10" t="s">
        <v>35</v>
      </c>
      <c r="S5" s="10" t="s">
        <v>36</v>
      </c>
      <c r="T5" s="11" t="s">
        <v>37</v>
      </c>
    </row>
    <row r="6" spans="1:21" x14ac:dyDescent="0.3">
      <c r="A6" s="9">
        <v>5</v>
      </c>
      <c r="B6" s="10" t="s">
        <v>38</v>
      </c>
      <c r="C6">
        <v>2517511063</v>
      </c>
      <c r="D6" s="10">
        <v>100</v>
      </c>
      <c r="E6">
        <v>800000000</v>
      </c>
      <c r="F6" s="10">
        <v>1000</v>
      </c>
      <c r="G6" s="10" t="s">
        <v>39</v>
      </c>
      <c r="H6" s="10">
        <f>1000/2*(C6+999*E6)</f>
        <v>400858755531500</v>
      </c>
      <c r="I6" s="10" t="s">
        <v>40</v>
      </c>
      <c r="J6" s="11" t="s">
        <v>41</v>
      </c>
      <c r="N6" t="s">
        <v>42</v>
      </c>
      <c r="O6" s="6" t="s">
        <v>21</v>
      </c>
      <c r="P6" s="12">
        <v>0.2</v>
      </c>
      <c r="Q6" s="12">
        <v>0.4</v>
      </c>
      <c r="R6" s="12">
        <v>0.6</v>
      </c>
      <c r="S6" s="12">
        <v>0.8</v>
      </c>
      <c r="T6" s="13">
        <v>1</v>
      </c>
    </row>
    <row r="7" spans="1:21" x14ac:dyDescent="0.3">
      <c r="A7" s="9">
        <v>6</v>
      </c>
      <c r="B7" s="10" t="s">
        <v>43</v>
      </c>
      <c r="C7">
        <v>210066986</v>
      </c>
      <c r="D7" s="10">
        <v>100</v>
      </c>
      <c r="E7">
        <v>420000000</v>
      </c>
      <c r="F7" s="10">
        <v>5000</v>
      </c>
      <c r="G7" s="10" t="s">
        <v>44</v>
      </c>
      <c r="H7" s="10">
        <f>5000/2*(C7+5000*E7)</f>
        <v>5250525167465000</v>
      </c>
      <c r="I7" s="10" t="s">
        <v>45</v>
      </c>
      <c r="J7" s="11" t="s">
        <v>46</v>
      </c>
      <c r="O7" s="9">
        <v>5000</v>
      </c>
      <c r="P7" s="10">
        <f>$O7*P$2</f>
        <v>1000</v>
      </c>
      <c r="Q7" s="10">
        <f>$O7*Q$2</f>
        <v>2000</v>
      </c>
      <c r="R7" s="10">
        <f>$O7*R$2</f>
        <v>3000</v>
      </c>
      <c r="S7" s="10">
        <f>$O7*S$2</f>
        <v>4000</v>
      </c>
      <c r="T7" s="11">
        <f>$O7*T$2</f>
        <v>5000</v>
      </c>
      <c r="U7" t="s">
        <v>0</v>
      </c>
    </row>
    <row r="8" spans="1:21" x14ac:dyDescent="0.3">
      <c r="A8" s="9">
        <v>6</v>
      </c>
      <c r="B8" t="s">
        <v>140</v>
      </c>
      <c r="C8">
        <v>80171751</v>
      </c>
      <c r="D8" s="10">
        <v>100</v>
      </c>
      <c r="E8">
        <v>410708.38538538537</v>
      </c>
      <c r="F8" s="10">
        <v>1000</v>
      </c>
      <c r="G8" s="10" t="s">
        <v>44</v>
      </c>
      <c r="H8" s="10">
        <f>1000/2*(C8+1000*E8)</f>
        <v>245440068192.69269</v>
      </c>
      <c r="I8" s="10" t="s">
        <v>45</v>
      </c>
      <c r="J8" s="11" t="s">
        <v>46</v>
      </c>
      <c r="O8" s="9" t="s">
        <v>0</v>
      </c>
      <c r="P8" s="10">
        <f>$D$72+P7*$F$73</f>
        <v>23001608000</v>
      </c>
      <c r="Q8" s="10">
        <f>$D$72+Q7*$F$73</f>
        <v>44503216000</v>
      </c>
      <c r="R8" s="10">
        <f>$D$72+R7*$F$73</f>
        <v>66004824000</v>
      </c>
      <c r="S8" s="10">
        <f>$D$72+S7*$F$73</f>
        <v>87506432000</v>
      </c>
      <c r="T8" s="11">
        <f>$D$72+T7*$F$73</f>
        <v>109008040000</v>
      </c>
    </row>
    <row r="9" spans="1:21" ht="17.25" thickBot="1" x14ac:dyDescent="0.35">
      <c r="A9" s="9">
        <v>7</v>
      </c>
      <c r="B9" t="s">
        <v>141</v>
      </c>
      <c r="C9">
        <v>20997900</v>
      </c>
      <c r="D9" s="10">
        <v>100</v>
      </c>
      <c r="E9" s="1">
        <v>34433.373834766957</v>
      </c>
      <c r="F9" s="10">
        <v>5000</v>
      </c>
      <c r="G9" s="10" t="s">
        <v>128</v>
      </c>
      <c r="H9" s="10">
        <f t="shared" ref="H9:H12" si="0">5000/2*(C9+5000*E9)</f>
        <v>482911922934.58691</v>
      </c>
      <c r="I9" s="10" t="s">
        <v>45</v>
      </c>
      <c r="J9" s="11" t="s">
        <v>46</v>
      </c>
      <c r="O9" s="9" t="s">
        <v>32</v>
      </c>
      <c r="P9" s="15" t="s">
        <v>47</v>
      </c>
      <c r="Q9" s="15" t="s">
        <v>48</v>
      </c>
      <c r="R9" s="15" t="s">
        <v>49</v>
      </c>
      <c r="S9" s="15" t="s">
        <v>50</v>
      </c>
      <c r="T9" s="16" t="s">
        <v>51</v>
      </c>
    </row>
    <row r="10" spans="1:21" x14ac:dyDescent="0.3">
      <c r="A10" s="9">
        <v>8</v>
      </c>
      <c r="B10" s="10" t="s">
        <v>43</v>
      </c>
      <c r="C10">
        <v>108986538392</v>
      </c>
      <c r="D10" s="10">
        <v>100</v>
      </c>
      <c r="E10">
        <v>420000000</v>
      </c>
      <c r="F10" s="10">
        <v>5000</v>
      </c>
      <c r="G10" s="10" t="s">
        <v>129</v>
      </c>
      <c r="H10" s="10">
        <f t="shared" si="0"/>
        <v>5522466345980000</v>
      </c>
      <c r="I10" s="10" t="s">
        <v>45</v>
      </c>
      <c r="J10" s="11" t="s">
        <v>46</v>
      </c>
    </row>
    <row r="11" spans="1:21" ht="17.25" thickBot="1" x14ac:dyDescent="0.35">
      <c r="A11" s="9">
        <v>9</v>
      </c>
      <c r="B11" s="10" t="s">
        <v>43</v>
      </c>
      <c r="C11">
        <v>108986538392</v>
      </c>
      <c r="D11" s="10">
        <v>100</v>
      </c>
      <c r="E11">
        <v>420000000</v>
      </c>
      <c r="F11" s="10">
        <v>5000</v>
      </c>
      <c r="G11" s="10" t="s">
        <v>130</v>
      </c>
      <c r="H11" s="10">
        <f t="shared" si="0"/>
        <v>5522466345980000</v>
      </c>
      <c r="I11" s="10" t="s">
        <v>45</v>
      </c>
      <c r="J11" s="11" t="s">
        <v>46</v>
      </c>
      <c r="N11" s="41" t="s">
        <v>52</v>
      </c>
      <c r="O11" s="41"/>
      <c r="P11" s="41"/>
      <c r="Q11" s="41"/>
      <c r="R11" s="41"/>
      <c r="S11" s="41"/>
      <c r="T11" s="41"/>
    </row>
    <row r="12" spans="1:21" x14ac:dyDescent="0.3">
      <c r="A12" s="9">
        <v>10</v>
      </c>
      <c r="B12" s="10" t="s">
        <v>43</v>
      </c>
      <c r="C12">
        <v>108986538392</v>
      </c>
      <c r="D12" s="10">
        <v>100</v>
      </c>
      <c r="E12">
        <v>420000000</v>
      </c>
      <c r="F12" s="10">
        <v>5000</v>
      </c>
      <c r="G12" s="10" t="s">
        <v>131</v>
      </c>
      <c r="H12" s="10">
        <f t="shared" si="0"/>
        <v>5522466345980000</v>
      </c>
      <c r="I12" s="10" t="s">
        <v>45</v>
      </c>
      <c r="J12" s="11" t="s">
        <v>46</v>
      </c>
      <c r="N12" t="s">
        <v>23</v>
      </c>
      <c r="O12" s="6" t="s">
        <v>21</v>
      </c>
      <c r="P12" s="12">
        <v>0.2</v>
      </c>
      <c r="Q12" s="12">
        <v>0.4</v>
      </c>
      <c r="R12" s="12">
        <v>0.6</v>
      </c>
      <c r="S12" s="12">
        <v>0.8</v>
      </c>
      <c r="T12" s="13">
        <v>1</v>
      </c>
    </row>
    <row r="13" spans="1:21" ht="17.25" thickBot="1" x14ac:dyDescent="0.35">
      <c r="A13" s="14"/>
      <c r="B13" s="15"/>
      <c r="C13" s="15"/>
      <c r="D13" s="15"/>
      <c r="E13" s="15"/>
      <c r="F13" s="15"/>
      <c r="G13" s="15"/>
      <c r="H13" s="15"/>
      <c r="I13" s="15"/>
      <c r="J13" s="16"/>
      <c r="O13" s="9">
        <v>1000</v>
      </c>
      <c r="P13" s="10">
        <f>$O13*P$2</f>
        <v>200</v>
      </c>
      <c r="Q13" s="10">
        <f>$O13*Q$2</f>
        <v>400</v>
      </c>
      <c r="R13" s="10">
        <f>$O13*R$2</f>
        <v>600</v>
      </c>
      <c r="S13" s="10">
        <f>$O13*S$2</f>
        <v>800</v>
      </c>
      <c r="T13" s="11">
        <f>$O13*T$2</f>
        <v>1000</v>
      </c>
    </row>
    <row r="14" spans="1:21" x14ac:dyDescent="0.3">
      <c r="O14" s="9"/>
      <c r="P14" s="10">
        <f>$D$74+P13*$F$74</f>
        <v>411751106392</v>
      </c>
      <c r="Q14" s="10">
        <f>$D$74+Q13*$F$74</f>
        <v>571751106392</v>
      </c>
      <c r="R14" s="10">
        <f>$D$74+R13*$F$74</f>
        <v>731751106392</v>
      </c>
      <c r="S14" s="10">
        <f>$D$74+S13*$F$74</f>
        <v>891751106392</v>
      </c>
      <c r="T14" s="11">
        <f>$D$74+T13*$F$74</f>
        <v>1051751106392</v>
      </c>
    </row>
    <row r="15" spans="1:21" ht="17.25" thickBot="1" x14ac:dyDescent="0.35">
      <c r="J15">
        <v>2100669865383</v>
      </c>
      <c r="L15">
        <v>2758376473750</v>
      </c>
      <c r="O15" s="14" t="s">
        <v>32</v>
      </c>
      <c r="P15" s="15" t="s">
        <v>53</v>
      </c>
      <c r="Q15" s="15" t="s">
        <v>54</v>
      </c>
      <c r="R15" s="15" t="s">
        <v>55</v>
      </c>
      <c r="S15" s="15" t="s">
        <v>56</v>
      </c>
      <c r="T15" s="16" t="s">
        <v>57</v>
      </c>
    </row>
    <row r="16" spans="1:21" x14ac:dyDescent="0.3">
      <c r="N16" t="s">
        <v>42</v>
      </c>
      <c r="O16" s="6" t="s">
        <v>21</v>
      </c>
      <c r="P16" s="12">
        <v>0.2</v>
      </c>
      <c r="Q16" s="12">
        <v>0.4</v>
      </c>
      <c r="R16" s="12">
        <v>0.6</v>
      </c>
      <c r="S16" s="12">
        <v>0.8</v>
      </c>
      <c r="T16" s="13">
        <v>1</v>
      </c>
    </row>
    <row r="17" spans="2:37" ht="17.25" thickBot="1" x14ac:dyDescent="0.35">
      <c r="L17">
        <v>1141282358000000</v>
      </c>
      <c r="O17" s="9">
        <v>5000</v>
      </c>
      <c r="P17" s="10">
        <f>$O17*P$2</f>
        <v>1000</v>
      </c>
      <c r="Q17" s="10">
        <f>$O17*Q$2</f>
        <v>2000</v>
      </c>
      <c r="R17" s="10">
        <f>$O17*R$2</f>
        <v>3000</v>
      </c>
      <c r="S17" s="10">
        <f>$O17*S$2</f>
        <v>4000</v>
      </c>
      <c r="T17" s="11">
        <f>$O17*T$2</f>
        <v>5000</v>
      </c>
    </row>
    <row r="18" spans="2:37" x14ac:dyDescent="0.3">
      <c r="B18" s="6" t="s">
        <v>58</v>
      </c>
      <c r="C18" s="8">
        <v>1000000</v>
      </c>
      <c r="F18" s="41" t="s">
        <v>132</v>
      </c>
      <c r="G18" s="41"/>
      <c r="H18">
        <f>C6+(1000-1)*E6</f>
        <v>801717511063</v>
      </c>
      <c r="I18" s="39" t="s">
        <v>34</v>
      </c>
      <c r="O18" s="9"/>
      <c r="P18" s="10">
        <f>$D$75+P17*$F$75</f>
        <v>528986538392</v>
      </c>
      <c r="Q18" s="10">
        <f>$D$75+Q17*$F$75</f>
        <v>948986538392</v>
      </c>
      <c r="R18" s="10">
        <f>$D$75+R17*$F$75</f>
        <v>1368986538392</v>
      </c>
      <c r="S18" s="10">
        <f>$D$75+S17*$F$75</f>
        <v>1788986538392</v>
      </c>
      <c r="T18" s="11">
        <f>$D$75+T17*$F$75</f>
        <v>2208986538392</v>
      </c>
    </row>
    <row r="19" spans="2:37" ht="17.25" thickBot="1" x14ac:dyDescent="0.35">
      <c r="B19" s="9" t="s">
        <v>59</v>
      </c>
      <c r="C19" s="11">
        <v>10000000</v>
      </c>
      <c r="F19" s="41" t="s">
        <v>133</v>
      </c>
      <c r="G19" s="41"/>
      <c r="H19">
        <f>C7+(5000-1)*E7</f>
        <v>2099790066986</v>
      </c>
      <c r="I19" s="39" t="s">
        <v>138</v>
      </c>
      <c r="O19" s="14" t="s">
        <v>32</v>
      </c>
      <c r="P19" s="15" t="s">
        <v>61</v>
      </c>
      <c r="Q19" s="15" t="s">
        <v>62</v>
      </c>
      <c r="R19" s="15" t="s">
        <v>63</v>
      </c>
      <c r="S19" s="15" t="s">
        <v>64</v>
      </c>
      <c r="T19" s="16" t="s">
        <v>65</v>
      </c>
    </row>
    <row r="20" spans="2:37" x14ac:dyDescent="0.3">
      <c r="B20" s="9" t="s">
        <v>60</v>
      </c>
      <c r="C20" s="11">
        <v>100000000</v>
      </c>
      <c r="J20" t="s">
        <v>136</v>
      </c>
    </row>
    <row r="21" spans="2:37" x14ac:dyDescent="0.3">
      <c r="B21" s="9" t="s">
        <v>66</v>
      </c>
      <c r="C21" s="11">
        <v>1000000000</v>
      </c>
      <c r="E21">
        <v>1000</v>
      </c>
      <c r="F21" s="41" t="s">
        <v>134</v>
      </c>
      <c r="G21" s="41"/>
      <c r="H21">
        <f>E21/2*((2*C8)+(E21-1)*E8)</f>
        <v>285320589500</v>
      </c>
      <c r="J21">
        <f>H21*0.4</f>
        <v>114128235800</v>
      </c>
      <c r="K21" t="s">
        <v>142</v>
      </c>
      <c r="L21">
        <v>114128395689.64</v>
      </c>
      <c r="M21">
        <f>L21/0.4</f>
        <v>285320989224.09998</v>
      </c>
      <c r="S21" s="2"/>
      <c r="T21" s="3"/>
      <c r="U21" s="18"/>
    </row>
    <row r="22" spans="2:37" x14ac:dyDescent="0.3">
      <c r="B22" s="9" t="s">
        <v>67</v>
      </c>
      <c r="C22" s="11">
        <v>10000000000</v>
      </c>
      <c r="E22">
        <v>5000</v>
      </c>
      <c r="F22" s="41" t="s">
        <v>135</v>
      </c>
      <c r="G22" s="41"/>
      <c r="H22">
        <f>E22/2*(2*C9+(E22-1)*E9)</f>
        <v>535320589500</v>
      </c>
      <c r="J22">
        <f>H22*0.4</f>
        <v>214128235800</v>
      </c>
      <c r="K22" t="s">
        <v>137</v>
      </c>
      <c r="L22">
        <v>183012019919.64001</v>
      </c>
    </row>
    <row r="23" spans="2:37" x14ac:dyDescent="0.3">
      <c r="B23" s="9" t="s">
        <v>68</v>
      </c>
      <c r="C23" s="11">
        <v>100000000000</v>
      </c>
      <c r="F23" t="s">
        <v>0</v>
      </c>
    </row>
    <row r="24" spans="2:37" x14ac:dyDescent="0.3">
      <c r="B24" s="9" t="s">
        <v>69</v>
      </c>
      <c r="C24" s="11">
        <v>1000000000000</v>
      </c>
      <c r="E24" t="s">
        <v>139</v>
      </c>
      <c r="I24" t="s">
        <v>139</v>
      </c>
    </row>
    <row r="25" spans="2:37" x14ac:dyDescent="0.3">
      <c r="B25" s="9" t="s">
        <v>70</v>
      </c>
      <c r="C25" s="11">
        <v>10000000000000</v>
      </c>
      <c r="D25">
        <v>214128235800</v>
      </c>
      <c r="E25">
        <f>D25/0.4</f>
        <v>535320589500</v>
      </c>
      <c r="G25" s="1">
        <f>((E25/5000*2)-(2*E26))/4999</f>
        <v>34433.373834766957</v>
      </c>
      <c r="I25">
        <v>2853209892241000</v>
      </c>
      <c r="K25">
        <f>((I25/1000*2)-(2*I26))/999</f>
        <v>4090157996.3463464</v>
      </c>
      <c r="Z25">
        <v>1000000000</v>
      </c>
    </row>
    <row r="26" spans="2:37" ht="17.25" thickBot="1" x14ac:dyDescent="0.35">
      <c r="B26" s="14" t="s">
        <v>71</v>
      </c>
      <c r="C26" s="16">
        <v>100000000000000</v>
      </c>
      <c r="E26">
        <v>20997900</v>
      </c>
      <c r="I26">
        <v>810175973066</v>
      </c>
    </row>
    <row r="28" spans="2:37" x14ac:dyDescent="0.3">
      <c r="G28">
        <f>((E28/5000*2)-(2*E29))/4999</f>
        <v>0</v>
      </c>
      <c r="K28">
        <f>1.8/0.4</f>
        <v>4.5</v>
      </c>
      <c r="AC28" s="3"/>
    </row>
    <row r="29" spans="2:37" x14ac:dyDescent="0.3">
      <c r="AC29" s="3"/>
    </row>
    <row r="30" spans="2:37" ht="17.25" thickBot="1" x14ac:dyDescent="0.35">
      <c r="F30" s="38"/>
      <c r="G30" s="38"/>
      <c r="AA30" s="3"/>
    </row>
    <row r="31" spans="2:37" x14ac:dyDescent="0.3">
      <c r="F31" s="38"/>
      <c r="G31" s="38"/>
      <c r="H31">
        <v>400.1</v>
      </c>
      <c r="I31">
        <v>400.2</v>
      </c>
      <c r="Y31" s="6" t="s">
        <v>72</v>
      </c>
      <c r="Z31" s="7" t="s">
        <v>73</v>
      </c>
      <c r="AA31" s="7" t="s">
        <v>74</v>
      </c>
      <c r="AB31" s="7" t="s">
        <v>75</v>
      </c>
      <c r="AC31" s="7"/>
      <c r="AD31" s="7" t="s">
        <v>76</v>
      </c>
      <c r="AE31" s="8" t="s">
        <v>77</v>
      </c>
      <c r="AI31" s="6" t="s">
        <v>78</v>
      </c>
      <c r="AJ31" s="7" t="s">
        <v>74</v>
      </c>
      <c r="AK31" s="8" t="s">
        <v>79</v>
      </c>
    </row>
    <row r="32" spans="2:37" x14ac:dyDescent="0.3">
      <c r="H32">
        <v>4001</v>
      </c>
      <c r="I32">
        <v>4002</v>
      </c>
      <c r="Y32" s="20">
        <v>1</v>
      </c>
      <c r="Z32" s="21"/>
      <c r="AA32" s="10"/>
      <c r="AB32" s="10"/>
      <c r="AC32" s="10"/>
      <c r="AD32" s="10"/>
      <c r="AE32" s="11"/>
      <c r="AI32" s="9" t="s">
        <v>0</v>
      </c>
      <c r="AJ32" s="10"/>
      <c r="AK32" s="11"/>
    </row>
    <row r="33" spans="6:37" x14ac:dyDescent="0.3">
      <c r="Y33" s="22">
        <v>2</v>
      </c>
      <c r="Z33" s="23">
        <v>1055</v>
      </c>
      <c r="AA33" s="23" t="s">
        <v>80</v>
      </c>
      <c r="AB33" s="23" t="s">
        <v>81</v>
      </c>
      <c r="AC33" s="23">
        <f>67*5</f>
        <v>335</v>
      </c>
      <c r="AD33" s="23">
        <f>950+335</f>
        <v>1285</v>
      </c>
      <c r="AE33" s="24">
        <v>12.37</v>
      </c>
      <c r="AI33" s="22" t="s">
        <v>82</v>
      </c>
      <c r="AJ33" s="23">
        <f ca="1">SUM(AJ33:AJ34)</f>
        <v>68</v>
      </c>
      <c r="AK33" s="24">
        <v>11.08</v>
      </c>
    </row>
    <row r="34" spans="6:37" x14ac:dyDescent="0.3">
      <c r="J34" s="17"/>
      <c r="Y34" s="22">
        <v>10</v>
      </c>
      <c r="Z34" s="23">
        <v>855</v>
      </c>
      <c r="AA34" s="23">
        <v>590</v>
      </c>
      <c r="AB34" s="23">
        <v>40</v>
      </c>
      <c r="AC34" s="23">
        <f>AB34*5</f>
        <v>200</v>
      </c>
      <c r="AD34" s="23">
        <f>AC34+AA34</f>
        <v>790</v>
      </c>
      <c r="AE34" s="24">
        <v>8.8699999999999992</v>
      </c>
      <c r="AI34" s="22">
        <v>5</v>
      </c>
      <c r="AJ34" s="23">
        <v>38</v>
      </c>
      <c r="AK34" s="24">
        <v>7.54</v>
      </c>
    </row>
    <row r="35" spans="6:37" ht="17.25" thickBot="1" x14ac:dyDescent="0.35">
      <c r="F35" s="38"/>
      <c r="G35" s="38"/>
      <c r="Y35" s="25" t="s">
        <v>83</v>
      </c>
      <c r="Z35" s="26">
        <v>1216</v>
      </c>
      <c r="AA35" s="26">
        <v>1800</v>
      </c>
      <c r="AB35" s="26">
        <v>154</v>
      </c>
      <c r="AC35" s="26">
        <f>AB35*5</f>
        <v>770</v>
      </c>
      <c r="AD35" s="26">
        <f>AC35+AA35</f>
        <v>2570</v>
      </c>
      <c r="AE35" s="27">
        <v>20</v>
      </c>
      <c r="AI35" s="25">
        <v>34</v>
      </c>
      <c r="AJ35" s="26">
        <v>167</v>
      </c>
      <c r="AK35" s="27">
        <v>20</v>
      </c>
    </row>
    <row r="36" spans="6:37" x14ac:dyDescent="0.3">
      <c r="F36" s="38"/>
      <c r="G36" s="38"/>
    </row>
    <row r="41" spans="6:37" x14ac:dyDescent="0.3">
      <c r="AD41">
        <v>10</v>
      </c>
      <c r="AE41">
        <v>300</v>
      </c>
      <c r="AF41">
        <f>AE41/AD41</f>
        <v>30</v>
      </c>
    </row>
    <row r="42" spans="6:37" x14ac:dyDescent="0.3">
      <c r="AD42">
        <v>72</v>
      </c>
      <c r="AE42">
        <v>300</v>
      </c>
      <c r="AF42">
        <f>AE42/AD42</f>
        <v>4.166666666666667</v>
      </c>
    </row>
    <row r="43" spans="6:37" x14ac:dyDescent="0.3">
      <c r="AA43" t="s">
        <v>84</v>
      </c>
      <c r="AB43" t="s">
        <v>85</v>
      </c>
    </row>
    <row r="44" spans="6:37" x14ac:dyDescent="0.3">
      <c r="X44" t="s">
        <v>86</v>
      </c>
      <c r="Y44" s="28">
        <v>0.4</v>
      </c>
      <c r="Z44" s="28">
        <v>0.2</v>
      </c>
    </row>
    <row r="46" spans="6:37" x14ac:dyDescent="0.3">
      <c r="H46">
        <f t="shared" ref="H46" si="1">G45</f>
        <v>0</v>
      </c>
      <c r="J46">
        <f>INT(I46*(1-I$55/100))</f>
        <v>0</v>
      </c>
      <c r="X46" t="s">
        <v>87</v>
      </c>
      <c r="Y46" s="28">
        <f>Y$44*6</f>
        <v>2.4000000000000004</v>
      </c>
      <c r="Z46" s="28">
        <f>Z$44*6</f>
        <v>1.2000000000000002</v>
      </c>
    </row>
    <row r="47" spans="6:37" x14ac:dyDescent="0.3">
      <c r="X47" t="s">
        <v>88</v>
      </c>
      <c r="Y47" s="28">
        <f>Y$44*6+Y46</f>
        <v>4.8000000000000007</v>
      </c>
      <c r="Z47" s="28">
        <f>Z$44*6+Z46</f>
        <v>2.4000000000000004</v>
      </c>
    </row>
    <row r="48" spans="6:37" x14ac:dyDescent="0.3">
      <c r="X48" t="s">
        <v>89</v>
      </c>
      <c r="Y48" s="28">
        <f>Y$44*6+Y47</f>
        <v>7.2000000000000011</v>
      </c>
      <c r="Z48" s="28">
        <f>Z$44*6+Z47</f>
        <v>3.6000000000000005</v>
      </c>
    </row>
    <row r="53" spans="4:21" x14ac:dyDescent="0.3">
      <c r="F53" s="40" t="s">
        <v>118</v>
      </c>
      <c r="G53" s="40"/>
      <c r="H53" s="40"/>
      <c r="I53" s="40"/>
      <c r="M53" s="40" t="s">
        <v>119</v>
      </c>
      <c r="N53" s="40"/>
      <c r="O53" s="40"/>
      <c r="P53" s="40"/>
      <c r="Q53" s="40"/>
    </row>
    <row r="55" spans="4:21" x14ac:dyDescent="0.3">
      <c r="I55" s="37">
        <v>60</v>
      </c>
      <c r="Q55" s="35">
        <v>60</v>
      </c>
    </row>
    <row r="56" spans="4:21" x14ac:dyDescent="0.3">
      <c r="H56" s="17" t="s">
        <v>116</v>
      </c>
      <c r="I56" t="s">
        <v>117</v>
      </c>
      <c r="J56">
        <v>100</v>
      </c>
      <c r="K56">
        <f>0</f>
        <v>0</v>
      </c>
      <c r="P56" s="17" t="s">
        <v>116</v>
      </c>
      <c r="Q56" t="s">
        <v>117</v>
      </c>
    </row>
    <row r="57" spans="4:21" x14ac:dyDescent="0.3">
      <c r="D57">
        <v>1000</v>
      </c>
      <c r="E57" s="19">
        <v>0.1</v>
      </c>
      <c r="F57">
        <v>100</v>
      </c>
      <c r="H57" s="32">
        <f>F57/2*((2*D$72)+(F57-1)*F$72)</f>
        <v>1389982959600</v>
      </c>
      <c r="I57" s="33">
        <f t="shared" ref="I57:I66" si="2">INT(H57*(1-I$55/100))</f>
        <v>555993183840</v>
      </c>
      <c r="J57">
        <f>I57*0.6</f>
        <v>333595910304</v>
      </c>
      <c r="K57" s="36">
        <f>J57/(10^9)</f>
        <v>333.59591030399997</v>
      </c>
      <c r="M57">
        <v>5000</v>
      </c>
      <c r="N57">
        <v>0.05</v>
      </c>
      <c r="O57">
        <f>N57*M57</f>
        <v>250</v>
      </c>
      <c r="Q57" s="32">
        <f>O57/2*((2*D$73)+(O57-1)*F$73)</f>
        <v>1044237549000</v>
      </c>
      <c r="R57" s="33">
        <f>INT(Q57*(1-Q$55/100))</f>
        <v>417695019600</v>
      </c>
      <c r="S57">
        <f>R57*1</f>
        <v>417695019600</v>
      </c>
      <c r="T57" s="36">
        <f>S57/(10^9)</f>
        <v>417.69501960000002</v>
      </c>
    </row>
    <row r="58" spans="4:21" x14ac:dyDescent="0.3">
      <c r="D58">
        <v>1000</v>
      </c>
      <c r="E58" s="19">
        <v>0.2</v>
      </c>
      <c r="F58">
        <v>200</v>
      </c>
      <c r="G58">
        <f t="shared" ref="G58:G66" si="3">F57</f>
        <v>100</v>
      </c>
      <c r="H58" s="32">
        <f t="shared" ref="H58:H66" si="4">F58/2*((2*D$72)+(F58-1)*F$72)-G58/2*((2*D$72)+(G58-1)*F$72)</f>
        <v>3894999039600</v>
      </c>
      <c r="I58" s="33">
        <f t="shared" si="2"/>
        <v>1557999615840</v>
      </c>
      <c r="J58">
        <f t="shared" ref="J58:J66" si="5">I58*0.6</f>
        <v>934799769504</v>
      </c>
      <c r="K58" s="36">
        <f t="shared" ref="K58:K66" si="6">J58/(10^9)</f>
        <v>934.79976950399998</v>
      </c>
      <c r="M58">
        <v>5000</v>
      </c>
      <c r="N58" s="19">
        <v>0.1</v>
      </c>
      <c r="O58">
        <f t="shared" ref="O58:O76" si="7">N58*M58</f>
        <v>500</v>
      </c>
      <c r="P58">
        <f>O57</f>
        <v>250</v>
      </c>
      <c r="Q58" s="32">
        <f t="shared" ref="Q58:Q76" si="8">O58/2*((2*D$73)+(O58-1)*F$73)-P58/2*((2*D$73)+(P58-1)*F$73)</f>
        <v>2388088049000</v>
      </c>
      <c r="R58" s="34">
        <f t="shared" ref="R58:R76" si="9">Q58*0.33</f>
        <v>788069056170</v>
      </c>
      <c r="S58">
        <f t="shared" ref="S58:S76" si="10">R58*1</f>
        <v>788069056170</v>
      </c>
      <c r="T58" s="36">
        <f t="shared" ref="T58:T76" si="11">S58/(10^9)</f>
        <v>788.06905616999995</v>
      </c>
    </row>
    <row r="59" spans="4:21" x14ac:dyDescent="0.3">
      <c r="D59">
        <v>1000</v>
      </c>
      <c r="E59" s="19">
        <v>0.3</v>
      </c>
      <c r="F59">
        <v>300</v>
      </c>
      <c r="G59">
        <f t="shared" si="3"/>
        <v>200</v>
      </c>
      <c r="H59" s="32">
        <f t="shared" si="4"/>
        <v>6400015119600</v>
      </c>
      <c r="I59" s="33">
        <f t="shared" si="2"/>
        <v>2560006047840</v>
      </c>
      <c r="J59">
        <f t="shared" si="5"/>
        <v>1536003628704</v>
      </c>
      <c r="K59" s="36">
        <f t="shared" si="6"/>
        <v>1536.003628704</v>
      </c>
      <c r="M59">
        <v>5000</v>
      </c>
      <c r="N59">
        <v>0.15</v>
      </c>
      <c r="O59">
        <f t="shared" si="7"/>
        <v>750</v>
      </c>
      <c r="P59">
        <f t="shared" ref="P59:P76" si="12">O58</f>
        <v>500</v>
      </c>
      <c r="Q59" s="32">
        <f t="shared" si="8"/>
        <v>3731938549000</v>
      </c>
      <c r="R59" s="34">
        <f t="shared" si="9"/>
        <v>1231539721170</v>
      </c>
      <c r="S59">
        <f t="shared" si="10"/>
        <v>1231539721170</v>
      </c>
      <c r="T59" s="36">
        <f t="shared" si="11"/>
        <v>1231.5397211699999</v>
      </c>
    </row>
    <row r="60" spans="4:21" x14ac:dyDescent="0.3">
      <c r="D60">
        <v>1000</v>
      </c>
      <c r="E60" s="19">
        <v>0.4</v>
      </c>
      <c r="F60">
        <v>400</v>
      </c>
      <c r="G60">
        <f t="shared" si="3"/>
        <v>300</v>
      </c>
      <c r="H60" s="32">
        <f t="shared" si="4"/>
        <v>8905031199600</v>
      </c>
      <c r="I60" s="33">
        <f t="shared" si="2"/>
        <v>3562012479840</v>
      </c>
      <c r="J60">
        <f t="shared" si="5"/>
        <v>2137207487904</v>
      </c>
      <c r="K60" s="36">
        <f t="shared" si="6"/>
        <v>2137.2074879040001</v>
      </c>
      <c r="M60">
        <v>5000</v>
      </c>
      <c r="N60" s="19">
        <v>0.2</v>
      </c>
      <c r="O60">
        <f t="shared" si="7"/>
        <v>1000</v>
      </c>
      <c r="P60">
        <f t="shared" si="12"/>
        <v>750</v>
      </c>
      <c r="Q60" s="32">
        <f t="shared" si="8"/>
        <v>5075789049000</v>
      </c>
      <c r="R60" s="34">
        <f t="shared" si="9"/>
        <v>1675010386170</v>
      </c>
      <c r="S60">
        <f t="shared" si="10"/>
        <v>1675010386170</v>
      </c>
      <c r="T60" s="36">
        <f t="shared" si="11"/>
        <v>1675.0103861699999</v>
      </c>
      <c r="U60" t="s">
        <v>127</v>
      </c>
    </row>
    <row r="61" spans="4:21" x14ac:dyDescent="0.3">
      <c r="D61">
        <v>1000</v>
      </c>
      <c r="E61" s="19">
        <v>0.5</v>
      </c>
      <c r="F61">
        <v>500</v>
      </c>
      <c r="G61">
        <f t="shared" si="3"/>
        <v>400</v>
      </c>
      <c r="H61" s="32">
        <f t="shared" si="4"/>
        <v>11410047279600</v>
      </c>
      <c r="I61" s="33">
        <f t="shared" si="2"/>
        <v>4564018911840</v>
      </c>
      <c r="J61">
        <f t="shared" si="5"/>
        <v>2738411347104</v>
      </c>
      <c r="K61" s="36">
        <f t="shared" si="6"/>
        <v>2738.411347104</v>
      </c>
      <c r="M61">
        <v>5000</v>
      </c>
      <c r="N61">
        <v>0.25</v>
      </c>
      <c r="O61">
        <f t="shared" si="7"/>
        <v>1250</v>
      </c>
      <c r="P61">
        <f t="shared" si="12"/>
        <v>1000</v>
      </c>
      <c r="Q61" s="32">
        <f t="shared" si="8"/>
        <v>6419639549000</v>
      </c>
      <c r="R61" s="34">
        <f t="shared" si="9"/>
        <v>2118481051170</v>
      </c>
      <c r="S61">
        <f t="shared" si="10"/>
        <v>2118481051170</v>
      </c>
      <c r="T61" s="36">
        <f t="shared" si="11"/>
        <v>2118.4810511699998</v>
      </c>
      <c r="U61" s="36">
        <f>T60/(10^9)</f>
        <v>1.67501038617E-6</v>
      </c>
    </row>
    <row r="62" spans="4:21" x14ac:dyDescent="0.3">
      <c r="D62">
        <v>1000</v>
      </c>
      <c r="E62" s="19">
        <v>0.6</v>
      </c>
      <c r="F62">
        <v>600</v>
      </c>
      <c r="G62">
        <f t="shared" si="3"/>
        <v>500</v>
      </c>
      <c r="H62" s="32">
        <f t="shared" si="4"/>
        <v>13915063359600</v>
      </c>
      <c r="I62" s="33">
        <f t="shared" si="2"/>
        <v>5566025343840</v>
      </c>
      <c r="J62">
        <f t="shared" si="5"/>
        <v>3339615206304</v>
      </c>
      <c r="K62" s="36">
        <f t="shared" si="6"/>
        <v>3339.6152063039999</v>
      </c>
      <c r="M62">
        <v>5000</v>
      </c>
      <c r="N62" s="19">
        <v>0.3</v>
      </c>
      <c r="O62">
        <f t="shared" si="7"/>
        <v>1500</v>
      </c>
      <c r="P62">
        <f t="shared" si="12"/>
        <v>1250</v>
      </c>
      <c r="Q62" s="32">
        <f t="shared" si="8"/>
        <v>7763490049000</v>
      </c>
      <c r="R62" s="34">
        <f t="shared" si="9"/>
        <v>2561951716170</v>
      </c>
      <c r="S62">
        <f t="shared" si="10"/>
        <v>2561951716170</v>
      </c>
      <c r="T62" s="36">
        <f t="shared" si="11"/>
        <v>2561.9517161700001</v>
      </c>
    </row>
    <row r="63" spans="4:21" x14ac:dyDescent="0.3">
      <c r="D63">
        <v>1000</v>
      </c>
      <c r="E63" s="19">
        <v>0.7</v>
      </c>
      <c r="F63">
        <v>700</v>
      </c>
      <c r="G63">
        <f t="shared" si="3"/>
        <v>600</v>
      </c>
      <c r="H63" s="32">
        <f t="shared" si="4"/>
        <v>16420079439600</v>
      </c>
      <c r="I63" s="33">
        <f t="shared" si="2"/>
        <v>6568031775840</v>
      </c>
      <c r="J63">
        <f t="shared" si="5"/>
        <v>3940819065504</v>
      </c>
      <c r="K63" s="36">
        <f t="shared" si="6"/>
        <v>3940.8190655039998</v>
      </c>
      <c r="M63">
        <v>5000</v>
      </c>
      <c r="N63">
        <v>0.35</v>
      </c>
      <c r="O63">
        <f t="shared" si="7"/>
        <v>1750</v>
      </c>
      <c r="P63">
        <f t="shared" si="12"/>
        <v>1500</v>
      </c>
      <c r="Q63" s="32">
        <f t="shared" si="8"/>
        <v>9107340549000</v>
      </c>
      <c r="R63" s="34">
        <f t="shared" si="9"/>
        <v>3005422381170</v>
      </c>
      <c r="S63">
        <f t="shared" si="10"/>
        <v>3005422381170</v>
      </c>
      <c r="T63" s="36">
        <f t="shared" si="11"/>
        <v>3005.4223811699999</v>
      </c>
    </row>
    <row r="64" spans="4:21" x14ac:dyDescent="0.3">
      <c r="D64">
        <v>1000</v>
      </c>
      <c r="E64" s="19">
        <v>0.8</v>
      </c>
      <c r="F64">
        <v>800</v>
      </c>
      <c r="G64">
        <f t="shared" si="3"/>
        <v>700</v>
      </c>
      <c r="H64" s="32">
        <f t="shared" si="4"/>
        <v>18925095519600</v>
      </c>
      <c r="I64" s="33">
        <f t="shared" si="2"/>
        <v>7570038207840</v>
      </c>
      <c r="J64">
        <f t="shared" si="5"/>
        <v>4542022924704</v>
      </c>
      <c r="K64" s="36">
        <f t="shared" si="6"/>
        <v>4542.0229247039997</v>
      </c>
      <c r="M64">
        <v>5000</v>
      </c>
      <c r="N64" s="19">
        <v>0.4</v>
      </c>
      <c r="O64">
        <f t="shared" si="7"/>
        <v>2000</v>
      </c>
      <c r="P64">
        <f t="shared" si="12"/>
        <v>1750</v>
      </c>
      <c r="Q64" s="32">
        <f t="shared" si="8"/>
        <v>10451191049000</v>
      </c>
      <c r="R64" s="34">
        <f t="shared" si="9"/>
        <v>3448893046170</v>
      </c>
      <c r="S64">
        <f t="shared" si="10"/>
        <v>3448893046170</v>
      </c>
      <c r="T64" s="36">
        <f t="shared" si="11"/>
        <v>3448.8930461700002</v>
      </c>
      <c r="U64" t="s">
        <v>127</v>
      </c>
    </row>
    <row r="65" spans="2:21" x14ac:dyDescent="0.3">
      <c r="D65">
        <v>1000</v>
      </c>
      <c r="E65" s="19">
        <v>0.9</v>
      </c>
      <c r="F65">
        <v>900</v>
      </c>
      <c r="G65">
        <f t="shared" si="3"/>
        <v>800</v>
      </c>
      <c r="H65" s="32">
        <f t="shared" si="4"/>
        <v>21430111599600</v>
      </c>
      <c r="I65" s="33">
        <f t="shared" si="2"/>
        <v>8572044639840</v>
      </c>
      <c r="J65">
        <f t="shared" si="5"/>
        <v>5143226783904</v>
      </c>
      <c r="K65" s="36">
        <f t="shared" si="6"/>
        <v>5143.2267839039996</v>
      </c>
      <c r="M65">
        <v>5000</v>
      </c>
      <c r="N65">
        <v>0.45</v>
      </c>
      <c r="O65">
        <f t="shared" si="7"/>
        <v>2250</v>
      </c>
      <c r="P65">
        <f t="shared" si="12"/>
        <v>2000</v>
      </c>
      <c r="Q65" s="32">
        <f t="shared" si="8"/>
        <v>11795041549000</v>
      </c>
      <c r="R65" s="34">
        <f t="shared" si="9"/>
        <v>3892363711170</v>
      </c>
      <c r="S65">
        <f t="shared" si="10"/>
        <v>3892363711170</v>
      </c>
      <c r="T65" s="36">
        <f t="shared" si="11"/>
        <v>3892.36371117</v>
      </c>
    </row>
    <row r="66" spans="2:21" x14ac:dyDescent="0.3">
      <c r="D66">
        <v>1000</v>
      </c>
      <c r="E66" s="19">
        <v>1</v>
      </c>
      <c r="F66">
        <v>1000</v>
      </c>
      <c r="G66">
        <f t="shared" si="3"/>
        <v>900</v>
      </c>
      <c r="H66" s="32">
        <f t="shared" si="4"/>
        <v>23935127679600</v>
      </c>
      <c r="I66" s="33">
        <f t="shared" si="2"/>
        <v>9574051071840</v>
      </c>
      <c r="J66">
        <f t="shared" si="5"/>
        <v>5744430643104</v>
      </c>
      <c r="K66" s="36">
        <f t="shared" si="6"/>
        <v>5744.4306431040004</v>
      </c>
      <c r="M66">
        <v>5000</v>
      </c>
      <c r="N66" s="19">
        <v>0.5</v>
      </c>
      <c r="O66">
        <f t="shared" si="7"/>
        <v>2500</v>
      </c>
      <c r="P66">
        <f t="shared" si="12"/>
        <v>2250</v>
      </c>
      <c r="Q66" s="32">
        <f t="shared" si="8"/>
        <v>13138892049000</v>
      </c>
      <c r="R66" s="34">
        <f t="shared" si="9"/>
        <v>4335834376170</v>
      </c>
      <c r="S66">
        <f t="shared" si="10"/>
        <v>4335834376170</v>
      </c>
      <c r="T66" s="36">
        <f t="shared" si="11"/>
        <v>4335.8343761699998</v>
      </c>
    </row>
    <row r="67" spans="2:21" x14ac:dyDescent="0.3">
      <c r="K67" s="1"/>
      <c r="M67">
        <v>5000</v>
      </c>
      <c r="N67">
        <v>0.55000000000000004</v>
      </c>
      <c r="O67">
        <f t="shared" si="7"/>
        <v>2750</v>
      </c>
      <c r="P67">
        <f t="shared" si="12"/>
        <v>2500</v>
      </c>
      <c r="Q67" s="32">
        <f t="shared" si="8"/>
        <v>14482742549000</v>
      </c>
      <c r="R67" s="34">
        <f t="shared" si="9"/>
        <v>4779305041170</v>
      </c>
      <c r="S67">
        <f t="shared" si="10"/>
        <v>4779305041170</v>
      </c>
      <c r="T67" s="36">
        <f t="shared" si="11"/>
        <v>4779.3050411699996</v>
      </c>
    </row>
    <row r="68" spans="2:21" ht="17.25" thickBot="1" x14ac:dyDescent="0.35">
      <c r="E68" s="19"/>
      <c r="K68" s="1"/>
      <c r="M68">
        <v>5000</v>
      </c>
      <c r="N68" s="19">
        <v>0.6</v>
      </c>
      <c r="O68">
        <f t="shared" si="7"/>
        <v>3000</v>
      </c>
      <c r="P68">
        <f t="shared" si="12"/>
        <v>2750</v>
      </c>
      <c r="Q68" s="32">
        <f t="shared" si="8"/>
        <v>15826593049000</v>
      </c>
      <c r="R68" s="34">
        <f t="shared" si="9"/>
        <v>5222775706170</v>
      </c>
      <c r="S68">
        <f t="shared" si="10"/>
        <v>5222775706170</v>
      </c>
      <c r="T68" s="36">
        <f t="shared" si="11"/>
        <v>5222.7757061700004</v>
      </c>
      <c r="U68" t="s">
        <v>127</v>
      </c>
    </row>
    <row r="69" spans="2:21" x14ac:dyDescent="0.3">
      <c r="B69" s="6" t="s">
        <v>9</v>
      </c>
      <c r="C69" s="7" t="s">
        <v>10</v>
      </c>
      <c r="D69" s="7" t="s">
        <v>11</v>
      </c>
      <c r="E69" s="7" t="s">
        <v>12</v>
      </c>
      <c r="F69" s="7" t="s">
        <v>13</v>
      </c>
      <c r="G69" s="7" t="s">
        <v>14</v>
      </c>
      <c r="H69" s="7" t="s">
        <v>15</v>
      </c>
      <c r="I69" s="7" t="s">
        <v>16</v>
      </c>
      <c r="J69" s="7"/>
      <c r="K69" s="8" t="s">
        <v>17</v>
      </c>
      <c r="M69">
        <v>5000</v>
      </c>
      <c r="N69">
        <v>0.65</v>
      </c>
      <c r="O69">
        <f t="shared" si="7"/>
        <v>3250</v>
      </c>
      <c r="P69">
        <f t="shared" si="12"/>
        <v>3000</v>
      </c>
      <c r="Q69" s="32">
        <f t="shared" si="8"/>
        <v>17170443549000</v>
      </c>
      <c r="R69" s="34">
        <f t="shared" si="9"/>
        <v>5666246371170</v>
      </c>
      <c r="S69">
        <f t="shared" si="10"/>
        <v>5666246371170</v>
      </c>
      <c r="T69" s="36">
        <f t="shared" si="11"/>
        <v>5666.2463711700002</v>
      </c>
    </row>
    <row r="70" spans="2:21" x14ac:dyDescent="0.3">
      <c r="B70" s="9">
        <v>1</v>
      </c>
      <c r="C70" s="10" t="s">
        <v>19</v>
      </c>
      <c r="D70" s="10">
        <v>1000000000</v>
      </c>
      <c r="E70" s="10">
        <v>1</v>
      </c>
      <c r="F70" s="10">
        <v>113608</v>
      </c>
      <c r="G70" s="10">
        <v>0</v>
      </c>
      <c r="H70" s="10" t="s">
        <v>20</v>
      </c>
      <c r="I70" s="10"/>
      <c r="J70" s="10"/>
      <c r="K70" s="11"/>
      <c r="M70">
        <v>5000</v>
      </c>
      <c r="N70" s="19">
        <v>0.7</v>
      </c>
      <c r="O70">
        <f t="shared" si="7"/>
        <v>3500</v>
      </c>
      <c r="P70">
        <f t="shared" si="12"/>
        <v>3250</v>
      </c>
      <c r="Q70" s="32">
        <f t="shared" si="8"/>
        <v>18514294049000</v>
      </c>
      <c r="R70" s="34">
        <f t="shared" si="9"/>
        <v>6109717036170</v>
      </c>
      <c r="S70">
        <f t="shared" si="10"/>
        <v>6109717036170</v>
      </c>
      <c r="T70" s="36">
        <f t="shared" si="11"/>
        <v>6109.71703617</v>
      </c>
    </row>
    <row r="71" spans="2:21" x14ac:dyDescent="0.3">
      <c r="B71" s="9">
        <v>2</v>
      </c>
      <c r="C71" s="10" t="s">
        <v>22</v>
      </c>
      <c r="D71" s="10">
        <v>1000000000</v>
      </c>
      <c r="E71" s="10">
        <v>1</v>
      </c>
      <c r="F71" s="10">
        <v>113608</v>
      </c>
      <c r="G71" s="10">
        <v>0</v>
      </c>
      <c r="H71" s="10" t="s">
        <v>20</v>
      </c>
      <c r="I71" s="10"/>
      <c r="J71" s="10"/>
      <c r="K71" s="11"/>
      <c r="M71">
        <v>5000</v>
      </c>
      <c r="N71">
        <v>0.75</v>
      </c>
      <c r="O71">
        <f t="shared" si="7"/>
        <v>3750</v>
      </c>
      <c r="P71">
        <f t="shared" si="12"/>
        <v>3500</v>
      </c>
      <c r="Q71" s="32">
        <f t="shared" si="8"/>
        <v>19858144549000</v>
      </c>
      <c r="R71" s="34">
        <f t="shared" si="9"/>
        <v>6553187701170</v>
      </c>
      <c r="S71">
        <f t="shared" si="10"/>
        <v>6553187701170</v>
      </c>
      <c r="T71" s="36">
        <f t="shared" si="11"/>
        <v>6553.1877011699999</v>
      </c>
    </row>
    <row r="72" spans="2:21" x14ac:dyDescent="0.3">
      <c r="B72" s="9">
        <v>3</v>
      </c>
      <c r="C72" s="10" t="s">
        <v>24</v>
      </c>
      <c r="D72" s="10">
        <v>1500000000</v>
      </c>
      <c r="E72" s="10">
        <v>1</v>
      </c>
      <c r="F72" s="10">
        <v>250501608</v>
      </c>
      <c r="G72" s="10">
        <v>1000</v>
      </c>
      <c r="H72" s="10" t="s">
        <v>25</v>
      </c>
      <c r="I72" s="10">
        <f>1000/2*(D72+999*F72)</f>
        <v>125875553196000</v>
      </c>
      <c r="J72" s="10" t="s">
        <v>26</v>
      </c>
      <c r="K72" s="11" t="s">
        <v>27</v>
      </c>
      <c r="M72">
        <v>5000</v>
      </c>
      <c r="N72" s="19">
        <v>0.8</v>
      </c>
      <c r="O72">
        <f t="shared" si="7"/>
        <v>4000</v>
      </c>
      <c r="P72">
        <f t="shared" si="12"/>
        <v>3750</v>
      </c>
      <c r="Q72" s="32">
        <f t="shared" si="8"/>
        <v>21201995049000</v>
      </c>
      <c r="R72" s="34">
        <f t="shared" si="9"/>
        <v>6996658366170</v>
      </c>
      <c r="S72">
        <f t="shared" si="10"/>
        <v>6996658366170</v>
      </c>
      <c r="T72" s="36">
        <f t="shared" si="11"/>
        <v>6996.6583661699997</v>
      </c>
      <c r="U72" t="s">
        <v>127</v>
      </c>
    </row>
    <row r="73" spans="2:21" x14ac:dyDescent="0.3">
      <c r="B73" s="9">
        <v>4</v>
      </c>
      <c r="C73" s="10" t="s">
        <v>28</v>
      </c>
      <c r="D73" s="10">
        <v>1500000000</v>
      </c>
      <c r="E73" s="10">
        <v>1</v>
      </c>
      <c r="F73" s="10">
        <v>21501608</v>
      </c>
      <c r="G73" s="10">
        <v>5000</v>
      </c>
      <c r="H73" s="10" t="s">
        <v>29</v>
      </c>
      <c r="I73" s="10">
        <f>5000/2*(D73+5000*F73)</f>
        <v>272520100000000</v>
      </c>
      <c r="J73" s="10" t="s">
        <v>30</v>
      </c>
      <c r="K73" s="11" t="s">
        <v>31</v>
      </c>
      <c r="M73">
        <v>5000</v>
      </c>
      <c r="N73">
        <v>0.85</v>
      </c>
      <c r="O73">
        <f t="shared" si="7"/>
        <v>4250</v>
      </c>
      <c r="P73">
        <f t="shared" si="12"/>
        <v>4000</v>
      </c>
      <c r="Q73" s="32">
        <f t="shared" si="8"/>
        <v>22545845549000</v>
      </c>
      <c r="R73" s="34">
        <f t="shared" si="9"/>
        <v>7440129031170</v>
      </c>
      <c r="S73">
        <f t="shared" si="10"/>
        <v>7440129031170</v>
      </c>
      <c r="T73" s="36">
        <f t="shared" si="11"/>
        <v>7440.1290311700004</v>
      </c>
    </row>
    <row r="74" spans="2:21" x14ac:dyDescent="0.3">
      <c r="B74" s="9">
        <v>5</v>
      </c>
      <c r="C74" s="10" t="s">
        <v>38</v>
      </c>
      <c r="D74">
        <v>251751106392</v>
      </c>
      <c r="E74" s="10">
        <v>100</v>
      </c>
      <c r="F74">
        <v>800000000</v>
      </c>
      <c r="G74" s="10">
        <v>1000</v>
      </c>
      <c r="H74" s="10" t="s">
        <v>39</v>
      </c>
      <c r="I74" s="10">
        <f>1000/2*(D74+999*F74)</f>
        <v>525475553196000</v>
      </c>
      <c r="J74" s="10" t="s">
        <v>40</v>
      </c>
      <c r="K74" s="11" t="s">
        <v>41</v>
      </c>
      <c r="M74">
        <v>5000</v>
      </c>
      <c r="N74" s="19">
        <v>0.9</v>
      </c>
      <c r="O74">
        <f t="shared" si="7"/>
        <v>4500</v>
      </c>
      <c r="P74">
        <f t="shared" si="12"/>
        <v>4250</v>
      </c>
      <c r="Q74" s="32">
        <f t="shared" si="8"/>
        <v>23889696049000</v>
      </c>
      <c r="R74" s="34">
        <f t="shared" si="9"/>
        <v>7883599696170</v>
      </c>
      <c r="S74">
        <f t="shared" si="10"/>
        <v>7883599696170</v>
      </c>
      <c r="T74" s="36">
        <f t="shared" si="11"/>
        <v>7883.5996961700002</v>
      </c>
    </row>
    <row r="75" spans="2:21" x14ac:dyDescent="0.3">
      <c r="B75" s="9">
        <v>6</v>
      </c>
      <c r="C75" s="10" t="s">
        <v>43</v>
      </c>
      <c r="D75">
        <v>108986538392</v>
      </c>
      <c r="E75" s="10">
        <v>100</v>
      </c>
      <c r="F75">
        <v>420000000</v>
      </c>
      <c r="G75" s="10">
        <v>5000</v>
      </c>
      <c r="H75" s="10" t="s">
        <v>44</v>
      </c>
      <c r="I75" s="10">
        <f>5000/2*(D75+5000*F75)</f>
        <v>5522466345980000</v>
      </c>
      <c r="J75" s="10" t="s">
        <v>45</v>
      </c>
      <c r="K75" s="11" t="s">
        <v>46</v>
      </c>
      <c r="M75">
        <v>5000</v>
      </c>
      <c r="N75">
        <v>0.95</v>
      </c>
      <c r="O75">
        <f t="shared" si="7"/>
        <v>4750</v>
      </c>
      <c r="P75">
        <f t="shared" si="12"/>
        <v>4500</v>
      </c>
      <c r="Q75" s="32">
        <f t="shared" si="8"/>
        <v>25233546549000</v>
      </c>
      <c r="R75" s="34">
        <f t="shared" si="9"/>
        <v>8327070361170</v>
      </c>
      <c r="S75">
        <f t="shared" si="10"/>
        <v>8327070361170</v>
      </c>
      <c r="T75" s="36">
        <f t="shared" si="11"/>
        <v>8327.0703611699992</v>
      </c>
    </row>
    <row r="76" spans="2:21" ht="17.25" thickBot="1" x14ac:dyDescent="0.35">
      <c r="B76" s="14"/>
      <c r="C76" s="15"/>
      <c r="D76" s="15"/>
      <c r="E76" s="15"/>
      <c r="F76" s="15"/>
      <c r="G76" s="15"/>
      <c r="H76" s="15"/>
      <c r="I76" s="15"/>
      <c r="J76" s="15"/>
      <c r="K76" s="16"/>
      <c r="M76">
        <v>5000</v>
      </c>
      <c r="N76" s="19">
        <v>1</v>
      </c>
      <c r="O76">
        <f t="shared" si="7"/>
        <v>5000</v>
      </c>
      <c r="P76">
        <f t="shared" si="12"/>
        <v>4750</v>
      </c>
      <c r="Q76" s="32">
        <f t="shared" si="8"/>
        <v>26577397049000</v>
      </c>
      <c r="R76" s="34">
        <f t="shared" si="9"/>
        <v>8770541026170</v>
      </c>
      <c r="S76">
        <f t="shared" si="10"/>
        <v>8770541026170</v>
      </c>
      <c r="T76" s="36">
        <f t="shared" si="11"/>
        <v>8770.5410261699999</v>
      </c>
    </row>
    <row r="80" spans="2:21" x14ac:dyDescent="0.3">
      <c r="F80" s="40" t="s">
        <v>125</v>
      </c>
      <c r="G80" s="40"/>
      <c r="H80" s="40"/>
      <c r="I80" s="40"/>
      <c r="M80" s="40" t="s">
        <v>126</v>
      </c>
      <c r="N80" s="40"/>
      <c r="O80" s="40"/>
      <c r="P80" s="40"/>
      <c r="Q80" s="40"/>
    </row>
    <row r="82" spans="4:22" x14ac:dyDescent="0.3">
      <c r="I82" s="37">
        <v>60</v>
      </c>
      <c r="K82">
        <v>9</v>
      </c>
      <c r="Q82" s="35">
        <v>60</v>
      </c>
    </row>
    <row r="83" spans="4:22" x14ac:dyDescent="0.3">
      <c r="H83" s="17" t="s">
        <v>116</v>
      </c>
      <c r="I83" t="s">
        <v>117</v>
      </c>
      <c r="J83">
        <v>100</v>
      </c>
      <c r="K83">
        <f>0</f>
        <v>0</v>
      </c>
      <c r="P83" s="17" t="s">
        <v>116</v>
      </c>
      <c r="Q83" t="s">
        <v>117</v>
      </c>
    </row>
    <row r="84" spans="4:22" x14ac:dyDescent="0.3">
      <c r="D84">
        <v>1000</v>
      </c>
      <c r="E84" s="19">
        <v>0.1</v>
      </c>
      <c r="F84">
        <v>50</v>
      </c>
      <c r="H84" s="32">
        <f>F84/2*((2*D$74)+(F84-1)*F$74)</f>
        <v>13567555319600</v>
      </c>
      <c r="I84" s="33">
        <f>H84*0.4</f>
        <v>5427022127840</v>
      </c>
      <c r="J84">
        <f>I84*1</f>
        <v>5427022127840</v>
      </c>
      <c r="K84" s="36">
        <f>J84/(10^9)</f>
        <v>5427.0221278400004</v>
      </c>
      <c r="M84">
        <v>5000</v>
      </c>
      <c r="N84">
        <v>0.05</v>
      </c>
      <c r="O84">
        <f>N84*M84</f>
        <v>250</v>
      </c>
      <c r="Q84" s="32">
        <f>O84/2*((2*D$75)+(O84-1)*F$75)</f>
        <v>40319134598000</v>
      </c>
      <c r="R84" s="33">
        <f t="shared" ref="R84:R87" si="13">Q84*0.4</f>
        <v>16127653839200</v>
      </c>
      <c r="S84">
        <f>R84*1</f>
        <v>16127653839200</v>
      </c>
      <c r="T84" s="36">
        <f>S84/(10^10)</f>
        <v>1612.76538392</v>
      </c>
      <c r="V84">
        <v>250</v>
      </c>
    </row>
    <row r="85" spans="4:22" x14ac:dyDescent="0.3">
      <c r="D85">
        <v>1000</v>
      </c>
      <c r="E85" s="19">
        <v>0.2</v>
      </c>
      <c r="F85">
        <v>150</v>
      </c>
      <c r="G85">
        <v>100</v>
      </c>
      <c r="H85" s="32">
        <f>F85/2*((2*D$74)+(F85-1)*F$74)-G85/2*((2*D$74)+(G85-1)*F$74)</f>
        <v>17567555319600</v>
      </c>
      <c r="I85" s="33">
        <f t="shared" ref="I85:I93" si="14">H85*0.4</f>
        <v>7027022127840</v>
      </c>
      <c r="J85">
        <f t="shared" ref="J85:J93" si="15">I85*1</f>
        <v>7027022127840</v>
      </c>
      <c r="K85" s="36">
        <f t="shared" ref="K85:K93" si="16">J85/(10^9)</f>
        <v>7027.0221278400004</v>
      </c>
      <c r="M85">
        <v>5000</v>
      </c>
      <c r="N85" s="19">
        <v>0.1</v>
      </c>
      <c r="O85">
        <f t="shared" ref="O85:O103" si="17">N85*M85</f>
        <v>500</v>
      </c>
      <c r="P85">
        <f>O84</f>
        <v>250</v>
      </c>
      <c r="Q85" s="32">
        <f>O85/2*((2*D$75)+(O85-1)*F$75)-P85/2*((2*D$75)+(P85-1)*F$75)</f>
        <v>66569134598000</v>
      </c>
      <c r="R85" s="33">
        <f t="shared" si="13"/>
        <v>26627653839200</v>
      </c>
      <c r="S85">
        <f t="shared" ref="S85:S103" si="18">R85*1</f>
        <v>26627653839200</v>
      </c>
      <c r="T85" s="36">
        <f t="shared" ref="T85:T103" si="19">S85/(10^10)</f>
        <v>2662.7653839200002</v>
      </c>
      <c r="V85">
        <v>500</v>
      </c>
    </row>
    <row r="86" spans="4:22" x14ac:dyDescent="0.3">
      <c r="D86">
        <v>1000</v>
      </c>
      <c r="E86" s="19">
        <v>0.3</v>
      </c>
      <c r="F86">
        <v>250</v>
      </c>
      <c r="G86">
        <v>200</v>
      </c>
      <c r="H86" s="32">
        <f t="shared" ref="H86:H93" si="20">F86/2*((2*D$74)+(F86-1)*F$74)-G86/2*((2*D$74)+(G86-1)*F$74)</f>
        <v>21567555319600</v>
      </c>
      <c r="I86" s="33">
        <f t="shared" si="14"/>
        <v>8627022127840</v>
      </c>
      <c r="J86">
        <f t="shared" si="15"/>
        <v>8627022127840</v>
      </c>
      <c r="K86" s="36">
        <f t="shared" si="16"/>
        <v>8627.0221278400004</v>
      </c>
      <c r="M86">
        <v>5000</v>
      </c>
      <c r="N86">
        <v>0.15</v>
      </c>
      <c r="O86">
        <f t="shared" si="17"/>
        <v>750</v>
      </c>
      <c r="P86">
        <f t="shared" ref="P86:P103" si="21">O85</f>
        <v>500</v>
      </c>
      <c r="Q86" s="32">
        <f t="shared" ref="Q86:Q103" si="22">O86/2*((2*D$75)+(O86-1)*F$75)-P86/2*((2*D$75)+(P86-1)*F$75)</f>
        <v>92819134598000</v>
      </c>
      <c r="R86" s="33">
        <f t="shared" si="13"/>
        <v>37127653839200</v>
      </c>
      <c r="S86">
        <f t="shared" si="18"/>
        <v>37127653839200</v>
      </c>
      <c r="T86" s="36">
        <f t="shared" si="19"/>
        <v>3712.7653839200002</v>
      </c>
      <c r="V86">
        <v>750</v>
      </c>
    </row>
    <row r="87" spans="4:22" x14ac:dyDescent="0.3">
      <c r="D87">
        <v>1000</v>
      </c>
      <c r="E87" s="19">
        <v>0.4</v>
      </c>
      <c r="F87">
        <v>350</v>
      </c>
      <c r="G87">
        <v>300</v>
      </c>
      <c r="H87" s="32">
        <f t="shared" si="20"/>
        <v>25567555319600</v>
      </c>
      <c r="I87" s="33">
        <f t="shared" si="14"/>
        <v>10227022127840</v>
      </c>
      <c r="J87">
        <f t="shared" si="15"/>
        <v>10227022127840</v>
      </c>
      <c r="K87" s="36">
        <f t="shared" si="16"/>
        <v>10227.02212784</v>
      </c>
      <c r="M87">
        <v>5000</v>
      </c>
      <c r="N87" s="19">
        <v>0.2</v>
      </c>
      <c r="O87">
        <f t="shared" si="17"/>
        <v>1000</v>
      </c>
      <c r="P87">
        <f t="shared" si="21"/>
        <v>750</v>
      </c>
      <c r="Q87" s="32">
        <f t="shared" si="22"/>
        <v>119069134598000</v>
      </c>
      <c r="R87" s="33">
        <f t="shared" si="13"/>
        <v>47627653839200</v>
      </c>
      <c r="S87">
        <f t="shared" si="18"/>
        <v>47627653839200</v>
      </c>
      <c r="T87" s="36">
        <f t="shared" si="19"/>
        <v>4762.7653839200002</v>
      </c>
      <c r="U87" t="s">
        <v>127</v>
      </c>
      <c r="V87">
        <v>1000</v>
      </c>
    </row>
    <row r="88" spans="4:22" x14ac:dyDescent="0.3">
      <c r="D88">
        <v>1000</v>
      </c>
      <c r="E88" s="19">
        <v>0.5</v>
      </c>
      <c r="F88">
        <v>450</v>
      </c>
      <c r="G88">
        <v>400</v>
      </c>
      <c r="H88" s="32">
        <f t="shared" si="20"/>
        <v>29567555319600</v>
      </c>
      <c r="I88" s="33">
        <f t="shared" si="14"/>
        <v>11827022127840</v>
      </c>
      <c r="J88">
        <f t="shared" si="15"/>
        <v>11827022127840</v>
      </c>
      <c r="K88" s="36">
        <f t="shared" si="16"/>
        <v>11827.02212784</v>
      </c>
      <c r="M88">
        <v>5000</v>
      </c>
      <c r="N88">
        <v>0.25</v>
      </c>
      <c r="O88">
        <f t="shared" si="17"/>
        <v>1250</v>
      </c>
      <c r="P88">
        <f t="shared" si="21"/>
        <v>1000</v>
      </c>
      <c r="Q88" s="32">
        <f t="shared" si="22"/>
        <v>145319134598000</v>
      </c>
      <c r="R88" s="33">
        <f>Q88*0.4</f>
        <v>58127653839200</v>
      </c>
      <c r="S88">
        <f t="shared" si="18"/>
        <v>58127653839200</v>
      </c>
      <c r="T88" s="36">
        <f t="shared" si="19"/>
        <v>5812.7653839200002</v>
      </c>
      <c r="V88">
        <v>1250</v>
      </c>
    </row>
    <row r="89" spans="4:22" x14ac:dyDescent="0.3">
      <c r="D89">
        <v>1000</v>
      </c>
      <c r="E89" s="19">
        <v>0.6</v>
      </c>
      <c r="F89">
        <v>550</v>
      </c>
      <c r="G89">
        <v>500</v>
      </c>
      <c r="H89" s="32">
        <f t="shared" si="20"/>
        <v>33567555319600</v>
      </c>
      <c r="I89" s="33">
        <f t="shared" si="14"/>
        <v>13427022127840</v>
      </c>
      <c r="J89">
        <f t="shared" si="15"/>
        <v>13427022127840</v>
      </c>
      <c r="K89" s="36">
        <f t="shared" si="16"/>
        <v>13427.02212784</v>
      </c>
      <c r="M89">
        <v>5000</v>
      </c>
      <c r="N89" s="19">
        <v>0.3</v>
      </c>
      <c r="O89">
        <f t="shared" si="17"/>
        <v>1500</v>
      </c>
      <c r="P89">
        <f t="shared" si="21"/>
        <v>1250</v>
      </c>
      <c r="Q89" s="32">
        <f t="shared" si="22"/>
        <v>171569134598000</v>
      </c>
      <c r="R89" s="33">
        <f t="shared" ref="R89:R103" si="23">Q89*0.4</f>
        <v>68627653839200</v>
      </c>
      <c r="S89">
        <f t="shared" si="18"/>
        <v>68627653839200</v>
      </c>
      <c r="T89" s="36">
        <f t="shared" si="19"/>
        <v>6862.7653839200002</v>
      </c>
      <c r="V89">
        <v>1500</v>
      </c>
    </row>
    <row r="90" spans="4:22" x14ac:dyDescent="0.3">
      <c r="D90">
        <v>1000</v>
      </c>
      <c r="E90" s="19">
        <v>0.7</v>
      </c>
      <c r="F90">
        <v>650</v>
      </c>
      <c r="G90">
        <v>600</v>
      </c>
      <c r="H90" s="32">
        <f t="shared" si="20"/>
        <v>37567555319600</v>
      </c>
      <c r="I90" s="33">
        <f t="shared" si="14"/>
        <v>15027022127840</v>
      </c>
      <c r="J90">
        <f t="shared" si="15"/>
        <v>15027022127840</v>
      </c>
      <c r="K90" s="36">
        <f t="shared" si="16"/>
        <v>15027.02212784</v>
      </c>
      <c r="M90">
        <v>5000</v>
      </c>
      <c r="N90">
        <v>0.35</v>
      </c>
      <c r="O90">
        <f t="shared" si="17"/>
        <v>1750</v>
      </c>
      <c r="P90">
        <f t="shared" si="21"/>
        <v>1500</v>
      </c>
      <c r="Q90" s="32">
        <f t="shared" si="22"/>
        <v>197819134598000</v>
      </c>
      <c r="R90" s="33">
        <f t="shared" si="23"/>
        <v>79127653839200</v>
      </c>
      <c r="S90">
        <f t="shared" si="18"/>
        <v>79127653839200</v>
      </c>
      <c r="T90" s="36">
        <f t="shared" si="19"/>
        <v>7912.7653839200002</v>
      </c>
      <c r="V90">
        <v>1750</v>
      </c>
    </row>
    <row r="91" spans="4:22" x14ac:dyDescent="0.3">
      <c r="D91">
        <v>1000</v>
      </c>
      <c r="E91" s="19">
        <v>0.8</v>
      </c>
      <c r="F91">
        <v>750</v>
      </c>
      <c r="G91">
        <v>700</v>
      </c>
      <c r="H91" s="32">
        <f t="shared" si="20"/>
        <v>41567555319600</v>
      </c>
      <c r="I91" s="33">
        <f t="shared" si="14"/>
        <v>16627022127840</v>
      </c>
      <c r="J91">
        <f t="shared" si="15"/>
        <v>16627022127840</v>
      </c>
      <c r="K91" s="36">
        <f t="shared" si="16"/>
        <v>16627.022127839999</v>
      </c>
      <c r="M91">
        <v>5000</v>
      </c>
      <c r="N91" s="19">
        <v>0.4</v>
      </c>
      <c r="O91">
        <f t="shared" si="17"/>
        <v>2000</v>
      </c>
      <c r="P91">
        <f t="shared" si="21"/>
        <v>1750</v>
      </c>
      <c r="Q91" s="32">
        <f t="shared" si="22"/>
        <v>224069134598000</v>
      </c>
      <c r="R91" s="33">
        <f t="shared" si="23"/>
        <v>89627653839200</v>
      </c>
      <c r="S91">
        <f t="shared" si="18"/>
        <v>89627653839200</v>
      </c>
      <c r="T91" s="36">
        <f t="shared" si="19"/>
        <v>8962.7653839199993</v>
      </c>
      <c r="U91" t="s">
        <v>127</v>
      </c>
      <c r="V91">
        <v>2000</v>
      </c>
    </row>
    <row r="92" spans="4:22" x14ac:dyDescent="0.3">
      <c r="D92">
        <v>1000</v>
      </c>
      <c r="E92" s="19">
        <v>0.9</v>
      </c>
      <c r="F92">
        <v>850</v>
      </c>
      <c r="G92">
        <v>800</v>
      </c>
      <c r="H92" s="32">
        <f t="shared" si="20"/>
        <v>45567555319600</v>
      </c>
      <c r="I92" s="33">
        <f t="shared" si="14"/>
        <v>18227022127840</v>
      </c>
      <c r="J92">
        <f t="shared" si="15"/>
        <v>18227022127840</v>
      </c>
      <c r="K92" s="36">
        <f t="shared" si="16"/>
        <v>18227.022127839999</v>
      </c>
      <c r="M92">
        <v>5000</v>
      </c>
      <c r="N92">
        <v>0.45</v>
      </c>
      <c r="O92">
        <f t="shared" si="17"/>
        <v>2250</v>
      </c>
      <c r="P92">
        <f t="shared" si="21"/>
        <v>2000</v>
      </c>
      <c r="Q92" s="32">
        <f t="shared" si="22"/>
        <v>250319134598000</v>
      </c>
      <c r="R92" s="33">
        <f t="shared" si="23"/>
        <v>100127653839200</v>
      </c>
      <c r="S92">
        <f t="shared" si="18"/>
        <v>100127653839200</v>
      </c>
      <c r="T92" s="36">
        <f t="shared" si="19"/>
        <v>10012.765383919999</v>
      </c>
      <c r="V92">
        <v>2250</v>
      </c>
    </row>
    <row r="93" spans="4:22" x14ac:dyDescent="0.3">
      <c r="D93">
        <v>1000</v>
      </c>
      <c r="E93" s="19">
        <v>1</v>
      </c>
      <c r="F93">
        <v>950</v>
      </c>
      <c r="G93">
        <v>900</v>
      </c>
      <c r="H93" s="32">
        <f t="shared" si="20"/>
        <v>49567555319600</v>
      </c>
      <c r="I93" s="33">
        <f t="shared" si="14"/>
        <v>19827022127840</v>
      </c>
      <c r="J93">
        <f t="shared" si="15"/>
        <v>19827022127840</v>
      </c>
      <c r="K93" s="36">
        <f t="shared" si="16"/>
        <v>19827.022127839999</v>
      </c>
      <c r="M93">
        <v>5000</v>
      </c>
      <c r="N93" s="19">
        <v>0.5</v>
      </c>
      <c r="O93">
        <f t="shared" si="17"/>
        <v>2500</v>
      </c>
      <c r="P93">
        <f t="shared" si="21"/>
        <v>2250</v>
      </c>
      <c r="Q93" s="32">
        <f t="shared" si="22"/>
        <v>276569134598000</v>
      </c>
      <c r="R93" s="33">
        <f t="shared" si="23"/>
        <v>110627653839200</v>
      </c>
      <c r="S93">
        <f t="shared" si="18"/>
        <v>110627653839200</v>
      </c>
      <c r="T93" s="36">
        <f t="shared" si="19"/>
        <v>11062.765383919999</v>
      </c>
      <c r="V93">
        <v>2500</v>
      </c>
    </row>
    <row r="94" spans="4:22" x14ac:dyDescent="0.3">
      <c r="K94" s="1"/>
      <c r="M94">
        <v>5000</v>
      </c>
      <c r="N94">
        <v>0.55000000000000004</v>
      </c>
      <c r="O94">
        <f t="shared" si="17"/>
        <v>2750</v>
      </c>
      <c r="P94">
        <f t="shared" si="21"/>
        <v>2500</v>
      </c>
      <c r="Q94" s="32">
        <f t="shared" si="22"/>
        <v>302819134598000</v>
      </c>
      <c r="R94" s="33">
        <f t="shared" si="23"/>
        <v>121127653839200</v>
      </c>
      <c r="S94">
        <f t="shared" si="18"/>
        <v>121127653839200</v>
      </c>
      <c r="T94" s="36">
        <f t="shared" si="19"/>
        <v>12112.765383919999</v>
      </c>
      <c r="V94">
        <v>2750</v>
      </c>
    </row>
    <row r="95" spans="4:22" x14ac:dyDescent="0.3">
      <c r="E95" s="19"/>
      <c r="K95" s="1"/>
      <c r="M95">
        <v>5000</v>
      </c>
      <c r="N95" s="19">
        <v>0.6</v>
      </c>
      <c r="O95">
        <f t="shared" si="17"/>
        <v>3000</v>
      </c>
      <c r="P95">
        <f t="shared" si="21"/>
        <v>2750</v>
      </c>
      <c r="Q95" s="32">
        <f t="shared" si="22"/>
        <v>329069134598000</v>
      </c>
      <c r="R95" s="33">
        <f t="shared" si="23"/>
        <v>131627653839200</v>
      </c>
      <c r="S95">
        <f t="shared" si="18"/>
        <v>131627653839200</v>
      </c>
      <c r="T95" s="36">
        <f t="shared" si="19"/>
        <v>13162.765383919999</v>
      </c>
      <c r="U95" t="s">
        <v>127</v>
      </c>
      <c r="V95">
        <v>3000</v>
      </c>
    </row>
    <row r="96" spans="4:22" x14ac:dyDescent="0.3">
      <c r="K96" s="1"/>
      <c r="M96">
        <v>5000</v>
      </c>
      <c r="N96">
        <v>0.65</v>
      </c>
      <c r="O96">
        <f t="shared" si="17"/>
        <v>3250</v>
      </c>
      <c r="P96">
        <f t="shared" si="21"/>
        <v>3000</v>
      </c>
      <c r="Q96" s="32">
        <f t="shared" si="22"/>
        <v>355319134598000</v>
      </c>
      <c r="R96" s="33">
        <f t="shared" si="23"/>
        <v>142127653839200</v>
      </c>
      <c r="S96">
        <f t="shared" si="18"/>
        <v>142127653839200</v>
      </c>
      <c r="T96" s="36">
        <f t="shared" si="19"/>
        <v>14212.765383919999</v>
      </c>
      <c r="V96">
        <v>3250</v>
      </c>
    </row>
    <row r="97" spans="5:22" x14ac:dyDescent="0.3">
      <c r="E97" s="19"/>
      <c r="K97" s="1"/>
      <c r="M97">
        <v>5000</v>
      </c>
      <c r="N97" s="19">
        <v>0.7</v>
      </c>
      <c r="O97">
        <f t="shared" si="17"/>
        <v>3500</v>
      </c>
      <c r="P97">
        <f t="shared" si="21"/>
        <v>3250</v>
      </c>
      <c r="Q97" s="32">
        <f t="shared" si="22"/>
        <v>381569134598000</v>
      </c>
      <c r="R97" s="33">
        <f t="shared" si="23"/>
        <v>152627653839200</v>
      </c>
      <c r="S97">
        <f t="shared" si="18"/>
        <v>152627653839200</v>
      </c>
      <c r="T97" s="36">
        <f t="shared" si="19"/>
        <v>15262.765383919999</v>
      </c>
      <c r="V97">
        <v>3500</v>
      </c>
    </row>
    <row r="98" spans="5:22" x14ac:dyDescent="0.3">
      <c r="K98" s="1"/>
      <c r="M98">
        <v>5000</v>
      </c>
      <c r="N98">
        <v>0.75</v>
      </c>
      <c r="O98">
        <f t="shared" si="17"/>
        <v>3750</v>
      </c>
      <c r="P98">
        <f t="shared" si="21"/>
        <v>3500</v>
      </c>
      <c r="Q98" s="32">
        <f t="shared" si="22"/>
        <v>407819134598000</v>
      </c>
      <c r="R98" s="33">
        <f t="shared" si="23"/>
        <v>163127653839200</v>
      </c>
      <c r="S98">
        <f t="shared" si="18"/>
        <v>163127653839200</v>
      </c>
      <c r="T98" s="36">
        <f t="shared" si="19"/>
        <v>16312.765383919999</v>
      </c>
      <c r="V98">
        <v>3750</v>
      </c>
    </row>
    <row r="99" spans="5:22" x14ac:dyDescent="0.3">
      <c r="E99" s="19"/>
      <c r="K99" s="1"/>
      <c r="M99">
        <v>5000</v>
      </c>
      <c r="N99" s="19">
        <v>0.8</v>
      </c>
      <c r="O99">
        <f t="shared" si="17"/>
        <v>4000</v>
      </c>
      <c r="P99">
        <f t="shared" si="21"/>
        <v>3750</v>
      </c>
      <c r="Q99" s="32">
        <f t="shared" si="22"/>
        <v>434069134598000</v>
      </c>
      <c r="R99" s="33">
        <f t="shared" si="23"/>
        <v>173627653839200</v>
      </c>
      <c r="S99">
        <f t="shared" si="18"/>
        <v>173627653839200</v>
      </c>
      <c r="T99" s="36">
        <f t="shared" si="19"/>
        <v>17362.765383919999</v>
      </c>
      <c r="U99" t="s">
        <v>127</v>
      </c>
      <c r="V99">
        <v>4000</v>
      </c>
    </row>
    <row r="100" spans="5:22" x14ac:dyDescent="0.3">
      <c r="K100" s="1"/>
      <c r="M100">
        <v>5000</v>
      </c>
      <c r="N100">
        <v>0.85</v>
      </c>
      <c r="O100">
        <f t="shared" si="17"/>
        <v>4250</v>
      </c>
      <c r="P100">
        <f t="shared" si="21"/>
        <v>4000</v>
      </c>
      <c r="Q100" s="32">
        <f t="shared" si="22"/>
        <v>460319134598000</v>
      </c>
      <c r="R100" s="33">
        <f t="shared" si="23"/>
        <v>184127653839200</v>
      </c>
      <c r="S100">
        <f t="shared" si="18"/>
        <v>184127653839200</v>
      </c>
      <c r="T100" s="36">
        <f t="shared" si="19"/>
        <v>18412.765383919999</v>
      </c>
      <c r="V100">
        <v>4250</v>
      </c>
    </row>
    <row r="101" spans="5:22" x14ac:dyDescent="0.3">
      <c r="E101" s="19"/>
      <c r="K101" s="1"/>
      <c r="M101">
        <v>5000</v>
      </c>
      <c r="N101" s="19">
        <v>0.9</v>
      </c>
      <c r="O101">
        <f t="shared" si="17"/>
        <v>4500</v>
      </c>
      <c r="P101">
        <f t="shared" si="21"/>
        <v>4250</v>
      </c>
      <c r="Q101" s="32">
        <f t="shared" si="22"/>
        <v>486569134598000</v>
      </c>
      <c r="R101" s="33">
        <f t="shared" si="23"/>
        <v>194627653839200</v>
      </c>
      <c r="S101">
        <f t="shared" si="18"/>
        <v>194627653839200</v>
      </c>
      <c r="T101" s="36">
        <f t="shared" si="19"/>
        <v>19462.765383919999</v>
      </c>
      <c r="V101">
        <v>4500</v>
      </c>
    </row>
    <row r="102" spans="5:22" x14ac:dyDescent="0.3">
      <c r="K102" s="1"/>
      <c r="M102">
        <v>5000</v>
      </c>
      <c r="N102">
        <v>0.95</v>
      </c>
      <c r="O102">
        <f t="shared" si="17"/>
        <v>4750</v>
      </c>
      <c r="P102">
        <f t="shared" si="21"/>
        <v>4500</v>
      </c>
      <c r="Q102" s="32">
        <f t="shared" si="22"/>
        <v>512819134598000</v>
      </c>
      <c r="R102" s="33">
        <f t="shared" si="23"/>
        <v>205127653839200</v>
      </c>
      <c r="S102">
        <f t="shared" si="18"/>
        <v>205127653839200</v>
      </c>
      <c r="T102" s="36">
        <f t="shared" si="19"/>
        <v>20512.765383919999</v>
      </c>
      <c r="V102">
        <v>4750</v>
      </c>
    </row>
    <row r="103" spans="5:22" x14ac:dyDescent="0.3">
      <c r="E103" s="19"/>
      <c r="K103" s="1"/>
      <c r="M103">
        <v>5000</v>
      </c>
      <c r="N103" s="19">
        <v>1</v>
      </c>
      <c r="O103">
        <f t="shared" si="17"/>
        <v>5000</v>
      </c>
      <c r="P103">
        <f t="shared" si="21"/>
        <v>4750</v>
      </c>
      <c r="Q103" s="32">
        <f t="shared" si="22"/>
        <v>539069134598000</v>
      </c>
      <c r="R103" s="33">
        <f t="shared" si="23"/>
        <v>215627653839200</v>
      </c>
      <c r="S103">
        <f t="shared" si="18"/>
        <v>215627653839200</v>
      </c>
      <c r="T103" s="36">
        <f t="shared" si="19"/>
        <v>21562.765383919999</v>
      </c>
      <c r="V103">
        <v>5000</v>
      </c>
    </row>
    <row r="108" spans="5:22" x14ac:dyDescent="0.3">
      <c r="G108">
        <v>100</v>
      </c>
      <c r="H108">
        <v>150</v>
      </c>
      <c r="I108" t="s">
        <v>143</v>
      </c>
      <c r="J108">
        <v>1000000000000</v>
      </c>
      <c r="K108">
        <v>992923985625</v>
      </c>
      <c r="L108">
        <f>J108-K108</f>
        <v>7076014375</v>
      </c>
      <c r="M108" s="1">
        <f>L108/10^7</f>
        <v>707.60143749999997</v>
      </c>
      <c r="N108">
        <v>710</v>
      </c>
      <c r="O108">
        <v>7</v>
      </c>
    </row>
    <row r="109" spans="5:22" x14ac:dyDescent="0.3">
      <c r="G109">
        <v>200</v>
      </c>
      <c r="H109">
        <v>250</v>
      </c>
      <c r="I109" t="s">
        <v>143</v>
      </c>
      <c r="J109">
        <v>1000000000000</v>
      </c>
      <c r="K109">
        <v>989013128208</v>
      </c>
      <c r="L109">
        <f t="shared" ref="L109:L127" si="24">J109-K109</f>
        <v>10986871792</v>
      </c>
      <c r="M109" s="1">
        <f t="shared" ref="M109:M127" si="25">L109/10^7</f>
        <v>1098.6871791999999</v>
      </c>
      <c r="N109">
        <v>1100</v>
      </c>
      <c r="O109">
        <v>7</v>
      </c>
    </row>
    <row r="110" spans="5:22" x14ac:dyDescent="0.3">
      <c r="G110">
        <v>300</v>
      </c>
      <c r="H110">
        <v>350</v>
      </c>
      <c r="I110" t="s">
        <v>143</v>
      </c>
      <c r="J110">
        <v>1000000000000</v>
      </c>
      <c r="K110">
        <v>985102270792</v>
      </c>
      <c r="L110">
        <f t="shared" si="24"/>
        <v>14897729208</v>
      </c>
      <c r="M110" s="1">
        <f t="shared" si="25"/>
        <v>1489.7729208000001</v>
      </c>
      <c r="N110">
        <v>1500</v>
      </c>
      <c r="O110">
        <v>7</v>
      </c>
    </row>
    <row r="111" spans="5:22" x14ac:dyDescent="0.3">
      <c r="G111">
        <v>400</v>
      </c>
      <c r="H111">
        <v>450</v>
      </c>
      <c r="I111" t="s">
        <v>143</v>
      </c>
      <c r="J111">
        <v>1000000000000</v>
      </c>
      <c r="K111">
        <v>981191413971</v>
      </c>
      <c r="L111">
        <f t="shared" si="24"/>
        <v>18808586029</v>
      </c>
      <c r="M111" s="1">
        <f t="shared" si="25"/>
        <v>1880.8586029000001</v>
      </c>
      <c r="N111">
        <v>1900</v>
      </c>
      <c r="O111">
        <v>7</v>
      </c>
    </row>
    <row r="112" spans="5:22" x14ac:dyDescent="0.3">
      <c r="G112">
        <v>500</v>
      </c>
      <c r="H112">
        <v>550</v>
      </c>
      <c r="I112" t="s">
        <v>143</v>
      </c>
      <c r="J112">
        <v>1000000000000</v>
      </c>
      <c r="K112">
        <v>977280556851</v>
      </c>
      <c r="L112">
        <f t="shared" si="24"/>
        <v>22719443149</v>
      </c>
      <c r="M112" s="1">
        <f t="shared" si="25"/>
        <v>2271.9443148999999</v>
      </c>
      <c r="N112">
        <v>2200</v>
      </c>
      <c r="O112">
        <v>7</v>
      </c>
    </row>
    <row r="113" spans="7:15" x14ac:dyDescent="0.3">
      <c r="G113">
        <v>600</v>
      </c>
      <c r="H113">
        <v>650</v>
      </c>
      <c r="I113" t="s">
        <v>143</v>
      </c>
      <c r="J113">
        <v>1000000000000</v>
      </c>
      <c r="K113">
        <v>973369699435</v>
      </c>
      <c r="L113">
        <f t="shared" si="24"/>
        <v>26630300565</v>
      </c>
      <c r="M113" s="1">
        <f t="shared" si="25"/>
        <v>2663.0300564999998</v>
      </c>
      <c r="N113">
        <v>2650</v>
      </c>
      <c r="O113">
        <v>7</v>
      </c>
    </row>
    <row r="114" spans="7:15" x14ac:dyDescent="0.3">
      <c r="G114">
        <v>700</v>
      </c>
      <c r="H114">
        <v>750</v>
      </c>
      <c r="I114" t="s">
        <v>143</v>
      </c>
      <c r="J114">
        <v>1000000000000</v>
      </c>
      <c r="K114">
        <v>969458842019</v>
      </c>
      <c r="L114">
        <f t="shared" si="24"/>
        <v>30541157981</v>
      </c>
      <c r="M114" s="1">
        <f t="shared" si="25"/>
        <v>3054.1157981000001</v>
      </c>
      <c r="N114">
        <v>3000</v>
      </c>
      <c r="O114">
        <v>7</v>
      </c>
    </row>
    <row r="115" spans="7:15" x14ac:dyDescent="0.3">
      <c r="G115">
        <v>800</v>
      </c>
      <c r="H115">
        <v>850</v>
      </c>
      <c r="I115" t="s">
        <v>143</v>
      </c>
      <c r="J115">
        <v>1000000000000</v>
      </c>
      <c r="K115">
        <v>965547984603</v>
      </c>
      <c r="L115">
        <f t="shared" si="24"/>
        <v>34452015397</v>
      </c>
      <c r="M115" s="1">
        <f t="shared" si="25"/>
        <v>3445.2015397</v>
      </c>
      <c r="N115">
        <v>3500</v>
      </c>
      <c r="O115">
        <v>7</v>
      </c>
    </row>
    <row r="116" spans="7:15" x14ac:dyDescent="0.3">
      <c r="G116">
        <v>900</v>
      </c>
      <c r="H116">
        <v>950</v>
      </c>
      <c r="I116" t="s">
        <v>143</v>
      </c>
      <c r="J116">
        <v>1000000000000</v>
      </c>
      <c r="K116">
        <v>961637126594</v>
      </c>
      <c r="L116">
        <f t="shared" si="24"/>
        <v>38362873406</v>
      </c>
      <c r="M116" s="1">
        <f t="shared" si="25"/>
        <v>3836.2873405999999</v>
      </c>
      <c r="N116">
        <v>3900</v>
      </c>
      <c r="O116">
        <v>7</v>
      </c>
    </row>
    <row r="117" spans="7:15" x14ac:dyDescent="0.3">
      <c r="G117">
        <v>1000</v>
      </c>
      <c r="H117">
        <v>1050</v>
      </c>
      <c r="I117" t="s">
        <v>143</v>
      </c>
      <c r="J117">
        <v>1000000000000</v>
      </c>
      <c r="L117">
        <f t="shared" si="24"/>
        <v>1000000000000</v>
      </c>
      <c r="M117" s="1">
        <f t="shared" si="25"/>
        <v>100000</v>
      </c>
      <c r="O117">
        <v>7</v>
      </c>
    </row>
    <row r="118" spans="7:15" x14ac:dyDescent="0.3">
      <c r="L118">
        <f t="shared" si="24"/>
        <v>0</v>
      </c>
      <c r="M118" s="1">
        <f t="shared" si="25"/>
        <v>0</v>
      </c>
      <c r="O118">
        <v>7</v>
      </c>
    </row>
    <row r="119" spans="7:15" x14ac:dyDescent="0.3">
      <c r="G119">
        <v>500</v>
      </c>
      <c r="H119">
        <f>G119+250</f>
        <v>750</v>
      </c>
      <c r="I119" t="s">
        <v>144</v>
      </c>
      <c r="J119">
        <v>1000000000000</v>
      </c>
      <c r="K119">
        <v>981771656806</v>
      </c>
      <c r="L119">
        <f t="shared" si="24"/>
        <v>18228343194</v>
      </c>
      <c r="M119" s="1">
        <f t="shared" si="25"/>
        <v>1822.8343193999999</v>
      </c>
      <c r="N119">
        <v>1800</v>
      </c>
      <c r="O119">
        <v>7</v>
      </c>
    </row>
    <row r="120" spans="7:15" x14ac:dyDescent="0.3">
      <c r="G120">
        <v>1000</v>
      </c>
      <c r="H120">
        <f t="shared" ref="H120:H127" si="26">G120+250</f>
        <v>1250</v>
      </c>
      <c r="I120" t="s">
        <v>144</v>
      </c>
      <c r="J120">
        <v>1000000000000</v>
      </c>
      <c r="K120">
        <v>972836051611</v>
      </c>
      <c r="L120">
        <f t="shared" si="24"/>
        <v>27163948389</v>
      </c>
      <c r="M120" s="1">
        <f t="shared" si="25"/>
        <v>2716.3948389000002</v>
      </c>
      <c r="N120">
        <v>2700</v>
      </c>
      <c r="O120">
        <v>7</v>
      </c>
    </row>
    <row r="121" spans="7:15" x14ac:dyDescent="0.3">
      <c r="G121">
        <v>1500</v>
      </c>
      <c r="H121">
        <f t="shared" si="26"/>
        <v>1750</v>
      </c>
      <c r="I121" t="s">
        <v>144</v>
      </c>
      <c r="J121">
        <v>1000000000000</v>
      </c>
      <c r="K121">
        <v>963900447010</v>
      </c>
      <c r="L121">
        <f t="shared" si="24"/>
        <v>36099552990</v>
      </c>
      <c r="M121" s="1">
        <f t="shared" si="25"/>
        <v>3609.9552990000002</v>
      </c>
      <c r="N121">
        <v>3600</v>
      </c>
      <c r="O121">
        <v>7</v>
      </c>
    </row>
    <row r="122" spans="7:15" x14ac:dyDescent="0.3">
      <c r="G122">
        <v>2000</v>
      </c>
      <c r="H122">
        <f t="shared" si="26"/>
        <v>2250</v>
      </c>
      <c r="I122" t="s">
        <v>144</v>
      </c>
      <c r="J122">
        <v>1000000000000</v>
      </c>
      <c r="K122">
        <v>954964841221</v>
      </c>
      <c r="L122">
        <f t="shared" si="24"/>
        <v>45035158779</v>
      </c>
      <c r="M122" s="1">
        <f t="shared" si="25"/>
        <v>4503.5158779000003</v>
      </c>
      <c r="N122">
        <v>4500</v>
      </c>
      <c r="O122">
        <v>7</v>
      </c>
    </row>
    <row r="123" spans="7:15" x14ac:dyDescent="0.3">
      <c r="G123">
        <v>2500</v>
      </c>
      <c r="H123">
        <f t="shared" si="26"/>
        <v>2750</v>
      </c>
      <c r="I123" t="s">
        <v>144</v>
      </c>
      <c r="J123">
        <v>1000000000000</v>
      </c>
      <c r="K123">
        <v>946029237809</v>
      </c>
      <c r="L123">
        <f t="shared" si="24"/>
        <v>53970762191</v>
      </c>
      <c r="M123" s="1">
        <f t="shared" si="25"/>
        <v>5397.0762191000003</v>
      </c>
      <c r="N123">
        <v>5400</v>
      </c>
      <c r="O123">
        <v>7</v>
      </c>
    </row>
    <row r="124" spans="7:15" x14ac:dyDescent="0.3">
      <c r="G124">
        <v>3000</v>
      </c>
      <c r="H124">
        <f t="shared" si="26"/>
        <v>3250</v>
      </c>
      <c r="I124" t="s">
        <v>144</v>
      </c>
      <c r="J124">
        <v>1000000000000</v>
      </c>
      <c r="K124">
        <v>937093633207</v>
      </c>
      <c r="L124">
        <f t="shared" si="24"/>
        <v>62906366793</v>
      </c>
      <c r="M124" s="1">
        <f t="shared" si="25"/>
        <v>6290.6366792999997</v>
      </c>
      <c r="N124">
        <v>6300</v>
      </c>
      <c r="O124">
        <v>7</v>
      </c>
    </row>
    <row r="125" spans="7:15" x14ac:dyDescent="0.3">
      <c r="G125">
        <v>3500</v>
      </c>
      <c r="H125">
        <f t="shared" si="26"/>
        <v>3750</v>
      </c>
      <c r="I125" t="s">
        <v>144</v>
      </c>
      <c r="J125">
        <v>1000000000000</v>
      </c>
      <c r="K125">
        <v>928158026230</v>
      </c>
      <c r="L125">
        <f t="shared" si="24"/>
        <v>71841973770</v>
      </c>
      <c r="M125" s="1">
        <f t="shared" si="25"/>
        <v>7184.1973770000004</v>
      </c>
      <c r="N125">
        <v>7200</v>
      </c>
      <c r="O125">
        <v>7</v>
      </c>
    </row>
    <row r="126" spans="7:15" x14ac:dyDescent="0.3">
      <c r="G126">
        <v>4000</v>
      </c>
      <c r="H126">
        <f t="shared" si="26"/>
        <v>4250</v>
      </c>
      <c r="I126" t="s">
        <v>144</v>
      </c>
      <c r="J126">
        <v>1000000000000</v>
      </c>
      <c r="K126">
        <v>919222421630</v>
      </c>
      <c r="L126">
        <f t="shared" si="24"/>
        <v>80777578370</v>
      </c>
      <c r="M126" s="1">
        <f t="shared" si="25"/>
        <v>8077.7578370000001</v>
      </c>
      <c r="N126">
        <v>8000</v>
      </c>
      <c r="O126">
        <v>7</v>
      </c>
    </row>
    <row r="127" spans="7:15" x14ac:dyDescent="0.3">
      <c r="G127">
        <v>4500</v>
      </c>
      <c r="H127">
        <f t="shared" si="26"/>
        <v>4750</v>
      </c>
      <c r="I127" t="s">
        <v>144</v>
      </c>
      <c r="J127">
        <v>1000000000000</v>
      </c>
      <c r="K127">
        <v>910286814653</v>
      </c>
      <c r="L127">
        <f t="shared" si="24"/>
        <v>89713185347</v>
      </c>
      <c r="M127" s="1">
        <f t="shared" si="25"/>
        <v>8971.3185346999999</v>
      </c>
      <c r="N127">
        <v>9000</v>
      </c>
      <c r="O127">
        <v>7</v>
      </c>
    </row>
  </sheetData>
  <mergeCells count="10">
    <mergeCell ref="F80:I80"/>
    <mergeCell ref="M80:Q80"/>
    <mergeCell ref="F53:I53"/>
    <mergeCell ref="M53:Q53"/>
    <mergeCell ref="N1:T1"/>
    <mergeCell ref="N11:T11"/>
    <mergeCell ref="F18:G18"/>
    <mergeCell ref="F19:G19"/>
    <mergeCell ref="F21:G21"/>
    <mergeCell ref="F22:G22"/>
  </mergeCells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3CF7C-32F3-41FD-BECE-5C3479E735DA}">
  <dimension ref="A1:W1667"/>
  <sheetViews>
    <sheetView tabSelected="1" topLeftCell="A4" workbookViewId="0">
      <selection activeCell="Q20" sqref="Q20"/>
    </sheetView>
  </sheetViews>
  <sheetFormatPr defaultRowHeight="16.5" x14ac:dyDescent="0.3"/>
  <sheetData>
    <row r="1" spans="1:22" x14ac:dyDescent="0.3">
      <c r="A1">
        <v>1</v>
      </c>
      <c r="B1">
        <v>100</v>
      </c>
    </row>
    <row r="2" spans="1:22" x14ac:dyDescent="0.3">
      <c r="A2">
        <v>2</v>
      </c>
      <c r="B2">
        <v>200</v>
      </c>
    </row>
    <row r="3" spans="1:22" x14ac:dyDescent="0.3">
      <c r="A3">
        <v>3</v>
      </c>
      <c r="B3">
        <v>300</v>
      </c>
    </row>
    <row r="4" spans="1:22" x14ac:dyDescent="0.3">
      <c r="A4">
        <v>4</v>
      </c>
      <c r="B4">
        <v>400</v>
      </c>
    </row>
    <row r="5" spans="1:22" x14ac:dyDescent="0.3">
      <c r="A5">
        <v>5</v>
      </c>
      <c r="B5">
        <v>500</v>
      </c>
    </row>
    <row r="6" spans="1:22" x14ac:dyDescent="0.3">
      <c r="Q6" t="s">
        <v>145</v>
      </c>
      <c r="R6">
        <v>5</v>
      </c>
    </row>
    <row r="7" spans="1:22" x14ac:dyDescent="0.3">
      <c r="Q7" t="s">
        <v>146</v>
      </c>
      <c r="R7">
        <v>1</v>
      </c>
    </row>
    <row r="8" spans="1:22" x14ac:dyDescent="0.3">
      <c r="Q8" t="s">
        <v>147</v>
      </c>
      <c r="R8">
        <v>1</v>
      </c>
    </row>
    <row r="12" spans="1:22" x14ac:dyDescent="0.3">
      <c r="R12">
        <v>700</v>
      </c>
      <c r="S12">
        <v>800</v>
      </c>
      <c r="T12">
        <v>900</v>
      </c>
      <c r="U12">
        <v>1000</v>
      </c>
      <c r="V12">
        <v>1100</v>
      </c>
    </row>
    <row r="13" spans="1:22" x14ac:dyDescent="0.3">
      <c r="L13" t="s">
        <v>148</v>
      </c>
      <c r="M13" t="s">
        <v>149</v>
      </c>
      <c r="N13" t="s">
        <v>150</v>
      </c>
      <c r="O13" t="s">
        <v>151</v>
      </c>
      <c r="R13" t="s">
        <v>152</v>
      </c>
      <c r="S13" t="s">
        <v>153</v>
      </c>
      <c r="T13" t="s">
        <v>154</v>
      </c>
      <c r="U13" t="s">
        <v>155</v>
      </c>
      <c r="V13" t="s">
        <v>156</v>
      </c>
    </row>
    <row r="14" spans="1:22" x14ac:dyDescent="0.3">
      <c r="A14" t="s">
        <v>151</v>
      </c>
      <c r="B14" t="s">
        <v>148</v>
      </c>
      <c r="C14" t="s">
        <v>149</v>
      </c>
      <c r="D14" t="s">
        <v>150</v>
      </c>
      <c r="K14" s="42">
        <v>0</v>
      </c>
      <c r="L14" s="43">
        <v>1000</v>
      </c>
      <c r="M14" s="10">
        <f>INDEX(C15:C1000, MATCH(L14, B15:B1000, 0))</f>
        <v>5</v>
      </c>
      <c r="N14" s="44">
        <f>INDEX(D15:D1000, MATCH(L14, B15:B1000, 0))</f>
        <v>5</v>
      </c>
      <c r="O14">
        <f>INDEX(A15:A1000, MATCH(L14, B15:B1000, 0))</f>
        <v>0</v>
      </c>
      <c r="Q14" s="43" t="s">
        <v>157</v>
      </c>
      <c r="R14" s="43">
        <v>100</v>
      </c>
      <c r="S14" s="43">
        <v>150</v>
      </c>
      <c r="T14" s="43">
        <v>200</v>
      </c>
      <c r="U14" s="43">
        <v>250</v>
      </c>
      <c r="V14" s="43">
        <v>300</v>
      </c>
    </row>
    <row r="15" spans="1:22" x14ac:dyDescent="0.3">
      <c r="A15" s="42">
        <v>0</v>
      </c>
      <c r="B15" s="43">
        <v>1000</v>
      </c>
      <c r="C15" s="10">
        <f>R6</f>
        <v>5</v>
      </c>
      <c r="D15" s="45">
        <f>C15</f>
        <v>5</v>
      </c>
      <c r="K15" s="42">
        <v>1</v>
      </c>
      <c r="L15" s="46">
        <f>INT( L14*1.076)</f>
        <v>1076</v>
      </c>
      <c r="M15" s="10">
        <f t="shared" ref="M15:M36" si="0">INDEX(C16:C1001, MATCH(L15, B16:B1001, 0))</f>
        <v>81</v>
      </c>
      <c r="N15" s="44">
        <f t="shared" ref="N15:N36" si="1">INDEX(D16:D1001, MATCH(L15, B16:B1001, 0))</f>
        <v>3311</v>
      </c>
      <c r="O15">
        <f t="shared" ref="O15:O36" si="2">INDEX(A16:A1001, MATCH(L15, B16:B1001, 0))</f>
        <v>76</v>
      </c>
      <c r="Q15" t="s">
        <v>158</v>
      </c>
    </row>
    <row r="16" spans="1:22" x14ac:dyDescent="0.3">
      <c r="A16" s="42">
        <v>1</v>
      </c>
      <c r="B16" s="43">
        <f>B15+R$8</f>
        <v>1001</v>
      </c>
      <c r="C16" s="10">
        <f>C15+R$7</f>
        <v>6</v>
      </c>
      <c r="D16" s="45">
        <f>D15+C16</f>
        <v>11</v>
      </c>
      <c r="K16" s="42">
        <v>2</v>
      </c>
      <c r="L16" s="46">
        <f t="shared" ref="L16:L36" si="3">INT( L15*1.076)</f>
        <v>1157</v>
      </c>
      <c r="M16" s="10">
        <f t="shared" si="0"/>
        <v>162</v>
      </c>
      <c r="N16" s="44">
        <f t="shared" si="1"/>
        <v>13193</v>
      </c>
      <c r="O16">
        <f t="shared" si="2"/>
        <v>157</v>
      </c>
      <c r="Q16" s="42">
        <v>1</v>
      </c>
      <c r="R16" s="2">
        <f>R$14*$Q16</f>
        <v>100</v>
      </c>
      <c r="S16" s="2">
        <f>S$14*$Q16</f>
        <v>150</v>
      </c>
      <c r="T16" s="2">
        <f>T$14*$Q16</f>
        <v>200</v>
      </c>
      <c r="U16" s="2">
        <f>U$14*$Q16</f>
        <v>250</v>
      </c>
      <c r="V16" s="2">
        <f>V$14*$Q16</f>
        <v>300</v>
      </c>
    </row>
    <row r="17" spans="1:23" x14ac:dyDescent="0.3">
      <c r="A17" s="42">
        <v>2</v>
      </c>
      <c r="B17" s="43">
        <f>B16+R$8</f>
        <v>1002</v>
      </c>
      <c r="C17" s="10">
        <f>C16+R$7</f>
        <v>7</v>
      </c>
      <c r="D17" s="45">
        <f t="shared" ref="D17:D80" si="4">D16+C17</f>
        <v>18</v>
      </c>
      <c r="K17" s="42">
        <v>3</v>
      </c>
      <c r="L17" s="46">
        <f t="shared" si="3"/>
        <v>1244</v>
      </c>
      <c r="M17" s="10">
        <f t="shared" si="0"/>
        <v>249</v>
      </c>
      <c r="N17" s="44">
        <f t="shared" si="1"/>
        <v>31115</v>
      </c>
      <c r="O17">
        <f t="shared" si="2"/>
        <v>244</v>
      </c>
      <c r="Q17" s="42">
        <v>10</v>
      </c>
      <c r="R17" s="2">
        <f>R$14*$Q17</f>
        <v>1000</v>
      </c>
      <c r="S17" s="2">
        <f>S$14*$Q17</f>
        <v>1500</v>
      </c>
      <c r="T17" s="2">
        <f>T$14*$Q17</f>
        <v>2000</v>
      </c>
      <c r="U17" s="2">
        <f>U$14*$Q17</f>
        <v>2500</v>
      </c>
      <c r="V17" s="2">
        <f>V$14*$Q17</f>
        <v>3000</v>
      </c>
    </row>
    <row r="18" spans="1:23" x14ac:dyDescent="0.3">
      <c r="A18" s="42">
        <v>3</v>
      </c>
      <c r="B18" s="43">
        <f>B17+R$8</f>
        <v>1003</v>
      </c>
      <c r="C18" s="10">
        <f>C17+R$7</f>
        <v>8</v>
      </c>
      <c r="D18" s="45">
        <f t="shared" si="4"/>
        <v>26</v>
      </c>
      <c r="K18" s="42">
        <v>4</v>
      </c>
      <c r="L18" s="46">
        <f t="shared" si="3"/>
        <v>1338</v>
      </c>
      <c r="M18" s="10">
        <f t="shared" si="0"/>
        <v>343</v>
      </c>
      <c r="N18" s="44">
        <f t="shared" si="1"/>
        <v>58986</v>
      </c>
      <c r="O18">
        <f t="shared" si="2"/>
        <v>338</v>
      </c>
      <c r="Q18" s="42">
        <v>30</v>
      </c>
      <c r="R18" s="2">
        <f>R$14*$Q18</f>
        <v>3000</v>
      </c>
      <c r="S18" s="2">
        <f>S$14*$Q18</f>
        <v>4500</v>
      </c>
      <c r="T18" s="2">
        <f>T$14*$Q18</f>
        <v>6000</v>
      </c>
      <c r="U18" s="2">
        <f>U$14*$Q18</f>
        <v>7500</v>
      </c>
      <c r="V18" s="2">
        <f>V$14*$Q18</f>
        <v>9000</v>
      </c>
    </row>
    <row r="19" spans="1:23" x14ac:dyDescent="0.3">
      <c r="A19" s="42">
        <v>4</v>
      </c>
      <c r="B19" s="43">
        <f>B18+R$8</f>
        <v>1004</v>
      </c>
      <c r="C19" s="10">
        <f>C18+R$7</f>
        <v>9</v>
      </c>
      <c r="D19" s="45">
        <f t="shared" si="4"/>
        <v>35</v>
      </c>
      <c r="K19" s="42">
        <v>5</v>
      </c>
      <c r="L19" s="46">
        <f t="shared" si="3"/>
        <v>1439</v>
      </c>
      <c r="M19" s="10">
        <f t="shared" si="0"/>
        <v>444</v>
      </c>
      <c r="N19" s="44">
        <f t="shared" si="1"/>
        <v>98780</v>
      </c>
      <c r="O19">
        <f t="shared" si="2"/>
        <v>439</v>
      </c>
      <c r="Q19" s="42">
        <v>60</v>
      </c>
      <c r="R19" s="2">
        <f>R$14*$Q19</f>
        <v>6000</v>
      </c>
      <c r="S19" s="2">
        <f>S$14*$Q19</f>
        <v>9000</v>
      </c>
      <c r="T19" s="2">
        <f>T$14*$Q19</f>
        <v>12000</v>
      </c>
      <c r="U19" s="2">
        <f>U$14*$Q19</f>
        <v>15000</v>
      </c>
      <c r="V19" s="2">
        <f>V$14*$Q19</f>
        <v>18000</v>
      </c>
    </row>
    <row r="20" spans="1:23" x14ac:dyDescent="0.3">
      <c r="A20" s="42">
        <v>5</v>
      </c>
      <c r="B20" s="43">
        <f>B19+R$8</f>
        <v>1005</v>
      </c>
      <c r="C20" s="10">
        <f>C19+R$7</f>
        <v>10</v>
      </c>
      <c r="D20" s="45">
        <f t="shared" si="4"/>
        <v>45</v>
      </c>
      <c r="K20" s="42">
        <v>6</v>
      </c>
      <c r="L20" s="46">
        <f t="shared" si="3"/>
        <v>1548</v>
      </c>
      <c r="M20" s="10">
        <f t="shared" si="0"/>
        <v>553</v>
      </c>
      <c r="N20" s="44">
        <f t="shared" si="1"/>
        <v>153171</v>
      </c>
      <c r="O20">
        <f t="shared" si="2"/>
        <v>548</v>
      </c>
      <c r="Q20" s="42">
        <v>90</v>
      </c>
      <c r="R20" s="2">
        <f>R$14*$Q20</f>
        <v>9000</v>
      </c>
      <c r="S20" s="2">
        <f>S$14*$Q20</f>
        <v>13500</v>
      </c>
      <c r="T20" s="2">
        <f>T$14*$Q20</f>
        <v>18000</v>
      </c>
      <c r="U20" s="2">
        <f>U$14*$Q20</f>
        <v>22500</v>
      </c>
      <c r="V20" s="2">
        <f>V$14*$Q20</f>
        <v>27000</v>
      </c>
    </row>
    <row r="21" spans="1:23" x14ac:dyDescent="0.3">
      <c r="A21" s="42">
        <v>6</v>
      </c>
      <c r="B21" s="43">
        <f>B20+R$8</f>
        <v>1006</v>
      </c>
      <c r="C21" s="10">
        <f>C20+R$7</f>
        <v>11</v>
      </c>
      <c r="D21" s="45">
        <f t="shared" si="4"/>
        <v>56</v>
      </c>
      <c r="K21" s="42">
        <v>7</v>
      </c>
      <c r="L21" s="46">
        <f t="shared" si="3"/>
        <v>1665</v>
      </c>
      <c r="M21" s="10">
        <f t="shared" si="0"/>
        <v>670</v>
      </c>
      <c r="N21" s="44">
        <f t="shared" si="1"/>
        <v>224775</v>
      </c>
      <c r="O21">
        <f t="shared" si="2"/>
        <v>665</v>
      </c>
      <c r="Q21" s="42">
        <v>120</v>
      </c>
      <c r="R21" s="2">
        <f>R$14*$Q21</f>
        <v>12000</v>
      </c>
      <c r="S21" s="2">
        <f>S$14*$Q21</f>
        <v>18000</v>
      </c>
      <c r="T21" s="2">
        <f>T$14*$Q21</f>
        <v>24000</v>
      </c>
      <c r="U21" s="2">
        <f>U$14*$Q21</f>
        <v>30000</v>
      </c>
      <c r="V21" s="2">
        <f>V$14*$Q21</f>
        <v>36000</v>
      </c>
    </row>
    <row r="22" spans="1:23" x14ac:dyDescent="0.3">
      <c r="A22" s="42">
        <v>7</v>
      </c>
      <c r="B22" s="43">
        <f>B21+R$8</f>
        <v>1007</v>
      </c>
      <c r="C22" s="10">
        <f>C21+R$7</f>
        <v>12</v>
      </c>
      <c r="D22" s="45">
        <f t="shared" si="4"/>
        <v>68</v>
      </c>
      <c r="K22" s="42">
        <v>8</v>
      </c>
      <c r="L22" s="46">
        <f t="shared" si="3"/>
        <v>1791</v>
      </c>
      <c r="M22" s="10">
        <f t="shared" si="0"/>
        <v>796</v>
      </c>
      <c r="N22" s="44">
        <f t="shared" si="1"/>
        <v>317196</v>
      </c>
      <c r="O22">
        <f t="shared" si="2"/>
        <v>791</v>
      </c>
      <c r="Q22" s="42">
        <v>0</v>
      </c>
      <c r="R22" s="2">
        <f>R$14*$Q22</f>
        <v>0</v>
      </c>
      <c r="S22" s="2">
        <f>S$14*$Q22</f>
        <v>0</v>
      </c>
      <c r="T22" s="2">
        <f>T$14*$Q22</f>
        <v>0</v>
      </c>
      <c r="U22" s="2">
        <f>U$14*$Q22</f>
        <v>0</v>
      </c>
      <c r="V22" s="2">
        <f>V$14*$Q22</f>
        <v>0</v>
      </c>
    </row>
    <row r="23" spans="1:23" x14ac:dyDescent="0.3">
      <c r="A23" s="42">
        <v>8</v>
      </c>
      <c r="B23" s="43">
        <f>B22+R$8</f>
        <v>1008</v>
      </c>
      <c r="C23" s="10">
        <f>C22+R$7</f>
        <v>13</v>
      </c>
      <c r="D23" s="45">
        <f t="shared" si="4"/>
        <v>81</v>
      </c>
      <c r="K23" s="42">
        <v>9</v>
      </c>
      <c r="L23" s="46">
        <f t="shared" si="3"/>
        <v>1927</v>
      </c>
      <c r="M23" s="10">
        <f t="shared" si="0"/>
        <v>932</v>
      </c>
      <c r="N23" s="44">
        <f t="shared" si="1"/>
        <v>434768</v>
      </c>
      <c r="O23">
        <f t="shared" si="2"/>
        <v>927</v>
      </c>
    </row>
    <row r="24" spans="1:23" x14ac:dyDescent="0.3">
      <c r="A24" s="42">
        <v>9</v>
      </c>
      <c r="B24" s="43">
        <f>B23+R$8</f>
        <v>1009</v>
      </c>
      <c r="C24" s="10">
        <f>C23+R$7</f>
        <v>14</v>
      </c>
      <c r="D24" s="45">
        <f t="shared" si="4"/>
        <v>95</v>
      </c>
      <c r="K24" s="42">
        <v>10</v>
      </c>
      <c r="L24" s="46">
        <f t="shared" si="3"/>
        <v>2073</v>
      </c>
      <c r="M24" s="10" t="e">
        <f t="shared" si="0"/>
        <v>#N/A</v>
      </c>
      <c r="N24" s="44" t="e">
        <f t="shared" si="1"/>
        <v>#N/A</v>
      </c>
      <c r="O24" t="e">
        <f t="shared" si="2"/>
        <v>#N/A</v>
      </c>
    </row>
    <row r="25" spans="1:23" x14ac:dyDescent="0.3">
      <c r="A25" s="42">
        <v>10</v>
      </c>
      <c r="B25" s="43">
        <f>B24+R$8</f>
        <v>1010</v>
      </c>
      <c r="C25" s="10">
        <f>C24+R$7</f>
        <v>15</v>
      </c>
      <c r="D25" s="45">
        <f t="shared" si="4"/>
        <v>110</v>
      </c>
      <c r="K25" s="42">
        <v>11</v>
      </c>
      <c r="L25" s="46">
        <f t="shared" si="3"/>
        <v>2230</v>
      </c>
      <c r="M25" s="10" t="e">
        <f t="shared" si="0"/>
        <v>#N/A</v>
      </c>
      <c r="N25" s="44" t="e">
        <f t="shared" si="1"/>
        <v>#N/A</v>
      </c>
      <c r="O25" t="e">
        <f t="shared" si="2"/>
        <v>#N/A</v>
      </c>
      <c r="Q25" s="43" t="s">
        <v>159</v>
      </c>
      <c r="R25" t="s">
        <v>152</v>
      </c>
      <c r="S25" t="s">
        <v>153</v>
      </c>
      <c r="T25" t="s">
        <v>154</v>
      </c>
      <c r="U25" t="s">
        <v>155</v>
      </c>
      <c r="V25" t="s">
        <v>156</v>
      </c>
      <c r="W25" s="47" t="s">
        <v>160</v>
      </c>
    </row>
    <row r="26" spans="1:23" x14ac:dyDescent="0.3">
      <c r="A26" s="42">
        <v>11</v>
      </c>
      <c r="B26" s="43">
        <f>B25+R$8</f>
        <v>1011</v>
      </c>
      <c r="C26" s="10">
        <f>C25+R$7</f>
        <v>16</v>
      </c>
      <c r="D26" s="45">
        <f t="shared" si="4"/>
        <v>126</v>
      </c>
      <c r="K26" s="42">
        <v>12</v>
      </c>
      <c r="L26" s="46">
        <f t="shared" si="3"/>
        <v>2399</v>
      </c>
      <c r="M26" s="10" t="e">
        <f t="shared" si="0"/>
        <v>#N/A</v>
      </c>
      <c r="N26" s="44" t="e">
        <f t="shared" si="1"/>
        <v>#N/A</v>
      </c>
      <c r="O26" t="e">
        <f t="shared" si="2"/>
        <v>#N/A</v>
      </c>
      <c r="Q26" t="s">
        <v>161</v>
      </c>
      <c r="R26" s="48" t="s">
        <v>162</v>
      </c>
      <c r="S26" s="48"/>
      <c r="T26" s="48"/>
      <c r="U26" s="48"/>
      <c r="V26" s="48"/>
      <c r="W26" s="47" t="s">
        <v>163</v>
      </c>
    </row>
    <row r="27" spans="1:23" x14ac:dyDescent="0.3">
      <c r="A27" s="42">
        <v>12</v>
      </c>
      <c r="B27" s="43">
        <f>B26+R$8</f>
        <v>1012</v>
      </c>
      <c r="C27" s="10">
        <f>C26+R$7</f>
        <v>17</v>
      </c>
      <c r="D27" s="45">
        <f t="shared" si="4"/>
        <v>143</v>
      </c>
      <c r="K27" s="42">
        <v>13</v>
      </c>
      <c r="L27" s="46">
        <f t="shared" si="3"/>
        <v>2581</v>
      </c>
      <c r="M27" s="10" t="e">
        <f t="shared" si="0"/>
        <v>#N/A</v>
      </c>
      <c r="N27" s="44" t="e">
        <f t="shared" si="1"/>
        <v>#N/A</v>
      </c>
      <c r="O27" t="e">
        <f t="shared" si="2"/>
        <v>#N/A</v>
      </c>
      <c r="Q27">
        <v>5500</v>
      </c>
      <c r="R27" s="49">
        <f>R$14*$W27</f>
        <v>300</v>
      </c>
      <c r="S27" s="49">
        <f>S$14*$W27</f>
        <v>450</v>
      </c>
      <c r="T27" s="49">
        <f>T$14*$W27</f>
        <v>600</v>
      </c>
      <c r="U27" s="49">
        <f>U$14*$W27</f>
        <v>750</v>
      </c>
      <c r="V27" s="49">
        <f>V$14*$W27</f>
        <v>900</v>
      </c>
      <c r="W27" s="47">
        <v>3</v>
      </c>
    </row>
    <row r="28" spans="1:23" x14ac:dyDescent="0.3">
      <c r="A28" s="42">
        <v>13</v>
      </c>
      <c r="B28" s="43">
        <f>B27+R$8</f>
        <v>1013</v>
      </c>
      <c r="C28" s="10">
        <f>C27+R$7</f>
        <v>18</v>
      </c>
      <c r="D28" s="45">
        <f t="shared" si="4"/>
        <v>161</v>
      </c>
      <c r="K28" s="42">
        <v>14</v>
      </c>
      <c r="L28" s="46">
        <f t="shared" si="3"/>
        <v>2777</v>
      </c>
      <c r="M28" s="10" t="e">
        <f t="shared" si="0"/>
        <v>#N/A</v>
      </c>
      <c r="N28" s="44" t="e">
        <f t="shared" si="1"/>
        <v>#N/A</v>
      </c>
      <c r="O28" t="e">
        <f t="shared" si="2"/>
        <v>#N/A</v>
      </c>
      <c r="Q28">
        <v>11000</v>
      </c>
      <c r="R28" s="49">
        <f>R$14*$W28</f>
        <v>600</v>
      </c>
      <c r="S28" s="49">
        <f>S$14*$W28</f>
        <v>900</v>
      </c>
      <c r="T28" s="49">
        <f>T$14*$W28</f>
        <v>1200</v>
      </c>
      <c r="U28" s="49">
        <f>U$14*$W28</f>
        <v>1500</v>
      </c>
      <c r="V28" s="49">
        <f>V$14*$W28</f>
        <v>1800</v>
      </c>
      <c r="W28" s="47">
        <v>6</v>
      </c>
    </row>
    <row r="29" spans="1:23" x14ac:dyDescent="0.3">
      <c r="A29" s="42">
        <v>14</v>
      </c>
      <c r="B29" s="43">
        <f>B28+R$8</f>
        <v>1014</v>
      </c>
      <c r="C29" s="10">
        <f>C28+R$7</f>
        <v>19</v>
      </c>
      <c r="D29" s="45">
        <f t="shared" si="4"/>
        <v>180</v>
      </c>
      <c r="K29" s="42">
        <v>15</v>
      </c>
      <c r="L29" s="46">
        <f t="shared" si="3"/>
        <v>2988</v>
      </c>
      <c r="M29" s="10" t="e">
        <f t="shared" si="0"/>
        <v>#N/A</v>
      </c>
      <c r="N29" s="44" t="e">
        <f t="shared" si="1"/>
        <v>#N/A</v>
      </c>
      <c r="O29" t="e">
        <f t="shared" si="2"/>
        <v>#N/A</v>
      </c>
      <c r="Q29">
        <v>22000</v>
      </c>
      <c r="R29" s="49">
        <f>R$14*$W29</f>
        <v>1200</v>
      </c>
      <c r="S29" s="49">
        <f>S$14*$W29</f>
        <v>1800</v>
      </c>
      <c r="T29" s="49">
        <f>T$14*$W29</f>
        <v>2400</v>
      </c>
      <c r="U29" s="49">
        <f>U$14*$W29</f>
        <v>3000</v>
      </c>
      <c r="V29" s="49">
        <f>V$14*$W29</f>
        <v>3600</v>
      </c>
      <c r="W29" s="47">
        <v>12</v>
      </c>
    </row>
    <row r="30" spans="1:23" x14ac:dyDescent="0.3">
      <c r="A30" s="42">
        <v>15</v>
      </c>
      <c r="B30" s="43">
        <f>B29+R$8</f>
        <v>1015</v>
      </c>
      <c r="C30" s="10">
        <f>C29+R$7</f>
        <v>20</v>
      </c>
      <c r="D30" s="45">
        <f t="shared" si="4"/>
        <v>200</v>
      </c>
      <c r="K30" s="42">
        <v>16</v>
      </c>
      <c r="L30" s="46">
        <f t="shared" si="3"/>
        <v>3215</v>
      </c>
      <c r="M30" s="10" t="e">
        <f t="shared" si="0"/>
        <v>#N/A</v>
      </c>
      <c r="N30" s="44" t="e">
        <f t="shared" si="1"/>
        <v>#N/A</v>
      </c>
      <c r="O30" t="e">
        <f t="shared" si="2"/>
        <v>#N/A</v>
      </c>
      <c r="Q30">
        <v>33000</v>
      </c>
      <c r="R30" s="49">
        <f>R$14*$W30</f>
        <v>1800</v>
      </c>
      <c r="S30" s="49">
        <f>S$14*$W30</f>
        <v>2700</v>
      </c>
      <c r="T30" s="49">
        <f>T$14*$W30</f>
        <v>3600</v>
      </c>
      <c r="U30" s="49">
        <f>U$14*$W30</f>
        <v>4500</v>
      </c>
      <c r="V30" s="49">
        <f>V$14*$W30</f>
        <v>5400</v>
      </c>
      <c r="W30" s="47">
        <v>18</v>
      </c>
    </row>
    <row r="31" spans="1:23" x14ac:dyDescent="0.3">
      <c r="A31" s="42">
        <v>16</v>
      </c>
      <c r="B31" s="43">
        <f>B30+R$8</f>
        <v>1016</v>
      </c>
      <c r="C31" s="10">
        <f>C30+R$7</f>
        <v>21</v>
      </c>
      <c r="D31" s="45">
        <f t="shared" si="4"/>
        <v>221</v>
      </c>
      <c r="K31" s="42">
        <v>17</v>
      </c>
      <c r="L31" s="46">
        <f t="shared" si="3"/>
        <v>3459</v>
      </c>
      <c r="M31" s="10" t="e">
        <f t="shared" si="0"/>
        <v>#N/A</v>
      </c>
      <c r="N31" s="44" t="e">
        <f t="shared" si="1"/>
        <v>#N/A</v>
      </c>
      <c r="O31" t="e">
        <f t="shared" si="2"/>
        <v>#N/A</v>
      </c>
    </row>
    <row r="32" spans="1:23" x14ac:dyDescent="0.3">
      <c r="A32" s="42">
        <v>17</v>
      </c>
      <c r="B32" s="43">
        <f>B31+R$8</f>
        <v>1017</v>
      </c>
      <c r="C32" s="10">
        <f>C31+R$7</f>
        <v>22</v>
      </c>
      <c r="D32" s="45">
        <f t="shared" si="4"/>
        <v>243</v>
      </c>
      <c r="K32" s="42">
        <v>18</v>
      </c>
      <c r="L32" s="46">
        <f t="shared" si="3"/>
        <v>3721</v>
      </c>
      <c r="M32" s="10" t="e">
        <f t="shared" si="0"/>
        <v>#N/A</v>
      </c>
      <c r="N32" s="44" t="e">
        <f t="shared" si="1"/>
        <v>#N/A</v>
      </c>
      <c r="O32" t="e">
        <f t="shared" si="2"/>
        <v>#N/A</v>
      </c>
      <c r="Q32" s="43" t="s">
        <v>164</v>
      </c>
      <c r="R32" s="43"/>
    </row>
    <row r="33" spans="1:18" x14ac:dyDescent="0.3">
      <c r="A33" s="42">
        <v>18</v>
      </c>
      <c r="B33" s="43">
        <f>B32+R$8</f>
        <v>1018</v>
      </c>
      <c r="C33" s="10">
        <f>C32+R$7</f>
        <v>23</v>
      </c>
      <c r="D33" s="45">
        <f t="shared" si="4"/>
        <v>266</v>
      </c>
      <c r="K33" s="42">
        <v>19</v>
      </c>
      <c r="L33" s="46">
        <f t="shared" si="3"/>
        <v>4003</v>
      </c>
      <c r="M33" s="10" t="e">
        <f t="shared" si="0"/>
        <v>#N/A</v>
      </c>
      <c r="N33" s="44" t="e">
        <f t="shared" si="1"/>
        <v>#N/A</v>
      </c>
      <c r="O33" t="e">
        <f t="shared" si="2"/>
        <v>#N/A</v>
      </c>
      <c r="Q33" t="s">
        <v>161</v>
      </c>
      <c r="R33" s="10" t="s">
        <v>162</v>
      </c>
    </row>
    <row r="34" spans="1:18" x14ac:dyDescent="0.3">
      <c r="A34" s="42">
        <v>19</v>
      </c>
      <c r="B34" s="43">
        <f>B33+R$8</f>
        <v>1019</v>
      </c>
      <c r="C34" s="10">
        <f>C33+R$7</f>
        <v>24</v>
      </c>
      <c r="D34" s="45">
        <f t="shared" si="4"/>
        <v>290</v>
      </c>
      <c r="K34" s="42">
        <v>20</v>
      </c>
      <c r="L34" s="46">
        <f t="shared" si="3"/>
        <v>4307</v>
      </c>
      <c r="M34" s="10" t="e">
        <f t="shared" si="0"/>
        <v>#N/A</v>
      </c>
      <c r="N34" s="44" t="e">
        <f t="shared" si="1"/>
        <v>#N/A</v>
      </c>
      <c r="O34" t="e">
        <f t="shared" si="2"/>
        <v>#N/A</v>
      </c>
      <c r="Q34">
        <v>5500</v>
      </c>
      <c r="R34" s="10">
        <v>450</v>
      </c>
    </row>
    <row r="35" spans="1:18" x14ac:dyDescent="0.3">
      <c r="A35" s="42">
        <v>20</v>
      </c>
      <c r="B35" s="43">
        <f>B34+R$8</f>
        <v>1020</v>
      </c>
      <c r="C35" s="10">
        <f>C34+R$7</f>
        <v>25</v>
      </c>
      <c r="D35" s="45">
        <f t="shared" si="4"/>
        <v>315</v>
      </c>
      <c r="K35" s="42">
        <v>21</v>
      </c>
      <c r="L35" s="46">
        <f t="shared" si="3"/>
        <v>4634</v>
      </c>
      <c r="M35" s="10" t="e">
        <f t="shared" si="0"/>
        <v>#N/A</v>
      </c>
      <c r="N35" s="44" t="e">
        <f t="shared" si="1"/>
        <v>#N/A</v>
      </c>
      <c r="O35" t="e">
        <f t="shared" si="2"/>
        <v>#N/A</v>
      </c>
      <c r="Q35">
        <v>11000</v>
      </c>
      <c r="R35" s="10">
        <v>900</v>
      </c>
    </row>
    <row r="36" spans="1:18" x14ac:dyDescent="0.3">
      <c r="A36" s="42">
        <v>21</v>
      </c>
      <c r="B36" s="43">
        <f>B35+R$8</f>
        <v>1021</v>
      </c>
      <c r="C36" s="10">
        <f>C35+R$7</f>
        <v>26</v>
      </c>
      <c r="D36" s="45">
        <f t="shared" si="4"/>
        <v>341</v>
      </c>
      <c r="K36" s="42">
        <v>22</v>
      </c>
      <c r="L36" s="46">
        <f t="shared" si="3"/>
        <v>4986</v>
      </c>
      <c r="M36" s="10" t="e">
        <f t="shared" si="0"/>
        <v>#N/A</v>
      </c>
      <c r="N36" s="44" t="e">
        <f t="shared" si="1"/>
        <v>#N/A</v>
      </c>
      <c r="O36" t="e">
        <f t="shared" si="2"/>
        <v>#N/A</v>
      </c>
      <c r="Q36">
        <v>22000</v>
      </c>
      <c r="R36" s="10">
        <v>1800</v>
      </c>
    </row>
    <row r="37" spans="1:18" x14ac:dyDescent="0.3">
      <c r="A37" s="42">
        <v>22</v>
      </c>
      <c r="B37" s="43">
        <f>B36+R$8</f>
        <v>1022</v>
      </c>
      <c r="C37" s="10">
        <f>C36+R$7</f>
        <v>27</v>
      </c>
      <c r="D37" s="45">
        <f t="shared" si="4"/>
        <v>368</v>
      </c>
      <c r="Q37">
        <v>33000</v>
      </c>
      <c r="R37" s="10">
        <v>2700</v>
      </c>
    </row>
    <row r="38" spans="1:18" x14ac:dyDescent="0.3">
      <c r="A38" s="42">
        <v>23</v>
      </c>
      <c r="B38" s="43">
        <f>B37+R$8</f>
        <v>1023</v>
      </c>
      <c r="C38" s="10">
        <f>C37+R$7</f>
        <v>28</v>
      </c>
      <c r="D38" s="45">
        <f t="shared" si="4"/>
        <v>396</v>
      </c>
    </row>
    <row r="39" spans="1:18" x14ac:dyDescent="0.3">
      <c r="A39" s="42">
        <v>24</v>
      </c>
      <c r="B39" s="43">
        <f>B38+R$8</f>
        <v>1024</v>
      </c>
      <c r="C39" s="10">
        <f>C38+R$7</f>
        <v>29</v>
      </c>
      <c r="D39" s="45">
        <f t="shared" si="4"/>
        <v>425</v>
      </c>
    </row>
    <row r="40" spans="1:18" x14ac:dyDescent="0.3">
      <c r="A40" s="42">
        <v>25</v>
      </c>
      <c r="B40" s="43">
        <f>B39+R$8</f>
        <v>1025</v>
      </c>
      <c r="C40" s="10">
        <f>C39+R$7</f>
        <v>30</v>
      </c>
      <c r="D40" s="45">
        <f t="shared" si="4"/>
        <v>455</v>
      </c>
    </row>
    <row r="41" spans="1:18" x14ac:dyDescent="0.3">
      <c r="A41" s="42">
        <v>26</v>
      </c>
      <c r="B41" s="43">
        <f>B40+R$8</f>
        <v>1026</v>
      </c>
      <c r="C41" s="10">
        <f>C40+R$7</f>
        <v>31</v>
      </c>
      <c r="D41" s="45">
        <f t="shared" si="4"/>
        <v>486</v>
      </c>
    </row>
    <row r="42" spans="1:18" x14ac:dyDescent="0.3">
      <c r="A42" s="42">
        <v>27</v>
      </c>
      <c r="B42" s="43">
        <f>B41+R$8</f>
        <v>1027</v>
      </c>
      <c r="C42" s="10">
        <f>C41+R$7</f>
        <v>32</v>
      </c>
      <c r="D42" s="45">
        <f t="shared" si="4"/>
        <v>518</v>
      </c>
    </row>
    <row r="43" spans="1:18" x14ac:dyDescent="0.3">
      <c r="A43" s="42">
        <v>28</v>
      </c>
      <c r="B43" s="43">
        <f>B42+R$8</f>
        <v>1028</v>
      </c>
      <c r="C43" s="10">
        <f>C42+R$7</f>
        <v>33</v>
      </c>
      <c r="D43" s="45">
        <f t="shared" si="4"/>
        <v>551</v>
      </c>
    </row>
    <row r="44" spans="1:18" x14ac:dyDescent="0.3">
      <c r="A44" s="42">
        <v>29</v>
      </c>
      <c r="B44" s="43">
        <f>B43+R$8</f>
        <v>1029</v>
      </c>
      <c r="C44" s="10">
        <f>C43+R$7</f>
        <v>34</v>
      </c>
      <c r="D44" s="45">
        <f t="shared" si="4"/>
        <v>585</v>
      </c>
    </row>
    <row r="45" spans="1:18" x14ac:dyDescent="0.3">
      <c r="A45" s="42">
        <v>30</v>
      </c>
      <c r="B45" s="43">
        <f>B44+R$8</f>
        <v>1030</v>
      </c>
      <c r="C45" s="10">
        <f>C44+R$7</f>
        <v>35</v>
      </c>
      <c r="D45" s="45">
        <f t="shared" si="4"/>
        <v>620</v>
      </c>
    </row>
    <row r="46" spans="1:18" x14ac:dyDescent="0.3">
      <c r="A46" s="42">
        <v>31</v>
      </c>
      <c r="B46" s="43">
        <f>B45+R$8</f>
        <v>1031</v>
      </c>
      <c r="C46" s="10">
        <f>C45+R$7</f>
        <v>36</v>
      </c>
      <c r="D46" s="45">
        <f t="shared" si="4"/>
        <v>656</v>
      </c>
    </row>
    <row r="47" spans="1:18" x14ac:dyDescent="0.3">
      <c r="A47" s="42">
        <v>32</v>
      </c>
      <c r="B47" s="43">
        <f>B46+R$8</f>
        <v>1032</v>
      </c>
      <c r="C47" s="10">
        <f>C46+R$7</f>
        <v>37</v>
      </c>
      <c r="D47" s="45">
        <f t="shared" si="4"/>
        <v>693</v>
      </c>
    </row>
    <row r="48" spans="1:18" x14ac:dyDescent="0.3">
      <c r="A48" s="42">
        <v>33</v>
      </c>
      <c r="B48" s="43">
        <f>B47+R$8</f>
        <v>1033</v>
      </c>
      <c r="C48" s="10">
        <f>C47+R$7</f>
        <v>38</v>
      </c>
      <c r="D48" s="45">
        <f t="shared" si="4"/>
        <v>731</v>
      </c>
    </row>
    <row r="49" spans="1:4" x14ac:dyDescent="0.3">
      <c r="A49" s="42">
        <v>34</v>
      </c>
      <c r="B49" s="43">
        <f>B48+R$8</f>
        <v>1034</v>
      </c>
      <c r="C49" s="10">
        <f>C48+R$7</f>
        <v>39</v>
      </c>
      <c r="D49" s="45">
        <f t="shared" si="4"/>
        <v>770</v>
      </c>
    </row>
    <row r="50" spans="1:4" x14ac:dyDescent="0.3">
      <c r="A50" s="42">
        <v>35</v>
      </c>
      <c r="B50" s="43">
        <f>B49+R$8</f>
        <v>1035</v>
      </c>
      <c r="C50" s="10">
        <f>C49+R$7</f>
        <v>40</v>
      </c>
      <c r="D50" s="45">
        <f t="shared" si="4"/>
        <v>810</v>
      </c>
    </row>
    <row r="51" spans="1:4" x14ac:dyDescent="0.3">
      <c r="A51" s="42">
        <v>36</v>
      </c>
      <c r="B51" s="43">
        <f>B50+R$8</f>
        <v>1036</v>
      </c>
      <c r="C51" s="10">
        <f>C50+R$7</f>
        <v>41</v>
      </c>
      <c r="D51" s="45">
        <f t="shared" si="4"/>
        <v>851</v>
      </c>
    </row>
    <row r="52" spans="1:4" x14ac:dyDescent="0.3">
      <c r="A52" s="42">
        <v>37</v>
      </c>
      <c r="B52" s="43">
        <f>B51+R$8</f>
        <v>1037</v>
      </c>
      <c r="C52" s="10">
        <f>C51+R$7</f>
        <v>42</v>
      </c>
      <c r="D52" s="45">
        <f t="shared" si="4"/>
        <v>893</v>
      </c>
    </row>
    <row r="53" spans="1:4" x14ac:dyDescent="0.3">
      <c r="A53" s="42">
        <v>38</v>
      </c>
      <c r="B53" s="43">
        <f>B52+R$8</f>
        <v>1038</v>
      </c>
      <c r="C53" s="10">
        <f>C52+R$7</f>
        <v>43</v>
      </c>
      <c r="D53" s="45">
        <f t="shared" si="4"/>
        <v>936</v>
      </c>
    </row>
    <row r="54" spans="1:4" x14ac:dyDescent="0.3">
      <c r="A54" s="42">
        <v>39</v>
      </c>
      <c r="B54" s="43">
        <f>B53+R$8</f>
        <v>1039</v>
      </c>
      <c r="C54" s="10">
        <f>C53+R$7</f>
        <v>44</v>
      </c>
      <c r="D54" s="45">
        <f t="shared" si="4"/>
        <v>980</v>
      </c>
    </row>
    <row r="55" spans="1:4" x14ac:dyDescent="0.3">
      <c r="A55" s="42">
        <v>40</v>
      </c>
      <c r="B55" s="43">
        <f>B54+R$8</f>
        <v>1040</v>
      </c>
      <c r="C55" s="10">
        <f>C54+R$7</f>
        <v>45</v>
      </c>
      <c r="D55" s="45">
        <f t="shared" si="4"/>
        <v>1025</v>
      </c>
    </row>
    <row r="56" spans="1:4" x14ac:dyDescent="0.3">
      <c r="A56" s="42">
        <v>41</v>
      </c>
      <c r="B56" s="43">
        <f>B55+R$8</f>
        <v>1041</v>
      </c>
      <c r="C56" s="10">
        <f>C55+R$7</f>
        <v>46</v>
      </c>
      <c r="D56" s="45">
        <f t="shared" si="4"/>
        <v>1071</v>
      </c>
    </row>
    <row r="57" spans="1:4" x14ac:dyDescent="0.3">
      <c r="A57" s="42">
        <v>42</v>
      </c>
      <c r="B57" s="43">
        <f>B56+R$8</f>
        <v>1042</v>
      </c>
      <c r="C57" s="10">
        <f>C56+R$7</f>
        <v>47</v>
      </c>
      <c r="D57" s="45">
        <f t="shared" si="4"/>
        <v>1118</v>
      </c>
    </row>
    <row r="58" spans="1:4" x14ac:dyDescent="0.3">
      <c r="A58" s="42">
        <v>43</v>
      </c>
      <c r="B58" s="43">
        <f>B57+R$8</f>
        <v>1043</v>
      </c>
      <c r="C58" s="10">
        <f>C57+R$7</f>
        <v>48</v>
      </c>
      <c r="D58" s="45">
        <f t="shared" si="4"/>
        <v>1166</v>
      </c>
    </row>
    <row r="59" spans="1:4" x14ac:dyDescent="0.3">
      <c r="A59" s="42">
        <v>44</v>
      </c>
      <c r="B59" s="43">
        <f>B58+R$8</f>
        <v>1044</v>
      </c>
      <c r="C59" s="10">
        <f>C58+R$7</f>
        <v>49</v>
      </c>
      <c r="D59" s="45">
        <f t="shared" si="4"/>
        <v>1215</v>
      </c>
    </row>
    <row r="60" spans="1:4" x14ac:dyDescent="0.3">
      <c r="A60" s="42">
        <v>45</v>
      </c>
      <c r="B60" s="43">
        <f>B59+R$8</f>
        <v>1045</v>
      </c>
      <c r="C60" s="10">
        <f>C59+R$7</f>
        <v>50</v>
      </c>
      <c r="D60" s="45">
        <f t="shared" si="4"/>
        <v>1265</v>
      </c>
    </row>
    <row r="61" spans="1:4" x14ac:dyDescent="0.3">
      <c r="A61" s="42">
        <v>46</v>
      </c>
      <c r="B61" s="43">
        <f>B60+R$8</f>
        <v>1046</v>
      </c>
      <c r="C61" s="10">
        <f>C60+R$7</f>
        <v>51</v>
      </c>
      <c r="D61" s="45">
        <f t="shared" si="4"/>
        <v>1316</v>
      </c>
    </row>
    <row r="62" spans="1:4" x14ac:dyDescent="0.3">
      <c r="A62" s="42">
        <v>47</v>
      </c>
      <c r="B62" s="43">
        <f>B61+R$8</f>
        <v>1047</v>
      </c>
      <c r="C62" s="10">
        <f>C61+R$7</f>
        <v>52</v>
      </c>
      <c r="D62" s="45">
        <f t="shared" si="4"/>
        <v>1368</v>
      </c>
    </row>
    <row r="63" spans="1:4" x14ac:dyDescent="0.3">
      <c r="A63" s="42">
        <v>48</v>
      </c>
      <c r="B63" s="43">
        <f>B62+R$8</f>
        <v>1048</v>
      </c>
      <c r="C63" s="10">
        <f>C62+R$7</f>
        <v>53</v>
      </c>
      <c r="D63" s="45">
        <f t="shared" si="4"/>
        <v>1421</v>
      </c>
    </row>
    <row r="64" spans="1:4" x14ac:dyDescent="0.3">
      <c r="A64" s="42">
        <v>49</v>
      </c>
      <c r="B64" s="43">
        <f>B63+R$8</f>
        <v>1049</v>
      </c>
      <c r="C64" s="10">
        <f>C63+R$7</f>
        <v>54</v>
      </c>
      <c r="D64" s="45">
        <f t="shared" si="4"/>
        <v>1475</v>
      </c>
    </row>
    <row r="65" spans="1:4" x14ac:dyDescent="0.3">
      <c r="A65" s="42">
        <v>50</v>
      </c>
      <c r="B65" s="43">
        <f>B64+R$8</f>
        <v>1050</v>
      </c>
      <c r="C65" s="10">
        <f>C64+R$7</f>
        <v>55</v>
      </c>
      <c r="D65" s="45">
        <f t="shared" si="4"/>
        <v>1530</v>
      </c>
    </row>
    <row r="66" spans="1:4" x14ac:dyDescent="0.3">
      <c r="A66" s="42">
        <v>51</v>
      </c>
      <c r="B66" s="43">
        <f>B65+R$8</f>
        <v>1051</v>
      </c>
      <c r="C66" s="10">
        <f>C65+R$7</f>
        <v>56</v>
      </c>
      <c r="D66" s="45">
        <f t="shared" si="4"/>
        <v>1586</v>
      </c>
    </row>
    <row r="67" spans="1:4" x14ac:dyDescent="0.3">
      <c r="A67" s="42">
        <v>52</v>
      </c>
      <c r="B67" s="43">
        <f>B66+R$8</f>
        <v>1052</v>
      </c>
      <c r="C67" s="10">
        <f>C66+R$7</f>
        <v>57</v>
      </c>
      <c r="D67" s="45">
        <f t="shared" si="4"/>
        <v>1643</v>
      </c>
    </row>
    <row r="68" spans="1:4" x14ac:dyDescent="0.3">
      <c r="A68" s="42">
        <v>53</v>
      </c>
      <c r="B68" s="43">
        <f>B67+R$8</f>
        <v>1053</v>
      </c>
      <c r="C68" s="10">
        <f>C67+R$7</f>
        <v>58</v>
      </c>
      <c r="D68" s="45">
        <f t="shared" si="4"/>
        <v>1701</v>
      </c>
    </row>
    <row r="69" spans="1:4" x14ac:dyDescent="0.3">
      <c r="A69" s="42">
        <v>54</v>
      </c>
      <c r="B69" s="43">
        <f>B68+R$8</f>
        <v>1054</v>
      </c>
      <c r="C69" s="10">
        <f>C68+R$7</f>
        <v>59</v>
      </c>
      <c r="D69" s="45">
        <f t="shared" si="4"/>
        <v>1760</v>
      </c>
    </row>
    <row r="70" spans="1:4" x14ac:dyDescent="0.3">
      <c r="A70" s="42">
        <v>55</v>
      </c>
      <c r="B70" s="43">
        <f>B69+R$8</f>
        <v>1055</v>
      </c>
      <c r="C70" s="10">
        <f>C69+R$7</f>
        <v>60</v>
      </c>
      <c r="D70" s="45">
        <f t="shared" si="4"/>
        <v>1820</v>
      </c>
    </row>
    <row r="71" spans="1:4" x14ac:dyDescent="0.3">
      <c r="A71" s="42">
        <v>56</v>
      </c>
      <c r="B71" s="43">
        <f>B70+R$8</f>
        <v>1056</v>
      </c>
      <c r="C71" s="10">
        <f>C70+R$7</f>
        <v>61</v>
      </c>
      <c r="D71" s="45">
        <f t="shared" si="4"/>
        <v>1881</v>
      </c>
    </row>
    <row r="72" spans="1:4" x14ac:dyDescent="0.3">
      <c r="A72" s="42">
        <v>57</v>
      </c>
      <c r="B72" s="43">
        <f>B71+R$8</f>
        <v>1057</v>
      </c>
      <c r="C72" s="10">
        <f>C71+R$7</f>
        <v>62</v>
      </c>
      <c r="D72" s="45">
        <f t="shared" si="4"/>
        <v>1943</v>
      </c>
    </row>
    <row r="73" spans="1:4" x14ac:dyDescent="0.3">
      <c r="A73" s="42">
        <v>58</v>
      </c>
      <c r="B73" s="43">
        <f>B72+R$8</f>
        <v>1058</v>
      </c>
      <c r="C73" s="10">
        <f>C72+R$7</f>
        <v>63</v>
      </c>
      <c r="D73" s="45">
        <f t="shared" si="4"/>
        <v>2006</v>
      </c>
    </row>
    <row r="74" spans="1:4" x14ac:dyDescent="0.3">
      <c r="A74" s="42">
        <v>59</v>
      </c>
      <c r="B74" s="43">
        <f>B73+R$8</f>
        <v>1059</v>
      </c>
      <c r="C74" s="10">
        <f>C73+R$7</f>
        <v>64</v>
      </c>
      <c r="D74" s="45">
        <f t="shared" si="4"/>
        <v>2070</v>
      </c>
    </row>
    <row r="75" spans="1:4" x14ac:dyDescent="0.3">
      <c r="A75" s="42">
        <v>60</v>
      </c>
      <c r="B75" s="43">
        <f>B74+R$8</f>
        <v>1060</v>
      </c>
      <c r="C75" s="10">
        <f>C74+R$7</f>
        <v>65</v>
      </c>
      <c r="D75" s="45">
        <f t="shared" si="4"/>
        <v>2135</v>
      </c>
    </row>
    <row r="76" spans="1:4" x14ac:dyDescent="0.3">
      <c r="A76" s="42">
        <v>61</v>
      </c>
      <c r="B76" s="43">
        <f>B75+R$8</f>
        <v>1061</v>
      </c>
      <c r="C76" s="10">
        <f>C75+R$7</f>
        <v>66</v>
      </c>
      <c r="D76" s="45">
        <f t="shared" si="4"/>
        <v>2201</v>
      </c>
    </row>
    <row r="77" spans="1:4" x14ac:dyDescent="0.3">
      <c r="A77" s="42">
        <v>62</v>
      </c>
      <c r="B77" s="43">
        <f>B76+R$8</f>
        <v>1062</v>
      </c>
      <c r="C77" s="10">
        <f>C76+R$7</f>
        <v>67</v>
      </c>
      <c r="D77" s="45">
        <f t="shared" si="4"/>
        <v>2268</v>
      </c>
    </row>
    <row r="78" spans="1:4" x14ac:dyDescent="0.3">
      <c r="A78" s="42">
        <v>63</v>
      </c>
      <c r="B78" s="43">
        <f>B77+R$8</f>
        <v>1063</v>
      </c>
      <c r="C78" s="10">
        <f>C77+R$7</f>
        <v>68</v>
      </c>
      <c r="D78" s="45">
        <f t="shared" si="4"/>
        <v>2336</v>
      </c>
    </row>
    <row r="79" spans="1:4" x14ac:dyDescent="0.3">
      <c r="A79" s="42">
        <v>64</v>
      </c>
      <c r="B79" s="43">
        <f>B78+R$8</f>
        <v>1064</v>
      </c>
      <c r="C79" s="10">
        <f>C78+R$7</f>
        <v>69</v>
      </c>
      <c r="D79" s="45">
        <f t="shared" si="4"/>
        <v>2405</v>
      </c>
    </row>
    <row r="80" spans="1:4" x14ac:dyDescent="0.3">
      <c r="A80" s="42">
        <v>65</v>
      </c>
      <c r="B80" s="43">
        <f>B79+R$8</f>
        <v>1065</v>
      </c>
      <c r="C80" s="10">
        <f>C79+R$7</f>
        <v>70</v>
      </c>
      <c r="D80" s="45">
        <f t="shared" si="4"/>
        <v>2475</v>
      </c>
    </row>
    <row r="81" spans="1:4" x14ac:dyDescent="0.3">
      <c r="A81" s="42">
        <v>66</v>
      </c>
      <c r="B81" s="43">
        <f>B80+R$8</f>
        <v>1066</v>
      </c>
      <c r="C81" s="10">
        <f>C80+R$7</f>
        <v>71</v>
      </c>
      <c r="D81" s="45">
        <f t="shared" ref="D81:D144" si="5">D80+C81</f>
        <v>2546</v>
      </c>
    </row>
    <row r="82" spans="1:4" x14ac:dyDescent="0.3">
      <c r="A82" s="42">
        <v>67</v>
      </c>
      <c r="B82" s="43">
        <f>B81+R$8</f>
        <v>1067</v>
      </c>
      <c r="C82" s="10">
        <f>C81+R$7</f>
        <v>72</v>
      </c>
      <c r="D82" s="45">
        <f t="shared" si="5"/>
        <v>2618</v>
      </c>
    </row>
    <row r="83" spans="1:4" x14ac:dyDescent="0.3">
      <c r="A83" s="42">
        <v>68</v>
      </c>
      <c r="B83" s="43">
        <f>B82+R$8</f>
        <v>1068</v>
      </c>
      <c r="C83" s="10">
        <f>C82+R$7</f>
        <v>73</v>
      </c>
      <c r="D83" s="45">
        <f t="shared" si="5"/>
        <v>2691</v>
      </c>
    </row>
    <row r="84" spans="1:4" x14ac:dyDescent="0.3">
      <c r="A84" s="42">
        <v>69</v>
      </c>
      <c r="B84" s="43">
        <f>B83+R$8</f>
        <v>1069</v>
      </c>
      <c r="C84" s="10">
        <f>C83+R$7</f>
        <v>74</v>
      </c>
      <c r="D84" s="45">
        <f t="shared" si="5"/>
        <v>2765</v>
      </c>
    </row>
    <row r="85" spans="1:4" x14ac:dyDescent="0.3">
      <c r="A85" s="42">
        <v>70</v>
      </c>
      <c r="B85" s="43">
        <f>B84+R$8</f>
        <v>1070</v>
      </c>
      <c r="C85" s="10">
        <f>C84+R$7</f>
        <v>75</v>
      </c>
      <c r="D85" s="45">
        <f t="shared" si="5"/>
        <v>2840</v>
      </c>
    </row>
    <row r="86" spans="1:4" x14ac:dyDescent="0.3">
      <c r="A86" s="42">
        <v>71</v>
      </c>
      <c r="B86" s="43">
        <f>B85+R$8</f>
        <v>1071</v>
      </c>
      <c r="C86" s="10">
        <f>C85+R$7</f>
        <v>76</v>
      </c>
      <c r="D86" s="45">
        <f t="shared" si="5"/>
        <v>2916</v>
      </c>
    </row>
    <row r="87" spans="1:4" x14ac:dyDescent="0.3">
      <c r="A87" s="42">
        <v>72</v>
      </c>
      <c r="B87" s="43">
        <f>B86+R$8</f>
        <v>1072</v>
      </c>
      <c r="C87" s="10">
        <f>C86+R$7</f>
        <v>77</v>
      </c>
      <c r="D87" s="45">
        <f t="shared" si="5"/>
        <v>2993</v>
      </c>
    </row>
    <row r="88" spans="1:4" x14ac:dyDescent="0.3">
      <c r="A88" s="42">
        <v>73</v>
      </c>
      <c r="B88" s="43">
        <f>B87+R$8</f>
        <v>1073</v>
      </c>
      <c r="C88" s="10">
        <f>C87+R$7</f>
        <v>78</v>
      </c>
      <c r="D88" s="45">
        <f t="shared" si="5"/>
        <v>3071</v>
      </c>
    </row>
    <row r="89" spans="1:4" x14ac:dyDescent="0.3">
      <c r="A89" s="42">
        <v>74</v>
      </c>
      <c r="B89" s="43">
        <f>B88+R$8</f>
        <v>1074</v>
      </c>
      <c r="C89" s="10">
        <f>C88+R$7</f>
        <v>79</v>
      </c>
      <c r="D89" s="45">
        <f t="shared" si="5"/>
        <v>3150</v>
      </c>
    </row>
    <row r="90" spans="1:4" x14ac:dyDescent="0.3">
      <c r="A90" s="42">
        <v>75</v>
      </c>
      <c r="B90" s="43">
        <f>B89+R$8</f>
        <v>1075</v>
      </c>
      <c r="C90" s="10">
        <f>C89+R$7</f>
        <v>80</v>
      </c>
      <c r="D90" s="45">
        <f t="shared" si="5"/>
        <v>3230</v>
      </c>
    </row>
    <row r="91" spans="1:4" x14ac:dyDescent="0.3">
      <c r="A91" s="42">
        <v>76</v>
      </c>
      <c r="B91" s="43">
        <f>B90+R$8</f>
        <v>1076</v>
      </c>
      <c r="C91" s="10">
        <f>C90+R$7</f>
        <v>81</v>
      </c>
      <c r="D91" s="45">
        <f t="shared" si="5"/>
        <v>3311</v>
      </c>
    </row>
    <row r="92" spans="1:4" x14ac:dyDescent="0.3">
      <c r="A92" s="42">
        <v>77</v>
      </c>
      <c r="B92" s="43">
        <f>B91+R$8</f>
        <v>1077</v>
      </c>
      <c r="C92" s="10">
        <f>C91+R$7</f>
        <v>82</v>
      </c>
      <c r="D92" s="45">
        <f t="shared" si="5"/>
        <v>3393</v>
      </c>
    </row>
    <row r="93" spans="1:4" x14ac:dyDescent="0.3">
      <c r="A93" s="42">
        <v>78</v>
      </c>
      <c r="B93" s="43">
        <f>B92+R$8</f>
        <v>1078</v>
      </c>
      <c r="C93" s="10">
        <f>C92+R$7</f>
        <v>83</v>
      </c>
      <c r="D93" s="45">
        <f t="shared" si="5"/>
        <v>3476</v>
      </c>
    </row>
    <row r="94" spans="1:4" x14ac:dyDescent="0.3">
      <c r="A94" s="42">
        <v>79</v>
      </c>
      <c r="B94" s="43">
        <f>B93+R$8</f>
        <v>1079</v>
      </c>
      <c r="C94" s="10">
        <f>C93+R$7</f>
        <v>84</v>
      </c>
      <c r="D94" s="45">
        <f t="shared" si="5"/>
        <v>3560</v>
      </c>
    </row>
    <row r="95" spans="1:4" x14ac:dyDescent="0.3">
      <c r="A95" s="42">
        <v>80</v>
      </c>
      <c r="B95" s="43">
        <f>B94+R$8</f>
        <v>1080</v>
      </c>
      <c r="C95" s="10">
        <f>C94+R$7</f>
        <v>85</v>
      </c>
      <c r="D95" s="45">
        <f t="shared" si="5"/>
        <v>3645</v>
      </c>
    </row>
    <row r="96" spans="1:4" x14ac:dyDescent="0.3">
      <c r="A96" s="42">
        <v>81</v>
      </c>
      <c r="B96" s="43">
        <f>B95+R$8</f>
        <v>1081</v>
      </c>
      <c r="C96" s="10">
        <f>C95+R$7</f>
        <v>86</v>
      </c>
      <c r="D96" s="45">
        <f t="shared" si="5"/>
        <v>3731</v>
      </c>
    </row>
    <row r="97" spans="1:4" x14ac:dyDescent="0.3">
      <c r="A97" s="42">
        <v>82</v>
      </c>
      <c r="B97" s="43">
        <f>B96+R$8</f>
        <v>1082</v>
      </c>
      <c r="C97" s="10">
        <f>C96+R$7</f>
        <v>87</v>
      </c>
      <c r="D97" s="45">
        <f t="shared" si="5"/>
        <v>3818</v>
      </c>
    </row>
    <row r="98" spans="1:4" x14ac:dyDescent="0.3">
      <c r="A98" s="42">
        <v>83</v>
      </c>
      <c r="B98" s="43">
        <f>B97+R$8</f>
        <v>1083</v>
      </c>
      <c r="C98" s="10">
        <f>C97+R$7</f>
        <v>88</v>
      </c>
      <c r="D98" s="45">
        <f t="shared" si="5"/>
        <v>3906</v>
      </c>
    </row>
    <row r="99" spans="1:4" x14ac:dyDescent="0.3">
      <c r="A99" s="42">
        <v>84</v>
      </c>
      <c r="B99" s="43">
        <f>B98+R$8</f>
        <v>1084</v>
      </c>
      <c r="C99" s="10">
        <f>C98+R$7</f>
        <v>89</v>
      </c>
      <c r="D99" s="45">
        <f t="shared" si="5"/>
        <v>3995</v>
      </c>
    </row>
    <row r="100" spans="1:4" x14ac:dyDescent="0.3">
      <c r="A100" s="42">
        <v>85</v>
      </c>
      <c r="B100" s="43">
        <f>B99+R$8</f>
        <v>1085</v>
      </c>
      <c r="C100" s="10">
        <f>C99+R$7</f>
        <v>90</v>
      </c>
      <c r="D100" s="45">
        <f t="shared" si="5"/>
        <v>4085</v>
      </c>
    </row>
    <row r="101" spans="1:4" x14ac:dyDescent="0.3">
      <c r="A101" s="42">
        <v>86</v>
      </c>
      <c r="B101" s="43">
        <f>B100+R$8</f>
        <v>1086</v>
      </c>
      <c r="C101" s="10">
        <f>C100+R$7</f>
        <v>91</v>
      </c>
      <c r="D101" s="45">
        <f t="shared" si="5"/>
        <v>4176</v>
      </c>
    </row>
    <row r="102" spans="1:4" x14ac:dyDescent="0.3">
      <c r="A102" s="42">
        <v>87</v>
      </c>
      <c r="B102" s="43">
        <f>B101+R$8</f>
        <v>1087</v>
      </c>
      <c r="C102" s="10">
        <f>C101+R$7</f>
        <v>92</v>
      </c>
      <c r="D102" s="45">
        <f t="shared" si="5"/>
        <v>4268</v>
      </c>
    </row>
    <row r="103" spans="1:4" x14ac:dyDescent="0.3">
      <c r="A103" s="42">
        <v>88</v>
      </c>
      <c r="B103" s="43">
        <f>B102+R$8</f>
        <v>1088</v>
      </c>
      <c r="C103" s="10">
        <f>C102+R$7</f>
        <v>93</v>
      </c>
      <c r="D103" s="45">
        <f t="shared" si="5"/>
        <v>4361</v>
      </c>
    </row>
    <row r="104" spans="1:4" x14ac:dyDescent="0.3">
      <c r="A104" s="42">
        <v>89</v>
      </c>
      <c r="B104" s="43">
        <f>B103+R$8</f>
        <v>1089</v>
      </c>
      <c r="C104" s="10">
        <f>C103+R$7</f>
        <v>94</v>
      </c>
      <c r="D104" s="45">
        <f t="shared" si="5"/>
        <v>4455</v>
      </c>
    </row>
    <row r="105" spans="1:4" x14ac:dyDescent="0.3">
      <c r="A105" s="42">
        <v>90</v>
      </c>
      <c r="B105" s="43">
        <f>B104+R$8</f>
        <v>1090</v>
      </c>
      <c r="C105" s="10">
        <f>C104+R$7</f>
        <v>95</v>
      </c>
      <c r="D105" s="45">
        <f t="shared" si="5"/>
        <v>4550</v>
      </c>
    </row>
    <row r="106" spans="1:4" x14ac:dyDescent="0.3">
      <c r="A106" s="42">
        <v>91</v>
      </c>
      <c r="B106" s="43">
        <f>B105+R$8</f>
        <v>1091</v>
      </c>
      <c r="C106" s="10">
        <f>C105+R$7</f>
        <v>96</v>
      </c>
      <c r="D106" s="45">
        <f t="shared" si="5"/>
        <v>4646</v>
      </c>
    </row>
    <row r="107" spans="1:4" x14ac:dyDescent="0.3">
      <c r="A107" s="42">
        <v>92</v>
      </c>
      <c r="B107" s="43">
        <f>B106+R$8</f>
        <v>1092</v>
      </c>
      <c r="C107" s="10">
        <f>C106+R$7</f>
        <v>97</v>
      </c>
      <c r="D107" s="45">
        <f t="shared" si="5"/>
        <v>4743</v>
      </c>
    </row>
    <row r="108" spans="1:4" x14ac:dyDescent="0.3">
      <c r="A108" s="42">
        <v>93</v>
      </c>
      <c r="B108" s="43">
        <f>B107+R$8</f>
        <v>1093</v>
      </c>
      <c r="C108" s="10">
        <f>C107+R$7</f>
        <v>98</v>
      </c>
      <c r="D108" s="45">
        <f t="shared" si="5"/>
        <v>4841</v>
      </c>
    </row>
    <row r="109" spans="1:4" x14ac:dyDescent="0.3">
      <c r="A109" s="42">
        <v>94</v>
      </c>
      <c r="B109" s="43">
        <f>B108+R$8</f>
        <v>1094</v>
      </c>
      <c r="C109" s="10">
        <f>C108+R$7</f>
        <v>99</v>
      </c>
      <c r="D109" s="45">
        <f t="shared" si="5"/>
        <v>4940</v>
      </c>
    </row>
    <row r="110" spans="1:4" x14ac:dyDescent="0.3">
      <c r="A110" s="42">
        <v>95</v>
      </c>
      <c r="B110" s="43">
        <f>B109+R$8</f>
        <v>1095</v>
      </c>
      <c r="C110" s="10">
        <f>C109+R$7</f>
        <v>100</v>
      </c>
      <c r="D110" s="45">
        <f t="shared" si="5"/>
        <v>5040</v>
      </c>
    </row>
    <row r="111" spans="1:4" x14ac:dyDescent="0.3">
      <c r="A111" s="42">
        <v>96</v>
      </c>
      <c r="B111" s="43">
        <f>B110+R$8</f>
        <v>1096</v>
      </c>
      <c r="C111" s="10">
        <f>C110+R$7</f>
        <v>101</v>
      </c>
      <c r="D111" s="45">
        <f t="shared" si="5"/>
        <v>5141</v>
      </c>
    </row>
    <row r="112" spans="1:4" x14ac:dyDescent="0.3">
      <c r="A112" s="42">
        <v>97</v>
      </c>
      <c r="B112" s="43">
        <f>B111+R$8</f>
        <v>1097</v>
      </c>
      <c r="C112" s="10">
        <f>C111+R$7</f>
        <v>102</v>
      </c>
      <c r="D112" s="45">
        <f t="shared" si="5"/>
        <v>5243</v>
      </c>
    </row>
    <row r="113" spans="1:4" x14ac:dyDescent="0.3">
      <c r="A113" s="42">
        <v>98</v>
      </c>
      <c r="B113" s="43">
        <f>B112+R$8</f>
        <v>1098</v>
      </c>
      <c r="C113" s="10">
        <f>C112+R$7</f>
        <v>103</v>
      </c>
      <c r="D113" s="45">
        <f t="shared" si="5"/>
        <v>5346</v>
      </c>
    </row>
    <row r="114" spans="1:4" x14ac:dyDescent="0.3">
      <c r="A114" s="42">
        <v>99</v>
      </c>
      <c r="B114" s="43">
        <f>B113+R$8</f>
        <v>1099</v>
      </c>
      <c r="C114" s="10">
        <f>C113+R$7</f>
        <v>104</v>
      </c>
      <c r="D114" s="45">
        <f t="shared" si="5"/>
        <v>5450</v>
      </c>
    </row>
    <row r="115" spans="1:4" x14ac:dyDescent="0.3">
      <c r="A115" s="42">
        <v>100</v>
      </c>
      <c r="B115" s="43">
        <f>B114+R$8</f>
        <v>1100</v>
      </c>
      <c r="C115" s="10">
        <f>C114+R$7</f>
        <v>105</v>
      </c>
      <c r="D115" s="45">
        <f t="shared" si="5"/>
        <v>5555</v>
      </c>
    </row>
    <row r="116" spans="1:4" x14ac:dyDescent="0.3">
      <c r="A116" s="42">
        <v>101</v>
      </c>
      <c r="B116" s="43">
        <f>B115+R$8</f>
        <v>1101</v>
      </c>
      <c r="C116" s="10">
        <f>C115+R$7</f>
        <v>106</v>
      </c>
      <c r="D116" s="45">
        <f t="shared" si="5"/>
        <v>5661</v>
      </c>
    </row>
    <row r="117" spans="1:4" x14ac:dyDescent="0.3">
      <c r="A117" s="42">
        <v>102</v>
      </c>
      <c r="B117" s="43">
        <f>B116+R$8</f>
        <v>1102</v>
      </c>
      <c r="C117" s="10">
        <f>C116+R$7</f>
        <v>107</v>
      </c>
      <c r="D117" s="45">
        <f t="shared" si="5"/>
        <v>5768</v>
      </c>
    </row>
    <row r="118" spans="1:4" x14ac:dyDescent="0.3">
      <c r="A118" s="42">
        <v>103</v>
      </c>
      <c r="B118" s="43">
        <f>B117+R$8</f>
        <v>1103</v>
      </c>
      <c r="C118" s="10">
        <f>C117+R$7</f>
        <v>108</v>
      </c>
      <c r="D118" s="45">
        <f t="shared" si="5"/>
        <v>5876</v>
      </c>
    </row>
    <row r="119" spans="1:4" x14ac:dyDescent="0.3">
      <c r="A119" s="42">
        <v>104</v>
      </c>
      <c r="B119" s="43">
        <f>B118+R$8</f>
        <v>1104</v>
      </c>
      <c r="C119" s="10">
        <f>C118+R$7</f>
        <v>109</v>
      </c>
      <c r="D119" s="45">
        <f t="shared" si="5"/>
        <v>5985</v>
      </c>
    </row>
    <row r="120" spans="1:4" x14ac:dyDescent="0.3">
      <c r="A120" s="42">
        <v>105</v>
      </c>
      <c r="B120" s="43">
        <f>B119+R$8</f>
        <v>1105</v>
      </c>
      <c r="C120" s="10">
        <f>C119+R$7</f>
        <v>110</v>
      </c>
      <c r="D120" s="45">
        <f t="shared" si="5"/>
        <v>6095</v>
      </c>
    </row>
    <row r="121" spans="1:4" x14ac:dyDescent="0.3">
      <c r="A121" s="42">
        <v>106</v>
      </c>
      <c r="B121" s="43">
        <f>B120+R$8</f>
        <v>1106</v>
      </c>
      <c r="C121" s="10">
        <f>C120+R$7</f>
        <v>111</v>
      </c>
      <c r="D121" s="45">
        <f t="shared" si="5"/>
        <v>6206</v>
      </c>
    </row>
    <row r="122" spans="1:4" x14ac:dyDescent="0.3">
      <c r="A122" s="42">
        <v>107</v>
      </c>
      <c r="B122" s="43">
        <f>B121+R$8</f>
        <v>1107</v>
      </c>
      <c r="C122" s="10">
        <f>C121+R$7</f>
        <v>112</v>
      </c>
      <c r="D122" s="45">
        <f t="shared" si="5"/>
        <v>6318</v>
      </c>
    </row>
    <row r="123" spans="1:4" x14ac:dyDescent="0.3">
      <c r="A123" s="42">
        <v>108</v>
      </c>
      <c r="B123" s="43">
        <f>B122+R$8</f>
        <v>1108</v>
      </c>
      <c r="C123" s="10">
        <f>C122+R$7</f>
        <v>113</v>
      </c>
      <c r="D123" s="45">
        <f t="shared" si="5"/>
        <v>6431</v>
      </c>
    </row>
    <row r="124" spans="1:4" x14ac:dyDescent="0.3">
      <c r="A124" s="42">
        <v>109</v>
      </c>
      <c r="B124" s="43">
        <f>B123+R$8</f>
        <v>1109</v>
      </c>
      <c r="C124" s="10">
        <f>C123+R$7</f>
        <v>114</v>
      </c>
      <c r="D124" s="45">
        <f t="shared" si="5"/>
        <v>6545</v>
      </c>
    </row>
    <row r="125" spans="1:4" x14ac:dyDescent="0.3">
      <c r="A125" s="42">
        <v>110</v>
      </c>
      <c r="B125" s="43">
        <f>B124+R$8</f>
        <v>1110</v>
      </c>
      <c r="C125" s="10">
        <f>C124+R$7</f>
        <v>115</v>
      </c>
      <c r="D125" s="45">
        <f t="shared" si="5"/>
        <v>6660</v>
      </c>
    </row>
    <row r="126" spans="1:4" x14ac:dyDescent="0.3">
      <c r="A126" s="42">
        <v>111</v>
      </c>
      <c r="B126" s="43">
        <f>B125+R$8</f>
        <v>1111</v>
      </c>
      <c r="C126" s="10">
        <f>C125+R$7</f>
        <v>116</v>
      </c>
      <c r="D126" s="45">
        <f t="shared" si="5"/>
        <v>6776</v>
      </c>
    </row>
    <row r="127" spans="1:4" x14ac:dyDescent="0.3">
      <c r="A127" s="42">
        <v>112</v>
      </c>
      <c r="B127" s="43">
        <f>B126+R$8</f>
        <v>1112</v>
      </c>
      <c r="C127" s="10">
        <f>C126+R$7</f>
        <v>117</v>
      </c>
      <c r="D127" s="45">
        <f t="shared" si="5"/>
        <v>6893</v>
      </c>
    </row>
    <row r="128" spans="1:4" x14ac:dyDescent="0.3">
      <c r="A128" s="42">
        <v>113</v>
      </c>
      <c r="B128" s="43">
        <f>B127+R$8</f>
        <v>1113</v>
      </c>
      <c r="C128" s="10">
        <f>C127+R$7</f>
        <v>118</v>
      </c>
      <c r="D128" s="45">
        <f t="shared" si="5"/>
        <v>7011</v>
      </c>
    </row>
    <row r="129" spans="1:4" x14ac:dyDescent="0.3">
      <c r="A129" s="42">
        <v>114</v>
      </c>
      <c r="B129" s="43">
        <f>B128+R$8</f>
        <v>1114</v>
      </c>
      <c r="C129" s="10">
        <f>C128+R$7</f>
        <v>119</v>
      </c>
      <c r="D129" s="45">
        <f t="shared" si="5"/>
        <v>7130</v>
      </c>
    </row>
    <row r="130" spans="1:4" x14ac:dyDescent="0.3">
      <c r="A130" s="42">
        <v>115</v>
      </c>
      <c r="B130" s="43">
        <f>B129+R$8</f>
        <v>1115</v>
      </c>
      <c r="C130" s="10">
        <f>C129+R$7</f>
        <v>120</v>
      </c>
      <c r="D130" s="45">
        <f t="shared" si="5"/>
        <v>7250</v>
      </c>
    </row>
    <row r="131" spans="1:4" x14ac:dyDescent="0.3">
      <c r="A131" s="42">
        <v>116</v>
      </c>
      <c r="B131" s="43">
        <f>B130+R$8</f>
        <v>1116</v>
      </c>
      <c r="C131" s="10">
        <f>C130+R$7</f>
        <v>121</v>
      </c>
      <c r="D131" s="45">
        <f t="shared" si="5"/>
        <v>7371</v>
      </c>
    </row>
    <row r="132" spans="1:4" x14ac:dyDescent="0.3">
      <c r="A132" s="42">
        <v>117</v>
      </c>
      <c r="B132" s="43">
        <f>B131+R$8</f>
        <v>1117</v>
      </c>
      <c r="C132" s="10">
        <f>C131+R$7</f>
        <v>122</v>
      </c>
      <c r="D132" s="45">
        <f t="shared" si="5"/>
        <v>7493</v>
      </c>
    </row>
    <row r="133" spans="1:4" x14ac:dyDescent="0.3">
      <c r="A133" s="42">
        <v>118</v>
      </c>
      <c r="B133" s="43">
        <f>B132+R$8</f>
        <v>1118</v>
      </c>
      <c r="C133" s="10">
        <f>C132+R$7</f>
        <v>123</v>
      </c>
      <c r="D133" s="45">
        <f t="shared" si="5"/>
        <v>7616</v>
      </c>
    </row>
    <row r="134" spans="1:4" x14ac:dyDescent="0.3">
      <c r="A134" s="42">
        <v>119</v>
      </c>
      <c r="B134" s="43">
        <f>B133+R$8</f>
        <v>1119</v>
      </c>
      <c r="C134" s="10">
        <f>C133+R$7</f>
        <v>124</v>
      </c>
      <c r="D134" s="45">
        <f t="shared" si="5"/>
        <v>7740</v>
      </c>
    </row>
    <row r="135" spans="1:4" x14ac:dyDescent="0.3">
      <c r="A135" s="42">
        <v>120</v>
      </c>
      <c r="B135" s="43">
        <f>B134+R$8</f>
        <v>1120</v>
      </c>
      <c r="C135" s="10">
        <f>C134+R$7</f>
        <v>125</v>
      </c>
      <c r="D135" s="45">
        <f t="shared" si="5"/>
        <v>7865</v>
      </c>
    </row>
    <row r="136" spans="1:4" x14ac:dyDescent="0.3">
      <c r="A136" s="42">
        <v>121</v>
      </c>
      <c r="B136" s="43">
        <f>B135+R$8</f>
        <v>1121</v>
      </c>
      <c r="C136" s="10">
        <f>C135+R$7</f>
        <v>126</v>
      </c>
      <c r="D136" s="45">
        <f t="shared" si="5"/>
        <v>7991</v>
      </c>
    </row>
    <row r="137" spans="1:4" x14ac:dyDescent="0.3">
      <c r="A137" s="42">
        <v>122</v>
      </c>
      <c r="B137" s="43">
        <f>B136+R$8</f>
        <v>1122</v>
      </c>
      <c r="C137" s="10">
        <f>C136+R$7</f>
        <v>127</v>
      </c>
      <c r="D137" s="45">
        <f t="shared" si="5"/>
        <v>8118</v>
      </c>
    </row>
    <row r="138" spans="1:4" x14ac:dyDescent="0.3">
      <c r="A138" s="42">
        <v>123</v>
      </c>
      <c r="B138" s="43">
        <f>B137+R$8</f>
        <v>1123</v>
      </c>
      <c r="C138" s="10">
        <f>C137+R$7</f>
        <v>128</v>
      </c>
      <c r="D138" s="45">
        <f t="shared" si="5"/>
        <v>8246</v>
      </c>
    </row>
    <row r="139" spans="1:4" x14ac:dyDescent="0.3">
      <c r="A139" s="42">
        <v>124</v>
      </c>
      <c r="B139" s="43">
        <f>B138+R$8</f>
        <v>1124</v>
      </c>
      <c r="C139" s="10">
        <f>C138+R$7</f>
        <v>129</v>
      </c>
      <c r="D139" s="45">
        <f t="shared" si="5"/>
        <v>8375</v>
      </c>
    </row>
    <row r="140" spans="1:4" x14ac:dyDescent="0.3">
      <c r="A140" s="42">
        <v>125</v>
      </c>
      <c r="B140" s="43">
        <f>B139+R$8</f>
        <v>1125</v>
      </c>
      <c r="C140" s="10">
        <f>C139+R$7</f>
        <v>130</v>
      </c>
      <c r="D140" s="45">
        <f t="shared" si="5"/>
        <v>8505</v>
      </c>
    </row>
    <row r="141" spans="1:4" x14ac:dyDescent="0.3">
      <c r="A141" s="42">
        <v>126</v>
      </c>
      <c r="B141" s="43">
        <f>B140+R$8</f>
        <v>1126</v>
      </c>
      <c r="C141" s="10">
        <f>C140+R$7</f>
        <v>131</v>
      </c>
      <c r="D141" s="45">
        <f t="shared" si="5"/>
        <v>8636</v>
      </c>
    </row>
    <row r="142" spans="1:4" x14ac:dyDescent="0.3">
      <c r="A142" s="42">
        <v>127</v>
      </c>
      <c r="B142" s="43">
        <f>B141+R$8</f>
        <v>1127</v>
      </c>
      <c r="C142" s="10">
        <f>C141+R$7</f>
        <v>132</v>
      </c>
      <c r="D142" s="45">
        <f t="shared" si="5"/>
        <v>8768</v>
      </c>
    </row>
    <row r="143" spans="1:4" x14ac:dyDescent="0.3">
      <c r="A143" s="42">
        <v>128</v>
      </c>
      <c r="B143" s="43">
        <f>B142+R$8</f>
        <v>1128</v>
      </c>
      <c r="C143" s="10">
        <f>C142+R$7</f>
        <v>133</v>
      </c>
      <c r="D143" s="45">
        <f t="shared" si="5"/>
        <v>8901</v>
      </c>
    </row>
    <row r="144" spans="1:4" x14ac:dyDescent="0.3">
      <c r="A144" s="42">
        <v>129</v>
      </c>
      <c r="B144" s="43">
        <f>B143+R$8</f>
        <v>1129</v>
      </c>
      <c r="C144" s="10">
        <f>C143+R$7</f>
        <v>134</v>
      </c>
      <c r="D144" s="45">
        <f t="shared" si="5"/>
        <v>9035</v>
      </c>
    </row>
    <row r="145" spans="1:4" x14ac:dyDescent="0.3">
      <c r="A145" s="42">
        <v>130</v>
      </c>
      <c r="B145" s="43">
        <f>B144+R$8</f>
        <v>1130</v>
      </c>
      <c r="C145" s="10">
        <f>C144+R$7</f>
        <v>135</v>
      </c>
      <c r="D145" s="45">
        <f t="shared" ref="D145:D208" si="6">D144+C145</f>
        <v>9170</v>
      </c>
    </row>
    <row r="146" spans="1:4" x14ac:dyDescent="0.3">
      <c r="A146" s="42">
        <v>131</v>
      </c>
      <c r="B146" s="43">
        <f>B145+R$8</f>
        <v>1131</v>
      </c>
      <c r="C146" s="10">
        <f>C145+R$7</f>
        <v>136</v>
      </c>
      <c r="D146" s="45">
        <f t="shared" si="6"/>
        <v>9306</v>
      </c>
    </row>
    <row r="147" spans="1:4" x14ac:dyDescent="0.3">
      <c r="A147" s="42">
        <v>132</v>
      </c>
      <c r="B147" s="43">
        <f>B146+R$8</f>
        <v>1132</v>
      </c>
      <c r="C147" s="10">
        <f>C146+R$7</f>
        <v>137</v>
      </c>
      <c r="D147" s="45">
        <f t="shared" si="6"/>
        <v>9443</v>
      </c>
    </row>
    <row r="148" spans="1:4" x14ac:dyDescent="0.3">
      <c r="A148" s="42">
        <v>133</v>
      </c>
      <c r="B148" s="43">
        <f>B147+R$8</f>
        <v>1133</v>
      </c>
      <c r="C148" s="10">
        <f>C147+R$7</f>
        <v>138</v>
      </c>
      <c r="D148" s="45">
        <f t="shared" si="6"/>
        <v>9581</v>
      </c>
    </row>
    <row r="149" spans="1:4" x14ac:dyDescent="0.3">
      <c r="A149" s="42">
        <v>134</v>
      </c>
      <c r="B149" s="43">
        <f>B148+R$8</f>
        <v>1134</v>
      </c>
      <c r="C149" s="10">
        <f>C148+R$7</f>
        <v>139</v>
      </c>
      <c r="D149" s="45">
        <f t="shared" si="6"/>
        <v>9720</v>
      </c>
    </row>
    <row r="150" spans="1:4" x14ac:dyDescent="0.3">
      <c r="A150" s="42">
        <v>135</v>
      </c>
      <c r="B150" s="43">
        <f>B149+R$8</f>
        <v>1135</v>
      </c>
      <c r="C150" s="10">
        <f>C149+R$7</f>
        <v>140</v>
      </c>
      <c r="D150" s="45">
        <f t="shared" si="6"/>
        <v>9860</v>
      </c>
    </row>
    <row r="151" spans="1:4" x14ac:dyDescent="0.3">
      <c r="A151" s="42">
        <v>136</v>
      </c>
      <c r="B151" s="43">
        <f>B150+R$8</f>
        <v>1136</v>
      </c>
      <c r="C151" s="10">
        <f>C150+R$7</f>
        <v>141</v>
      </c>
      <c r="D151" s="45">
        <f t="shared" si="6"/>
        <v>10001</v>
      </c>
    </row>
    <row r="152" spans="1:4" x14ac:dyDescent="0.3">
      <c r="A152" s="42">
        <v>137</v>
      </c>
      <c r="B152" s="43">
        <f>B151+R$8</f>
        <v>1137</v>
      </c>
      <c r="C152" s="10">
        <f>C151+R$7</f>
        <v>142</v>
      </c>
      <c r="D152" s="45">
        <f t="shared" si="6"/>
        <v>10143</v>
      </c>
    </row>
    <row r="153" spans="1:4" x14ac:dyDescent="0.3">
      <c r="A153" s="42">
        <v>138</v>
      </c>
      <c r="B153" s="43">
        <f>B152+R$8</f>
        <v>1138</v>
      </c>
      <c r="C153" s="10">
        <f>C152+R$7</f>
        <v>143</v>
      </c>
      <c r="D153" s="45">
        <f t="shared" si="6"/>
        <v>10286</v>
      </c>
    </row>
    <row r="154" spans="1:4" x14ac:dyDescent="0.3">
      <c r="A154" s="42">
        <v>139</v>
      </c>
      <c r="B154" s="43">
        <f>B153+R$8</f>
        <v>1139</v>
      </c>
      <c r="C154" s="10">
        <f>C153+R$7</f>
        <v>144</v>
      </c>
      <c r="D154" s="45">
        <f t="shared" si="6"/>
        <v>10430</v>
      </c>
    </row>
    <row r="155" spans="1:4" x14ac:dyDescent="0.3">
      <c r="A155" s="42">
        <v>140</v>
      </c>
      <c r="B155" s="43">
        <f>B154+R$8</f>
        <v>1140</v>
      </c>
      <c r="C155" s="10">
        <f>C154+R$7</f>
        <v>145</v>
      </c>
      <c r="D155" s="45">
        <f t="shared" si="6"/>
        <v>10575</v>
      </c>
    </row>
    <row r="156" spans="1:4" x14ac:dyDescent="0.3">
      <c r="A156" s="42">
        <v>141</v>
      </c>
      <c r="B156" s="43">
        <f>B155+R$8</f>
        <v>1141</v>
      </c>
      <c r="C156" s="10">
        <f>C155+R$7</f>
        <v>146</v>
      </c>
      <c r="D156" s="45">
        <f t="shared" si="6"/>
        <v>10721</v>
      </c>
    </row>
    <row r="157" spans="1:4" x14ac:dyDescent="0.3">
      <c r="A157" s="42">
        <v>142</v>
      </c>
      <c r="B157" s="43">
        <f>B156+R$8</f>
        <v>1142</v>
      </c>
      <c r="C157" s="10">
        <f>C156+R$7</f>
        <v>147</v>
      </c>
      <c r="D157" s="45">
        <f t="shared" si="6"/>
        <v>10868</v>
      </c>
    </row>
    <row r="158" spans="1:4" x14ac:dyDescent="0.3">
      <c r="A158" s="42">
        <v>143</v>
      </c>
      <c r="B158" s="43">
        <f>B157+R$8</f>
        <v>1143</v>
      </c>
      <c r="C158" s="10">
        <f>C157+R$7</f>
        <v>148</v>
      </c>
      <c r="D158" s="45">
        <f t="shared" si="6"/>
        <v>11016</v>
      </c>
    </row>
    <row r="159" spans="1:4" x14ac:dyDescent="0.3">
      <c r="A159" s="42">
        <v>144</v>
      </c>
      <c r="B159" s="43">
        <f>B158+R$8</f>
        <v>1144</v>
      </c>
      <c r="C159" s="10">
        <f>C158+R$7</f>
        <v>149</v>
      </c>
      <c r="D159" s="45">
        <f t="shared" si="6"/>
        <v>11165</v>
      </c>
    </row>
    <row r="160" spans="1:4" x14ac:dyDescent="0.3">
      <c r="A160" s="42">
        <v>145</v>
      </c>
      <c r="B160" s="43">
        <f>B159+R$8</f>
        <v>1145</v>
      </c>
      <c r="C160" s="10">
        <f>C159+R$7</f>
        <v>150</v>
      </c>
      <c r="D160" s="45">
        <f t="shared" si="6"/>
        <v>11315</v>
      </c>
    </row>
    <row r="161" spans="1:4" x14ac:dyDescent="0.3">
      <c r="A161" s="42">
        <v>146</v>
      </c>
      <c r="B161" s="43">
        <f>B160+R$8</f>
        <v>1146</v>
      </c>
      <c r="C161" s="10">
        <f>C160+R$7</f>
        <v>151</v>
      </c>
      <c r="D161" s="45">
        <f t="shared" si="6"/>
        <v>11466</v>
      </c>
    </row>
    <row r="162" spans="1:4" x14ac:dyDescent="0.3">
      <c r="A162" s="42">
        <v>147</v>
      </c>
      <c r="B162" s="43">
        <f>B161+R$8</f>
        <v>1147</v>
      </c>
      <c r="C162" s="10">
        <f>C161+R$7</f>
        <v>152</v>
      </c>
      <c r="D162" s="45">
        <f t="shared" si="6"/>
        <v>11618</v>
      </c>
    </row>
    <row r="163" spans="1:4" x14ac:dyDescent="0.3">
      <c r="A163" s="42">
        <v>148</v>
      </c>
      <c r="B163" s="43">
        <f>B162+R$8</f>
        <v>1148</v>
      </c>
      <c r="C163" s="10">
        <f>C162+R$7</f>
        <v>153</v>
      </c>
      <c r="D163" s="45">
        <f t="shared" si="6"/>
        <v>11771</v>
      </c>
    </row>
    <row r="164" spans="1:4" x14ac:dyDescent="0.3">
      <c r="A164" s="42">
        <v>149</v>
      </c>
      <c r="B164" s="43">
        <f>B163+R$8</f>
        <v>1149</v>
      </c>
      <c r="C164" s="10">
        <f>C163+R$7</f>
        <v>154</v>
      </c>
      <c r="D164" s="45">
        <f t="shared" si="6"/>
        <v>11925</v>
      </c>
    </row>
    <row r="165" spans="1:4" x14ac:dyDescent="0.3">
      <c r="A165" s="42">
        <v>150</v>
      </c>
      <c r="B165" s="43">
        <f>B164+R$8</f>
        <v>1150</v>
      </c>
      <c r="C165" s="10">
        <f>C164+R$7</f>
        <v>155</v>
      </c>
      <c r="D165" s="45">
        <f t="shared" si="6"/>
        <v>12080</v>
      </c>
    </row>
    <row r="166" spans="1:4" x14ac:dyDescent="0.3">
      <c r="A166" s="42">
        <v>151</v>
      </c>
      <c r="B166" s="43">
        <f>B165+R$8</f>
        <v>1151</v>
      </c>
      <c r="C166" s="10">
        <f>C165+R$7</f>
        <v>156</v>
      </c>
      <c r="D166" s="45">
        <f t="shared" si="6"/>
        <v>12236</v>
      </c>
    </row>
    <row r="167" spans="1:4" x14ac:dyDescent="0.3">
      <c r="A167" s="42">
        <v>152</v>
      </c>
      <c r="B167" s="43">
        <f>B166+R$8</f>
        <v>1152</v>
      </c>
      <c r="C167" s="10">
        <f>C166+R$7</f>
        <v>157</v>
      </c>
      <c r="D167" s="45">
        <f t="shared" si="6"/>
        <v>12393</v>
      </c>
    </row>
    <row r="168" spans="1:4" x14ac:dyDescent="0.3">
      <c r="A168" s="42">
        <v>153</v>
      </c>
      <c r="B168" s="43">
        <f>B167+R$8</f>
        <v>1153</v>
      </c>
      <c r="C168" s="10">
        <f>C167+R$7</f>
        <v>158</v>
      </c>
      <c r="D168" s="45">
        <f t="shared" si="6"/>
        <v>12551</v>
      </c>
    </row>
    <row r="169" spans="1:4" x14ac:dyDescent="0.3">
      <c r="A169" s="42">
        <v>154</v>
      </c>
      <c r="B169" s="43">
        <f>B168+R$8</f>
        <v>1154</v>
      </c>
      <c r="C169" s="10">
        <f>C168+R$7</f>
        <v>159</v>
      </c>
      <c r="D169" s="45">
        <f t="shared" si="6"/>
        <v>12710</v>
      </c>
    </row>
    <row r="170" spans="1:4" x14ac:dyDescent="0.3">
      <c r="A170" s="42">
        <v>155</v>
      </c>
      <c r="B170" s="43">
        <f>B169+R$8</f>
        <v>1155</v>
      </c>
      <c r="C170" s="10">
        <f>C169+R$7</f>
        <v>160</v>
      </c>
      <c r="D170" s="45">
        <f t="shared" si="6"/>
        <v>12870</v>
      </c>
    </row>
    <row r="171" spans="1:4" x14ac:dyDescent="0.3">
      <c r="A171" s="42">
        <v>156</v>
      </c>
      <c r="B171" s="43">
        <f>B170+R$8</f>
        <v>1156</v>
      </c>
      <c r="C171" s="10">
        <f>C170+R$7</f>
        <v>161</v>
      </c>
      <c r="D171" s="45">
        <f t="shared" si="6"/>
        <v>13031</v>
      </c>
    </row>
    <row r="172" spans="1:4" x14ac:dyDescent="0.3">
      <c r="A172" s="42">
        <v>157</v>
      </c>
      <c r="B172" s="43">
        <f>B171+R$8</f>
        <v>1157</v>
      </c>
      <c r="C172" s="10">
        <f>C171+R$7</f>
        <v>162</v>
      </c>
      <c r="D172" s="45">
        <f t="shared" si="6"/>
        <v>13193</v>
      </c>
    </row>
    <row r="173" spans="1:4" x14ac:dyDescent="0.3">
      <c r="A173" s="42">
        <v>158</v>
      </c>
      <c r="B173" s="43">
        <f>B172+R$8</f>
        <v>1158</v>
      </c>
      <c r="C173" s="10">
        <f>C172+R$7</f>
        <v>163</v>
      </c>
      <c r="D173" s="45">
        <f t="shared" si="6"/>
        <v>13356</v>
      </c>
    </row>
    <row r="174" spans="1:4" x14ac:dyDescent="0.3">
      <c r="A174" s="42">
        <v>159</v>
      </c>
      <c r="B174" s="43">
        <f>B173+R$8</f>
        <v>1159</v>
      </c>
      <c r="C174" s="10">
        <f>C173+R$7</f>
        <v>164</v>
      </c>
      <c r="D174" s="45">
        <f t="shared" si="6"/>
        <v>13520</v>
      </c>
    </row>
    <row r="175" spans="1:4" x14ac:dyDescent="0.3">
      <c r="A175" s="42">
        <v>160</v>
      </c>
      <c r="B175" s="43">
        <f>B174+R$8</f>
        <v>1160</v>
      </c>
      <c r="C175" s="10">
        <f>C174+R$7</f>
        <v>165</v>
      </c>
      <c r="D175" s="45">
        <f t="shared" si="6"/>
        <v>13685</v>
      </c>
    </row>
    <row r="176" spans="1:4" x14ac:dyDescent="0.3">
      <c r="A176" s="42">
        <v>161</v>
      </c>
      <c r="B176" s="43">
        <f>B175+R$8</f>
        <v>1161</v>
      </c>
      <c r="C176" s="10">
        <f>C175+R$7</f>
        <v>166</v>
      </c>
      <c r="D176" s="45">
        <f t="shared" si="6"/>
        <v>13851</v>
      </c>
    </row>
    <row r="177" spans="1:4" x14ac:dyDescent="0.3">
      <c r="A177" s="42">
        <v>162</v>
      </c>
      <c r="B177" s="43">
        <f>B176+R$8</f>
        <v>1162</v>
      </c>
      <c r="C177" s="10">
        <f>C176+R$7</f>
        <v>167</v>
      </c>
      <c r="D177" s="45">
        <f t="shared" si="6"/>
        <v>14018</v>
      </c>
    </row>
    <row r="178" spans="1:4" x14ac:dyDescent="0.3">
      <c r="A178" s="42">
        <v>163</v>
      </c>
      <c r="B178" s="43">
        <f>B177+R$8</f>
        <v>1163</v>
      </c>
      <c r="C178" s="10">
        <f>C177+R$7</f>
        <v>168</v>
      </c>
      <c r="D178" s="45">
        <f t="shared" si="6"/>
        <v>14186</v>
      </c>
    </row>
    <row r="179" spans="1:4" x14ac:dyDescent="0.3">
      <c r="A179" s="42">
        <v>164</v>
      </c>
      <c r="B179" s="43">
        <f>B178+R$8</f>
        <v>1164</v>
      </c>
      <c r="C179" s="10">
        <f>C178+R$7</f>
        <v>169</v>
      </c>
      <c r="D179" s="45">
        <f t="shared" si="6"/>
        <v>14355</v>
      </c>
    </row>
    <row r="180" spans="1:4" x14ac:dyDescent="0.3">
      <c r="A180" s="42">
        <v>165</v>
      </c>
      <c r="B180" s="43">
        <f>B179+R$8</f>
        <v>1165</v>
      </c>
      <c r="C180" s="10">
        <f>C179+R$7</f>
        <v>170</v>
      </c>
      <c r="D180" s="45">
        <f t="shared" si="6"/>
        <v>14525</v>
      </c>
    </row>
    <row r="181" spans="1:4" x14ac:dyDescent="0.3">
      <c r="A181" s="42">
        <v>166</v>
      </c>
      <c r="B181" s="43">
        <f>B180+R$8</f>
        <v>1166</v>
      </c>
      <c r="C181" s="10">
        <f>C180+R$7</f>
        <v>171</v>
      </c>
      <c r="D181" s="45">
        <f t="shared" si="6"/>
        <v>14696</v>
      </c>
    </row>
    <row r="182" spans="1:4" x14ac:dyDescent="0.3">
      <c r="A182" s="42">
        <v>167</v>
      </c>
      <c r="B182" s="43">
        <f>B181+R$8</f>
        <v>1167</v>
      </c>
      <c r="C182" s="10">
        <f>C181+R$7</f>
        <v>172</v>
      </c>
      <c r="D182" s="45">
        <f t="shared" si="6"/>
        <v>14868</v>
      </c>
    </row>
    <row r="183" spans="1:4" x14ac:dyDescent="0.3">
      <c r="A183" s="42">
        <v>168</v>
      </c>
      <c r="B183" s="43">
        <f>B182+R$8</f>
        <v>1168</v>
      </c>
      <c r="C183" s="10">
        <f>C182+R$7</f>
        <v>173</v>
      </c>
      <c r="D183" s="45">
        <f t="shared" si="6"/>
        <v>15041</v>
      </c>
    </row>
    <row r="184" spans="1:4" x14ac:dyDescent="0.3">
      <c r="A184" s="42">
        <v>169</v>
      </c>
      <c r="B184" s="43">
        <f>B183+R$8</f>
        <v>1169</v>
      </c>
      <c r="C184" s="10">
        <f>C183+R$7</f>
        <v>174</v>
      </c>
      <c r="D184" s="45">
        <f t="shared" si="6"/>
        <v>15215</v>
      </c>
    </row>
    <row r="185" spans="1:4" x14ac:dyDescent="0.3">
      <c r="A185" s="42">
        <v>170</v>
      </c>
      <c r="B185" s="43">
        <f>B184+R$8</f>
        <v>1170</v>
      </c>
      <c r="C185" s="10">
        <f>C184+R$7</f>
        <v>175</v>
      </c>
      <c r="D185" s="45">
        <f t="shared" si="6"/>
        <v>15390</v>
      </c>
    </row>
    <row r="186" spans="1:4" x14ac:dyDescent="0.3">
      <c r="A186" s="42">
        <v>171</v>
      </c>
      <c r="B186" s="43">
        <f>B185+R$8</f>
        <v>1171</v>
      </c>
      <c r="C186" s="10">
        <f>C185+R$7</f>
        <v>176</v>
      </c>
      <c r="D186" s="45">
        <f t="shared" si="6"/>
        <v>15566</v>
      </c>
    </row>
    <row r="187" spans="1:4" x14ac:dyDescent="0.3">
      <c r="A187" s="42">
        <v>172</v>
      </c>
      <c r="B187" s="43">
        <f>B186+R$8</f>
        <v>1172</v>
      </c>
      <c r="C187" s="10">
        <f>C186+R$7</f>
        <v>177</v>
      </c>
      <c r="D187" s="45">
        <f t="shared" si="6"/>
        <v>15743</v>
      </c>
    </row>
    <row r="188" spans="1:4" x14ac:dyDescent="0.3">
      <c r="A188" s="42">
        <v>173</v>
      </c>
      <c r="B188" s="43">
        <f>B187+R$8</f>
        <v>1173</v>
      </c>
      <c r="C188" s="10">
        <f>C187+R$7</f>
        <v>178</v>
      </c>
      <c r="D188" s="45">
        <f t="shared" si="6"/>
        <v>15921</v>
      </c>
    </row>
    <row r="189" spans="1:4" x14ac:dyDescent="0.3">
      <c r="A189" s="42">
        <v>174</v>
      </c>
      <c r="B189" s="43">
        <f>B188+R$8</f>
        <v>1174</v>
      </c>
      <c r="C189" s="10">
        <f>C188+R$7</f>
        <v>179</v>
      </c>
      <c r="D189" s="45">
        <f t="shared" si="6"/>
        <v>16100</v>
      </c>
    </row>
    <row r="190" spans="1:4" x14ac:dyDescent="0.3">
      <c r="A190" s="42">
        <v>175</v>
      </c>
      <c r="B190" s="43">
        <f>B189+R$8</f>
        <v>1175</v>
      </c>
      <c r="C190" s="10">
        <f>C189+R$7</f>
        <v>180</v>
      </c>
      <c r="D190" s="45">
        <f t="shared" si="6"/>
        <v>16280</v>
      </c>
    </row>
    <row r="191" spans="1:4" x14ac:dyDescent="0.3">
      <c r="A191" s="42">
        <v>176</v>
      </c>
      <c r="B191" s="43">
        <f>B190+R$8</f>
        <v>1176</v>
      </c>
      <c r="C191" s="10">
        <f>C190+R$7</f>
        <v>181</v>
      </c>
      <c r="D191" s="45">
        <f t="shared" si="6"/>
        <v>16461</v>
      </c>
    </row>
    <row r="192" spans="1:4" x14ac:dyDescent="0.3">
      <c r="A192" s="42">
        <v>177</v>
      </c>
      <c r="B192" s="43">
        <f>B191+R$8</f>
        <v>1177</v>
      </c>
      <c r="C192" s="10">
        <f>C191+R$7</f>
        <v>182</v>
      </c>
      <c r="D192" s="45">
        <f t="shared" si="6"/>
        <v>16643</v>
      </c>
    </row>
    <row r="193" spans="1:4" x14ac:dyDescent="0.3">
      <c r="A193" s="42">
        <v>178</v>
      </c>
      <c r="B193" s="43">
        <f>B192+R$8</f>
        <v>1178</v>
      </c>
      <c r="C193" s="10">
        <f>C192+R$7</f>
        <v>183</v>
      </c>
      <c r="D193" s="45">
        <f t="shared" si="6"/>
        <v>16826</v>
      </c>
    </row>
    <row r="194" spans="1:4" x14ac:dyDescent="0.3">
      <c r="A194" s="42">
        <v>179</v>
      </c>
      <c r="B194" s="43">
        <f>B193+R$8</f>
        <v>1179</v>
      </c>
      <c r="C194" s="10">
        <f>C193+R$7</f>
        <v>184</v>
      </c>
      <c r="D194" s="45">
        <f t="shared" si="6"/>
        <v>17010</v>
      </c>
    </row>
    <row r="195" spans="1:4" x14ac:dyDescent="0.3">
      <c r="A195" s="42">
        <v>180</v>
      </c>
      <c r="B195" s="43">
        <f>B194+R$8</f>
        <v>1180</v>
      </c>
      <c r="C195" s="10">
        <f>C194+R$7</f>
        <v>185</v>
      </c>
      <c r="D195" s="45">
        <f t="shared" si="6"/>
        <v>17195</v>
      </c>
    </row>
    <row r="196" spans="1:4" x14ac:dyDescent="0.3">
      <c r="A196" s="42">
        <v>181</v>
      </c>
      <c r="B196" s="43">
        <f>B195+R$8</f>
        <v>1181</v>
      </c>
      <c r="C196" s="10">
        <f>C195+R$7</f>
        <v>186</v>
      </c>
      <c r="D196" s="45">
        <f t="shared" si="6"/>
        <v>17381</v>
      </c>
    </row>
    <row r="197" spans="1:4" x14ac:dyDescent="0.3">
      <c r="A197" s="42">
        <v>182</v>
      </c>
      <c r="B197" s="43">
        <f>B196+R$8</f>
        <v>1182</v>
      </c>
      <c r="C197" s="10">
        <f>C196+R$7</f>
        <v>187</v>
      </c>
      <c r="D197" s="45">
        <f t="shared" si="6"/>
        <v>17568</v>
      </c>
    </row>
    <row r="198" spans="1:4" x14ac:dyDescent="0.3">
      <c r="A198" s="42">
        <v>183</v>
      </c>
      <c r="B198" s="43">
        <f>B197+R$8</f>
        <v>1183</v>
      </c>
      <c r="C198" s="10">
        <f>C197+R$7</f>
        <v>188</v>
      </c>
      <c r="D198" s="45">
        <f t="shared" si="6"/>
        <v>17756</v>
      </c>
    </row>
    <row r="199" spans="1:4" x14ac:dyDescent="0.3">
      <c r="A199" s="42">
        <v>184</v>
      </c>
      <c r="B199" s="43">
        <f>B198+R$8</f>
        <v>1184</v>
      </c>
      <c r="C199" s="10">
        <f>C198+R$7</f>
        <v>189</v>
      </c>
      <c r="D199" s="45">
        <f t="shared" si="6"/>
        <v>17945</v>
      </c>
    </row>
    <row r="200" spans="1:4" x14ac:dyDescent="0.3">
      <c r="A200" s="42">
        <v>185</v>
      </c>
      <c r="B200" s="43">
        <f>B199+R$8</f>
        <v>1185</v>
      </c>
      <c r="C200" s="10">
        <f>C199+R$7</f>
        <v>190</v>
      </c>
      <c r="D200" s="45">
        <f t="shared" si="6"/>
        <v>18135</v>
      </c>
    </row>
    <row r="201" spans="1:4" x14ac:dyDescent="0.3">
      <c r="A201" s="42">
        <v>186</v>
      </c>
      <c r="B201" s="43">
        <f>B200+R$8</f>
        <v>1186</v>
      </c>
      <c r="C201" s="10">
        <f>C200+R$7</f>
        <v>191</v>
      </c>
      <c r="D201" s="45">
        <f t="shared" si="6"/>
        <v>18326</v>
      </c>
    </row>
    <row r="202" spans="1:4" x14ac:dyDescent="0.3">
      <c r="A202" s="42">
        <v>187</v>
      </c>
      <c r="B202" s="43">
        <f>B201+R$8</f>
        <v>1187</v>
      </c>
      <c r="C202" s="10">
        <f>C201+R$7</f>
        <v>192</v>
      </c>
      <c r="D202" s="45">
        <f t="shared" si="6"/>
        <v>18518</v>
      </c>
    </row>
    <row r="203" spans="1:4" x14ac:dyDescent="0.3">
      <c r="A203" s="42">
        <v>188</v>
      </c>
      <c r="B203" s="43">
        <f>B202+R$8</f>
        <v>1188</v>
      </c>
      <c r="C203" s="10">
        <f>C202+R$7</f>
        <v>193</v>
      </c>
      <c r="D203" s="45">
        <f t="shared" si="6"/>
        <v>18711</v>
      </c>
    </row>
    <row r="204" spans="1:4" x14ac:dyDescent="0.3">
      <c r="A204" s="42">
        <v>189</v>
      </c>
      <c r="B204" s="43">
        <f>B203+R$8</f>
        <v>1189</v>
      </c>
      <c r="C204" s="10">
        <f>C203+R$7</f>
        <v>194</v>
      </c>
      <c r="D204" s="45">
        <f t="shared" si="6"/>
        <v>18905</v>
      </c>
    </row>
    <row r="205" spans="1:4" x14ac:dyDescent="0.3">
      <c r="A205" s="42">
        <v>190</v>
      </c>
      <c r="B205" s="43">
        <f>B204+R$8</f>
        <v>1190</v>
      </c>
      <c r="C205" s="10">
        <f>C204+R$7</f>
        <v>195</v>
      </c>
      <c r="D205" s="45">
        <f t="shared" si="6"/>
        <v>19100</v>
      </c>
    </row>
    <row r="206" spans="1:4" x14ac:dyDescent="0.3">
      <c r="A206" s="42">
        <v>191</v>
      </c>
      <c r="B206" s="43">
        <f>B205+R$8</f>
        <v>1191</v>
      </c>
      <c r="C206" s="10">
        <f>C205+R$7</f>
        <v>196</v>
      </c>
      <c r="D206" s="45">
        <f t="shared" si="6"/>
        <v>19296</v>
      </c>
    </row>
    <row r="207" spans="1:4" x14ac:dyDescent="0.3">
      <c r="A207" s="42">
        <v>192</v>
      </c>
      <c r="B207" s="43">
        <f>B206+R$8</f>
        <v>1192</v>
      </c>
      <c r="C207" s="10">
        <f>C206+R$7</f>
        <v>197</v>
      </c>
      <c r="D207" s="45">
        <f t="shared" si="6"/>
        <v>19493</v>
      </c>
    </row>
    <row r="208" spans="1:4" x14ac:dyDescent="0.3">
      <c r="A208" s="42">
        <v>193</v>
      </c>
      <c r="B208" s="43">
        <f>B207+R$8</f>
        <v>1193</v>
      </c>
      <c r="C208" s="10">
        <f>C207+R$7</f>
        <v>198</v>
      </c>
      <c r="D208" s="45">
        <f t="shared" si="6"/>
        <v>19691</v>
      </c>
    </row>
    <row r="209" spans="1:4" x14ac:dyDescent="0.3">
      <c r="A209" s="42">
        <v>194</v>
      </c>
      <c r="B209" s="43">
        <f>B208+R$8</f>
        <v>1194</v>
      </c>
      <c r="C209" s="10">
        <f>C208+R$7</f>
        <v>199</v>
      </c>
      <c r="D209" s="45">
        <f t="shared" ref="D209:D272" si="7">D208+C209</f>
        <v>19890</v>
      </c>
    </row>
    <row r="210" spans="1:4" x14ac:dyDescent="0.3">
      <c r="A210" s="42">
        <v>195</v>
      </c>
      <c r="B210" s="43">
        <f>B209+R$8</f>
        <v>1195</v>
      </c>
      <c r="C210" s="10">
        <f>C209+R$7</f>
        <v>200</v>
      </c>
      <c r="D210" s="45">
        <f t="shared" si="7"/>
        <v>20090</v>
      </c>
    </row>
    <row r="211" spans="1:4" x14ac:dyDescent="0.3">
      <c r="A211" s="42">
        <v>196</v>
      </c>
      <c r="B211" s="43">
        <f>B210+R$8</f>
        <v>1196</v>
      </c>
      <c r="C211" s="10">
        <f>C210+R$7</f>
        <v>201</v>
      </c>
      <c r="D211" s="45">
        <f t="shared" si="7"/>
        <v>20291</v>
      </c>
    </row>
    <row r="212" spans="1:4" x14ac:dyDescent="0.3">
      <c r="A212" s="42">
        <v>197</v>
      </c>
      <c r="B212" s="43">
        <f>B211+R$8</f>
        <v>1197</v>
      </c>
      <c r="C212" s="10">
        <f>C211+R$7</f>
        <v>202</v>
      </c>
      <c r="D212" s="45">
        <f t="shared" si="7"/>
        <v>20493</v>
      </c>
    </row>
    <row r="213" spans="1:4" x14ac:dyDescent="0.3">
      <c r="A213" s="42">
        <v>198</v>
      </c>
      <c r="B213" s="43">
        <f>B212+R$8</f>
        <v>1198</v>
      </c>
      <c r="C213" s="10">
        <f>C212+R$7</f>
        <v>203</v>
      </c>
      <c r="D213" s="45">
        <f t="shared" si="7"/>
        <v>20696</v>
      </c>
    </row>
    <row r="214" spans="1:4" x14ac:dyDescent="0.3">
      <c r="A214" s="42">
        <v>199</v>
      </c>
      <c r="B214" s="43">
        <f>B213+R$8</f>
        <v>1199</v>
      </c>
      <c r="C214" s="10">
        <f>C213+R$7</f>
        <v>204</v>
      </c>
      <c r="D214" s="45">
        <f t="shared" si="7"/>
        <v>20900</v>
      </c>
    </row>
    <row r="215" spans="1:4" x14ac:dyDescent="0.3">
      <c r="A215" s="42">
        <v>200</v>
      </c>
      <c r="B215" s="43">
        <f>B214+R$8</f>
        <v>1200</v>
      </c>
      <c r="C215" s="10">
        <f>C214+R$7</f>
        <v>205</v>
      </c>
      <c r="D215" s="45">
        <f t="shared" si="7"/>
        <v>21105</v>
      </c>
    </row>
    <row r="216" spans="1:4" x14ac:dyDescent="0.3">
      <c r="A216" s="42">
        <v>201</v>
      </c>
      <c r="B216" s="43">
        <f>B215+R$8</f>
        <v>1201</v>
      </c>
      <c r="C216" s="10">
        <f>C215+R$7</f>
        <v>206</v>
      </c>
      <c r="D216" s="45">
        <f t="shared" si="7"/>
        <v>21311</v>
      </c>
    </row>
    <row r="217" spans="1:4" x14ac:dyDescent="0.3">
      <c r="A217" s="42">
        <v>202</v>
      </c>
      <c r="B217" s="43">
        <f>B216+R$8</f>
        <v>1202</v>
      </c>
      <c r="C217" s="10">
        <f>C216+R$7</f>
        <v>207</v>
      </c>
      <c r="D217" s="45">
        <f t="shared" si="7"/>
        <v>21518</v>
      </c>
    </row>
    <row r="218" spans="1:4" x14ac:dyDescent="0.3">
      <c r="A218" s="42">
        <v>203</v>
      </c>
      <c r="B218" s="43">
        <f>B217+R$8</f>
        <v>1203</v>
      </c>
      <c r="C218" s="10">
        <f>C217+R$7</f>
        <v>208</v>
      </c>
      <c r="D218" s="45">
        <f t="shared" si="7"/>
        <v>21726</v>
      </c>
    </row>
    <row r="219" spans="1:4" x14ac:dyDescent="0.3">
      <c r="A219" s="42">
        <v>204</v>
      </c>
      <c r="B219" s="43">
        <f>B218+R$8</f>
        <v>1204</v>
      </c>
      <c r="C219" s="10">
        <f>C218+R$7</f>
        <v>209</v>
      </c>
      <c r="D219" s="45">
        <f t="shared" si="7"/>
        <v>21935</v>
      </c>
    </row>
    <row r="220" spans="1:4" x14ac:dyDescent="0.3">
      <c r="A220" s="42">
        <v>205</v>
      </c>
      <c r="B220" s="43">
        <f>B219+R$8</f>
        <v>1205</v>
      </c>
      <c r="C220" s="10">
        <f>C219+R$7</f>
        <v>210</v>
      </c>
      <c r="D220" s="45">
        <f t="shared" si="7"/>
        <v>22145</v>
      </c>
    </row>
    <row r="221" spans="1:4" x14ac:dyDescent="0.3">
      <c r="A221" s="42">
        <v>206</v>
      </c>
      <c r="B221" s="43">
        <f>B220+R$8</f>
        <v>1206</v>
      </c>
      <c r="C221" s="10">
        <f>C220+R$7</f>
        <v>211</v>
      </c>
      <c r="D221" s="45">
        <f t="shared" si="7"/>
        <v>22356</v>
      </c>
    </row>
    <row r="222" spans="1:4" x14ac:dyDescent="0.3">
      <c r="A222" s="42">
        <v>207</v>
      </c>
      <c r="B222" s="43">
        <f>B221+R$8</f>
        <v>1207</v>
      </c>
      <c r="C222" s="10">
        <f>C221+R$7</f>
        <v>212</v>
      </c>
      <c r="D222" s="45">
        <f t="shared" si="7"/>
        <v>22568</v>
      </c>
    </row>
    <row r="223" spans="1:4" x14ac:dyDescent="0.3">
      <c r="A223" s="42">
        <v>208</v>
      </c>
      <c r="B223" s="43">
        <f>B222+R$8</f>
        <v>1208</v>
      </c>
      <c r="C223" s="10">
        <f>C222+R$7</f>
        <v>213</v>
      </c>
      <c r="D223" s="45">
        <f t="shared" si="7"/>
        <v>22781</v>
      </c>
    </row>
    <row r="224" spans="1:4" x14ac:dyDescent="0.3">
      <c r="A224" s="42">
        <v>209</v>
      </c>
      <c r="B224" s="43">
        <f>B223+R$8</f>
        <v>1209</v>
      </c>
      <c r="C224" s="10">
        <f>C223+R$7</f>
        <v>214</v>
      </c>
      <c r="D224" s="45">
        <f t="shared" si="7"/>
        <v>22995</v>
      </c>
    </row>
    <row r="225" spans="1:4" x14ac:dyDescent="0.3">
      <c r="A225" s="42">
        <v>210</v>
      </c>
      <c r="B225" s="43">
        <f>B224+R$8</f>
        <v>1210</v>
      </c>
      <c r="C225" s="10">
        <f>C224+R$7</f>
        <v>215</v>
      </c>
      <c r="D225" s="45">
        <f t="shared" si="7"/>
        <v>23210</v>
      </c>
    </row>
    <row r="226" spans="1:4" x14ac:dyDescent="0.3">
      <c r="A226" s="42">
        <v>211</v>
      </c>
      <c r="B226" s="43">
        <f>B225+R$8</f>
        <v>1211</v>
      </c>
      <c r="C226" s="10">
        <f>C225+R$7</f>
        <v>216</v>
      </c>
      <c r="D226" s="45">
        <f t="shared" si="7"/>
        <v>23426</v>
      </c>
    </row>
    <row r="227" spans="1:4" x14ac:dyDescent="0.3">
      <c r="A227" s="42">
        <v>212</v>
      </c>
      <c r="B227" s="43">
        <f>B226+R$8</f>
        <v>1212</v>
      </c>
      <c r="C227" s="10">
        <f>C226+R$7</f>
        <v>217</v>
      </c>
      <c r="D227" s="45">
        <f t="shared" si="7"/>
        <v>23643</v>
      </c>
    </row>
    <row r="228" spans="1:4" x14ac:dyDescent="0.3">
      <c r="A228" s="42">
        <v>213</v>
      </c>
      <c r="B228" s="43">
        <f>B227+R$8</f>
        <v>1213</v>
      </c>
      <c r="C228" s="10">
        <f>C227+R$7</f>
        <v>218</v>
      </c>
      <c r="D228" s="45">
        <f t="shared" si="7"/>
        <v>23861</v>
      </c>
    </row>
    <row r="229" spans="1:4" x14ac:dyDescent="0.3">
      <c r="A229" s="42">
        <v>214</v>
      </c>
      <c r="B229" s="43">
        <f>B228+R$8</f>
        <v>1214</v>
      </c>
      <c r="C229" s="10">
        <f>C228+R$7</f>
        <v>219</v>
      </c>
      <c r="D229" s="45">
        <f t="shared" si="7"/>
        <v>24080</v>
      </c>
    </row>
    <row r="230" spans="1:4" x14ac:dyDescent="0.3">
      <c r="A230" s="42">
        <v>215</v>
      </c>
      <c r="B230" s="43">
        <f>B229+R$8</f>
        <v>1215</v>
      </c>
      <c r="C230" s="10">
        <f>C229+R$7</f>
        <v>220</v>
      </c>
      <c r="D230" s="45">
        <f t="shared" si="7"/>
        <v>24300</v>
      </c>
    </row>
    <row r="231" spans="1:4" x14ac:dyDescent="0.3">
      <c r="A231" s="42">
        <v>216</v>
      </c>
      <c r="B231" s="43">
        <f>B230+R$8</f>
        <v>1216</v>
      </c>
      <c r="C231" s="10">
        <f>C230+R$7</f>
        <v>221</v>
      </c>
      <c r="D231" s="45">
        <f t="shared" si="7"/>
        <v>24521</v>
      </c>
    </row>
    <row r="232" spans="1:4" x14ac:dyDescent="0.3">
      <c r="A232" s="42">
        <v>217</v>
      </c>
      <c r="B232" s="43">
        <f>B231+R$8</f>
        <v>1217</v>
      </c>
      <c r="C232" s="10">
        <f>C231+R$7</f>
        <v>222</v>
      </c>
      <c r="D232" s="45">
        <f t="shared" si="7"/>
        <v>24743</v>
      </c>
    </row>
    <row r="233" spans="1:4" x14ac:dyDescent="0.3">
      <c r="A233" s="42">
        <v>218</v>
      </c>
      <c r="B233" s="43">
        <f>B232+R$8</f>
        <v>1218</v>
      </c>
      <c r="C233" s="10">
        <f>C232+R$7</f>
        <v>223</v>
      </c>
      <c r="D233" s="45">
        <f t="shared" si="7"/>
        <v>24966</v>
      </c>
    </row>
    <row r="234" spans="1:4" x14ac:dyDescent="0.3">
      <c r="A234" s="42">
        <v>219</v>
      </c>
      <c r="B234" s="43">
        <f>B233+R$8</f>
        <v>1219</v>
      </c>
      <c r="C234" s="10">
        <f>C233+R$7</f>
        <v>224</v>
      </c>
      <c r="D234" s="45">
        <f t="shared" si="7"/>
        <v>25190</v>
      </c>
    </row>
    <row r="235" spans="1:4" x14ac:dyDescent="0.3">
      <c r="A235" s="42">
        <v>220</v>
      </c>
      <c r="B235" s="43">
        <f>B234+R$8</f>
        <v>1220</v>
      </c>
      <c r="C235" s="10">
        <f>C234+R$7</f>
        <v>225</v>
      </c>
      <c r="D235" s="45">
        <f t="shared" si="7"/>
        <v>25415</v>
      </c>
    </row>
    <row r="236" spans="1:4" x14ac:dyDescent="0.3">
      <c r="A236" s="42">
        <v>221</v>
      </c>
      <c r="B236" s="43">
        <f>B235+R$8</f>
        <v>1221</v>
      </c>
      <c r="C236" s="10">
        <f>C235+R$7</f>
        <v>226</v>
      </c>
      <c r="D236" s="45">
        <f t="shared" si="7"/>
        <v>25641</v>
      </c>
    </row>
    <row r="237" spans="1:4" x14ac:dyDescent="0.3">
      <c r="A237" s="42">
        <v>222</v>
      </c>
      <c r="B237" s="43">
        <f>B236+R$8</f>
        <v>1222</v>
      </c>
      <c r="C237" s="10">
        <f>C236+R$7</f>
        <v>227</v>
      </c>
      <c r="D237" s="45">
        <f t="shared" si="7"/>
        <v>25868</v>
      </c>
    </row>
    <row r="238" spans="1:4" x14ac:dyDescent="0.3">
      <c r="A238" s="42">
        <v>223</v>
      </c>
      <c r="B238" s="43">
        <f>B237+R$8</f>
        <v>1223</v>
      </c>
      <c r="C238" s="10">
        <f>C237+R$7</f>
        <v>228</v>
      </c>
      <c r="D238" s="45">
        <f t="shared" si="7"/>
        <v>26096</v>
      </c>
    </row>
    <row r="239" spans="1:4" x14ac:dyDescent="0.3">
      <c r="A239" s="42">
        <v>224</v>
      </c>
      <c r="B239" s="43">
        <f>B238+R$8</f>
        <v>1224</v>
      </c>
      <c r="C239" s="10">
        <f>C238+R$7</f>
        <v>229</v>
      </c>
      <c r="D239" s="45">
        <f t="shared" si="7"/>
        <v>26325</v>
      </c>
    </row>
    <row r="240" spans="1:4" x14ac:dyDescent="0.3">
      <c r="A240" s="42">
        <v>225</v>
      </c>
      <c r="B240" s="43">
        <f>B239+R$8</f>
        <v>1225</v>
      </c>
      <c r="C240" s="10">
        <f>C239+R$7</f>
        <v>230</v>
      </c>
      <c r="D240" s="45">
        <f t="shared" si="7"/>
        <v>26555</v>
      </c>
    </row>
    <row r="241" spans="1:4" x14ac:dyDescent="0.3">
      <c r="A241" s="42">
        <v>226</v>
      </c>
      <c r="B241" s="43">
        <f>B240+R$8</f>
        <v>1226</v>
      </c>
      <c r="C241" s="10">
        <f>C240+R$7</f>
        <v>231</v>
      </c>
      <c r="D241" s="45">
        <f t="shared" si="7"/>
        <v>26786</v>
      </c>
    </row>
    <row r="242" spans="1:4" x14ac:dyDescent="0.3">
      <c r="A242" s="42">
        <v>227</v>
      </c>
      <c r="B242" s="43">
        <f>B241+R$8</f>
        <v>1227</v>
      </c>
      <c r="C242" s="10">
        <f>C241+R$7</f>
        <v>232</v>
      </c>
      <c r="D242" s="45">
        <f t="shared" si="7"/>
        <v>27018</v>
      </c>
    </row>
    <row r="243" spans="1:4" x14ac:dyDescent="0.3">
      <c r="A243" s="42">
        <v>228</v>
      </c>
      <c r="B243" s="43">
        <f>B242+R$8</f>
        <v>1228</v>
      </c>
      <c r="C243" s="10">
        <f>C242+R$7</f>
        <v>233</v>
      </c>
      <c r="D243" s="45">
        <f t="shared" si="7"/>
        <v>27251</v>
      </c>
    </row>
    <row r="244" spans="1:4" x14ac:dyDescent="0.3">
      <c r="A244" s="42">
        <v>229</v>
      </c>
      <c r="B244" s="43">
        <f>B243+R$8</f>
        <v>1229</v>
      </c>
      <c r="C244" s="10">
        <f>C243+R$7</f>
        <v>234</v>
      </c>
      <c r="D244" s="45">
        <f t="shared" si="7"/>
        <v>27485</v>
      </c>
    </row>
    <row r="245" spans="1:4" x14ac:dyDescent="0.3">
      <c r="A245" s="42">
        <v>230</v>
      </c>
      <c r="B245" s="43">
        <f>B244+R$8</f>
        <v>1230</v>
      </c>
      <c r="C245" s="10">
        <f>C244+R$7</f>
        <v>235</v>
      </c>
      <c r="D245" s="45">
        <f t="shared" si="7"/>
        <v>27720</v>
      </c>
    </row>
    <row r="246" spans="1:4" x14ac:dyDescent="0.3">
      <c r="A246" s="42">
        <v>231</v>
      </c>
      <c r="B246" s="43">
        <f>B245+R$8</f>
        <v>1231</v>
      </c>
      <c r="C246" s="10">
        <f>C245+R$7</f>
        <v>236</v>
      </c>
      <c r="D246" s="45">
        <f t="shared" si="7"/>
        <v>27956</v>
      </c>
    </row>
    <row r="247" spans="1:4" x14ac:dyDescent="0.3">
      <c r="A247" s="42">
        <v>232</v>
      </c>
      <c r="B247" s="43">
        <f>B246+R$8</f>
        <v>1232</v>
      </c>
      <c r="C247" s="10">
        <f>C246+R$7</f>
        <v>237</v>
      </c>
      <c r="D247" s="45">
        <f t="shared" si="7"/>
        <v>28193</v>
      </c>
    </row>
    <row r="248" spans="1:4" x14ac:dyDescent="0.3">
      <c r="A248" s="42">
        <v>233</v>
      </c>
      <c r="B248" s="43">
        <f>B247+R$8</f>
        <v>1233</v>
      </c>
      <c r="C248" s="10">
        <f>C247+R$7</f>
        <v>238</v>
      </c>
      <c r="D248" s="45">
        <f t="shared" si="7"/>
        <v>28431</v>
      </c>
    </row>
    <row r="249" spans="1:4" x14ac:dyDescent="0.3">
      <c r="A249" s="42">
        <v>234</v>
      </c>
      <c r="B249" s="43">
        <f>B248+R$8</f>
        <v>1234</v>
      </c>
      <c r="C249" s="10">
        <f>C248+R$7</f>
        <v>239</v>
      </c>
      <c r="D249" s="45">
        <f t="shared" si="7"/>
        <v>28670</v>
      </c>
    </row>
    <row r="250" spans="1:4" x14ac:dyDescent="0.3">
      <c r="A250" s="42">
        <v>235</v>
      </c>
      <c r="B250" s="43">
        <f>B249+R$8</f>
        <v>1235</v>
      </c>
      <c r="C250" s="10">
        <f>C249+R$7</f>
        <v>240</v>
      </c>
      <c r="D250" s="45">
        <f t="shared" si="7"/>
        <v>28910</v>
      </c>
    </row>
    <row r="251" spans="1:4" x14ac:dyDescent="0.3">
      <c r="A251" s="42">
        <v>236</v>
      </c>
      <c r="B251" s="43">
        <f>B250+R$8</f>
        <v>1236</v>
      </c>
      <c r="C251" s="10">
        <f>C250+R$7</f>
        <v>241</v>
      </c>
      <c r="D251" s="45">
        <f t="shared" si="7"/>
        <v>29151</v>
      </c>
    </row>
    <row r="252" spans="1:4" x14ac:dyDescent="0.3">
      <c r="A252" s="42">
        <v>237</v>
      </c>
      <c r="B252" s="43">
        <f>B251+R$8</f>
        <v>1237</v>
      </c>
      <c r="C252" s="10">
        <f>C251+R$7</f>
        <v>242</v>
      </c>
      <c r="D252" s="45">
        <f t="shared" si="7"/>
        <v>29393</v>
      </c>
    </row>
    <row r="253" spans="1:4" x14ac:dyDescent="0.3">
      <c r="A253" s="42">
        <v>238</v>
      </c>
      <c r="B253" s="43">
        <f>B252+R$8</f>
        <v>1238</v>
      </c>
      <c r="C253" s="10">
        <f>C252+R$7</f>
        <v>243</v>
      </c>
      <c r="D253" s="45">
        <f t="shared" si="7"/>
        <v>29636</v>
      </c>
    </row>
    <row r="254" spans="1:4" x14ac:dyDescent="0.3">
      <c r="A254" s="42">
        <v>239</v>
      </c>
      <c r="B254" s="43">
        <f>B253+R$8</f>
        <v>1239</v>
      </c>
      <c r="C254" s="10">
        <f>C253+R$7</f>
        <v>244</v>
      </c>
      <c r="D254" s="45">
        <f t="shared" si="7"/>
        <v>29880</v>
      </c>
    </row>
    <row r="255" spans="1:4" x14ac:dyDescent="0.3">
      <c r="A255" s="42">
        <v>240</v>
      </c>
      <c r="B255" s="43">
        <f>B254+R$8</f>
        <v>1240</v>
      </c>
      <c r="C255" s="10">
        <f>C254+R$7</f>
        <v>245</v>
      </c>
      <c r="D255" s="45">
        <f t="shared" si="7"/>
        <v>30125</v>
      </c>
    </row>
    <row r="256" spans="1:4" x14ac:dyDescent="0.3">
      <c r="A256" s="42">
        <v>241</v>
      </c>
      <c r="B256" s="43">
        <f>B255+R$8</f>
        <v>1241</v>
      </c>
      <c r="C256" s="10">
        <f>C255+R$7</f>
        <v>246</v>
      </c>
      <c r="D256" s="45">
        <f t="shared" si="7"/>
        <v>30371</v>
      </c>
    </row>
    <row r="257" spans="1:4" x14ac:dyDescent="0.3">
      <c r="A257" s="42">
        <v>242</v>
      </c>
      <c r="B257" s="43">
        <f>B256+R$8</f>
        <v>1242</v>
      </c>
      <c r="C257" s="10">
        <f>C256+R$7</f>
        <v>247</v>
      </c>
      <c r="D257" s="45">
        <f t="shared" si="7"/>
        <v>30618</v>
      </c>
    </row>
    <row r="258" spans="1:4" x14ac:dyDescent="0.3">
      <c r="A258" s="42">
        <v>243</v>
      </c>
      <c r="B258" s="43">
        <f>B257+R$8</f>
        <v>1243</v>
      </c>
      <c r="C258" s="10">
        <f>C257+R$7</f>
        <v>248</v>
      </c>
      <c r="D258" s="45">
        <f t="shared" si="7"/>
        <v>30866</v>
      </c>
    </row>
    <row r="259" spans="1:4" x14ac:dyDescent="0.3">
      <c r="A259" s="42">
        <v>244</v>
      </c>
      <c r="B259" s="43">
        <f>B258+R$8</f>
        <v>1244</v>
      </c>
      <c r="C259" s="10">
        <f>C258+R$7</f>
        <v>249</v>
      </c>
      <c r="D259" s="45">
        <f t="shared" si="7"/>
        <v>31115</v>
      </c>
    </row>
    <row r="260" spans="1:4" x14ac:dyDescent="0.3">
      <c r="A260" s="42">
        <v>245</v>
      </c>
      <c r="B260" s="43">
        <f>B259+R$8</f>
        <v>1245</v>
      </c>
      <c r="C260" s="10">
        <f>C259+R$7</f>
        <v>250</v>
      </c>
      <c r="D260" s="45">
        <f t="shared" si="7"/>
        <v>31365</v>
      </c>
    </row>
    <row r="261" spans="1:4" x14ac:dyDescent="0.3">
      <c r="A261" s="42">
        <v>246</v>
      </c>
      <c r="B261" s="43">
        <f>B260+R$8</f>
        <v>1246</v>
      </c>
      <c r="C261" s="10">
        <f>C260+R$7</f>
        <v>251</v>
      </c>
      <c r="D261" s="45">
        <f t="shared" si="7"/>
        <v>31616</v>
      </c>
    </row>
    <row r="262" spans="1:4" x14ac:dyDescent="0.3">
      <c r="A262" s="42">
        <v>247</v>
      </c>
      <c r="B262" s="43">
        <f>B261+R$8</f>
        <v>1247</v>
      </c>
      <c r="C262" s="10">
        <f>C261+R$7</f>
        <v>252</v>
      </c>
      <c r="D262" s="45">
        <f t="shared" si="7"/>
        <v>31868</v>
      </c>
    </row>
    <row r="263" spans="1:4" x14ac:dyDescent="0.3">
      <c r="A263" s="42">
        <v>248</v>
      </c>
      <c r="B263" s="43">
        <f>B262+R$8</f>
        <v>1248</v>
      </c>
      <c r="C263" s="10">
        <f>C262+R$7</f>
        <v>253</v>
      </c>
      <c r="D263" s="45">
        <f t="shared" si="7"/>
        <v>32121</v>
      </c>
    </row>
    <row r="264" spans="1:4" x14ac:dyDescent="0.3">
      <c r="A264" s="42">
        <v>249</v>
      </c>
      <c r="B264" s="43">
        <f>B263+R$8</f>
        <v>1249</v>
      </c>
      <c r="C264" s="10">
        <f>C263+R$7</f>
        <v>254</v>
      </c>
      <c r="D264" s="45">
        <f t="shared" si="7"/>
        <v>32375</v>
      </c>
    </row>
    <row r="265" spans="1:4" x14ac:dyDescent="0.3">
      <c r="A265" s="42">
        <v>250</v>
      </c>
      <c r="B265" s="43">
        <f>B264+R$8</f>
        <v>1250</v>
      </c>
      <c r="C265" s="10">
        <f>C264+R$7</f>
        <v>255</v>
      </c>
      <c r="D265" s="45">
        <f t="shared" si="7"/>
        <v>32630</v>
      </c>
    </row>
    <row r="266" spans="1:4" x14ac:dyDescent="0.3">
      <c r="A266" s="42">
        <v>251</v>
      </c>
      <c r="B266" s="43">
        <f>B265+R$8</f>
        <v>1251</v>
      </c>
      <c r="C266" s="10">
        <f>C265+R$7</f>
        <v>256</v>
      </c>
      <c r="D266" s="45">
        <f t="shared" si="7"/>
        <v>32886</v>
      </c>
    </row>
    <row r="267" spans="1:4" x14ac:dyDescent="0.3">
      <c r="A267" s="42">
        <v>252</v>
      </c>
      <c r="B267" s="43">
        <f>B266+R$8</f>
        <v>1252</v>
      </c>
      <c r="C267" s="10">
        <f>C266+R$7</f>
        <v>257</v>
      </c>
      <c r="D267" s="45">
        <f t="shared" si="7"/>
        <v>33143</v>
      </c>
    </row>
    <row r="268" spans="1:4" x14ac:dyDescent="0.3">
      <c r="A268" s="42">
        <v>253</v>
      </c>
      <c r="B268" s="43">
        <f>B267+R$8</f>
        <v>1253</v>
      </c>
      <c r="C268" s="10">
        <f>C267+R$7</f>
        <v>258</v>
      </c>
      <c r="D268" s="45">
        <f t="shared" si="7"/>
        <v>33401</v>
      </c>
    </row>
    <row r="269" spans="1:4" x14ac:dyDescent="0.3">
      <c r="A269" s="42">
        <v>254</v>
      </c>
      <c r="B269" s="43">
        <f>B268+R$8</f>
        <v>1254</v>
      </c>
      <c r="C269" s="10">
        <f>C268+R$7</f>
        <v>259</v>
      </c>
      <c r="D269" s="45">
        <f t="shared" si="7"/>
        <v>33660</v>
      </c>
    </row>
    <row r="270" spans="1:4" x14ac:dyDescent="0.3">
      <c r="A270" s="42">
        <v>255</v>
      </c>
      <c r="B270" s="43">
        <f>B269+R$8</f>
        <v>1255</v>
      </c>
      <c r="C270" s="10">
        <f>C269+R$7</f>
        <v>260</v>
      </c>
      <c r="D270" s="45">
        <f t="shared" si="7"/>
        <v>33920</v>
      </c>
    </row>
    <row r="271" spans="1:4" x14ac:dyDescent="0.3">
      <c r="A271" s="42">
        <v>256</v>
      </c>
      <c r="B271" s="43">
        <f>B270+R$8</f>
        <v>1256</v>
      </c>
      <c r="C271" s="10">
        <f>C270+R$7</f>
        <v>261</v>
      </c>
      <c r="D271" s="45">
        <f t="shared" si="7"/>
        <v>34181</v>
      </c>
    </row>
    <row r="272" spans="1:4" x14ac:dyDescent="0.3">
      <c r="A272" s="42">
        <v>257</v>
      </c>
      <c r="B272" s="43">
        <f>B271+R$8</f>
        <v>1257</v>
      </c>
      <c r="C272" s="10">
        <f>C271+R$7</f>
        <v>262</v>
      </c>
      <c r="D272" s="45">
        <f t="shared" si="7"/>
        <v>34443</v>
      </c>
    </row>
    <row r="273" spans="1:4" x14ac:dyDescent="0.3">
      <c r="A273" s="42">
        <v>258</v>
      </c>
      <c r="B273" s="43">
        <f>B272+R$8</f>
        <v>1258</v>
      </c>
      <c r="C273" s="10">
        <f>C272+R$7</f>
        <v>263</v>
      </c>
      <c r="D273" s="45">
        <f t="shared" ref="D273:D336" si="8">D272+C273</f>
        <v>34706</v>
      </c>
    </row>
    <row r="274" spans="1:4" x14ac:dyDescent="0.3">
      <c r="A274" s="42">
        <v>259</v>
      </c>
      <c r="B274" s="43">
        <f>B273+R$8</f>
        <v>1259</v>
      </c>
      <c r="C274" s="10">
        <f>C273+R$7</f>
        <v>264</v>
      </c>
      <c r="D274" s="45">
        <f t="shared" si="8"/>
        <v>34970</v>
      </c>
    </row>
    <row r="275" spans="1:4" x14ac:dyDescent="0.3">
      <c r="A275" s="42">
        <v>260</v>
      </c>
      <c r="B275" s="43">
        <f>B274+R$8</f>
        <v>1260</v>
      </c>
      <c r="C275" s="10">
        <f>C274+R$7</f>
        <v>265</v>
      </c>
      <c r="D275" s="45">
        <f t="shared" si="8"/>
        <v>35235</v>
      </c>
    </row>
    <row r="276" spans="1:4" x14ac:dyDescent="0.3">
      <c r="A276" s="42">
        <v>261</v>
      </c>
      <c r="B276" s="43">
        <f>B275+R$8</f>
        <v>1261</v>
      </c>
      <c r="C276" s="10">
        <f>C275+R$7</f>
        <v>266</v>
      </c>
      <c r="D276" s="45">
        <f t="shared" si="8"/>
        <v>35501</v>
      </c>
    </row>
    <row r="277" spans="1:4" x14ac:dyDescent="0.3">
      <c r="A277" s="42">
        <v>262</v>
      </c>
      <c r="B277" s="43">
        <f>B276+R$8</f>
        <v>1262</v>
      </c>
      <c r="C277" s="10">
        <f>C276+R$7</f>
        <v>267</v>
      </c>
      <c r="D277" s="45">
        <f t="shared" si="8"/>
        <v>35768</v>
      </c>
    </row>
    <row r="278" spans="1:4" x14ac:dyDescent="0.3">
      <c r="A278" s="42">
        <v>263</v>
      </c>
      <c r="B278" s="43">
        <f>B277+R$8</f>
        <v>1263</v>
      </c>
      <c r="C278" s="10">
        <f>C277+R$7</f>
        <v>268</v>
      </c>
      <c r="D278" s="45">
        <f t="shared" si="8"/>
        <v>36036</v>
      </c>
    </row>
    <row r="279" spans="1:4" x14ac:dyDescent="0.3">
      <c r="A279" s="42">
        <v>264</v>
      </c>
      <c r="B279" s="43">
        <f>B278+R$8</f>
        <v>1264</v>
      </c>
      <c r="C279" s="10">
        <f>C278+R$7</f>
        <v>269</v>
      </c>
      <c r="D279" s="45">
        <f t="shared" si="8"/>
        <v>36305</v>
      </c>
    </row>
    <row r="280" spans="1:4" x14ac:dyDescent="0.3">
      <c r="A280" s="42">
        <v>265</v>
      </c>
      <c r="B280" s="43">
        <f>B279+R$8</f>
        <v>1265</v>
      </c>
      <c r="C280" s="10">
        <f>C279+R$7</f>
        <v>270</v>
      </c>
      <c r="D280" s="45">
        <f t="shared" si="8"/>
        <v>36575</v>
      </c>
    </row>
    <row r="281" spans="1:4" x14ac:dyDescent="0.3">
      <c r="A281" s="42">
        <v>266</v>
      </c>
      <c r="B281" s="43">
        <f>B280+R$8</f>
        <v>1266</v>
      </c>
      <c r="C281" s="10">
        <f>C280+R$7</f>
        <v>271</v>
      </c>
      <c r="D281" s="45">
        <f t="shared" si="8"/>
        <v>36846</v>
      </c>
    </row>
    <row r="282" spans="1:4" x14ac:dyDescent="0.3">
      <c r="A282" s="42">
        <v>267</v>
      </c>
      <c r="B282" s="43">
        <f>B281+R$8</f>
        <v>1267</v>
      </c>
      <c r="C282" s="10">
        <f>C281+R$7</f>
        <v>272</v>
      </c>
      <c r="D282" s="45">
        <f t="shared" si="8"/>
        <v>37118</v>
      </c>
    </row>
    <row r="283" spans="1:4" x14ac:dyDescent="0.3">
      <c r="A283" s="42">
        <v>268</v>
      </c>
      <c r="B283" s="43">
        <f>B282+R$8</f>
        <v>1268</v>
      </c>
      <c r="C283" s="10">
        <f>C282+R$7</f>
        <v>273</v>
      </c>
      <c r="D283" s="45">
        <f t="shared" si="8"/>
        <v>37391</v>
      </c>
    </row>
    <row r="284" spans="1:4" x14ac:dyDescent="0.3">
      <c r="A284" s="42">
        <v>269</v>
      </c>
      <c r="B284" s="43">
        <f>B283+R$8</f>
        <v>1269</v>
      </c>
      <c r="C284" s="10">
        <f>C283+R$7</f>
        <v>274</v>
      </c>
      <c r="D284" s="45">
        <f t="shared" si="8"/>
        <v>37665</v>
      </c>
    </row>
    <row r="285" spans="1:4" x14ac:dyDescent="0.3">
      <c r="A285" s="42">
        <v>270</v>
      </c>
      <c r="B285" s="43">
        <f>B284+R$8</f>
        <v>1270</v>
      </c>
      <c r="C285" s="10">
        <f>C284+R$7</f>
        <v>275</v>
      </c>
      <c r="D285" s="45">
        <f t="shared" si="8"/>
        <v>37940</v>
      </c>
    </row>
    <row r="286" spans="1:4" x14ac:dyDescent="0.3">
      <c r="A286" s="42">
        <v>271</v>
      </c>
      <c r="B286" s="43">
        <f>B285+R$8</f>
        <v>1271</v>
      </c>
      <c r="C286" s="10">
        <f>C285+R$7</f>
        <v>276</v>
      </c>
      <c r="D286" s="45">
        <f t="shared" si="8"/>
        <v>38216</v>
      </c>
    </row>
    <row r="287" spans="1:4" x14ac:dyDescent="0.3">
      <c r="A287" s="42">
        <v>272</v>
      </c>
      <c r="B287" s="43">
        <f>B286+R$8</f>
        <v>1272</v>
      </c>
      <c r="C287" s="10">
        <f>C286+R$7</f>
        <v>277</v>
      </c>
      <c r="D287" s="45">
        <f t="shared" si="8"/>
        <v>38493</v>
      </c>
    </row>
    <row r="288" spans="1:4" x14ac:dyDescent="0.3">
      <c r="A288" s="42">
        <v>273</v>
      </c>
      <c r="B288" s="43">
        <f>B287+R$8</f>
        <v>1273</v>
      </c>
      <c r="C288" s="10">
        <f>C287+R$7</f>
        <v>278</v>
      </c>
      <c r="D288" s="45">
        <f t="shared" si="8"/>
        <v>38771</v>
      </c>
    </row>
    <row r="289" spans="1:4" x14ac:dyDescent="0.3">
      <c r="A289" s="42">
        <v>274</v>
      </c>
      <c r="B289" s="43">
        <f>B288+R$8</f>
        <v>1274</v>
      </c>
      <c r="C289" s="10">
        <f>C288+R$7</f>
        <v>279</v>
      </c>
      <c r="D289" s="45">
        <f t="shared" si="8"/>
        <v>39050</v>
      </c>
    </row>
    <row r="290" spans="1:4" x14ac:dyDescent="0.3">
      <c r="A290" s="42">
        <v>275</v>
      </c>
      <c r="B290" s="43">
        <f>B289+R$8</f>
        <v>1275</v>
      </c>
      <c r="C290" s="10">
        <f>C289+R$7</f>
        <v>280</v>
      </c>
      <c r="D290" s="45">
        <f t="shared" si="8"/>
        <v>39330</v>
      </c>
    </row>
    <row r="291" spans="1:4" x14ac:dyDescent="0.3">
      <c r="A291" s="42">
        <v>276</v>
      </c>
      <c r="B291" s="43">
        <f>B290+R$8</f>
        <v>1276</v>
      </c>
      <c r="C291" s="10">
        <f>C290+R$7</f>
        <v>281</v>
      </c>
      <c r="D291" s="45">
        <f t="shared" si="8"/>
        <v>39611</v>
      </c>
    </row>
    <row r="292" spans="1:4" x14ac:dyDescent="0.3">
      <c r="A292" s="42">
        <v>277</v>
      </c>
      <c r="B292" s="43">
        <f>B291+R$8</f>
        <v>1277</v>
      </c>
      <c r="C292" s="10">
        <f>C291+R$7</f>
        <v>282</v>
      </c>
      <c r="D292" s="45">
        <f t="shared" si="8"/>
        <v>39893</v>
      </c>
    </row>
    <row r="293" spans="1:4" x14ac:dyDescent="0.3">
      <c r="A293" s="42">
        <v>278</v>
      </c>
      <c r="B293" s="43">
        <f>B292+R$8</f>
        <v>1278</v>
      </c>
      <c r="C293" s="10">
        <f>C292+R$7</f>
        <v>283</v>
      </c>
      <c r="D293" s="45">
        <f t="shared" si="8"/>
        <v>40176</v>
      </c>
    </row>
    <row r="294" spans="1:4" x14ac:dyDescent="0.3">
      <c r="A294" s="42">
        <v>279</v>
      </c>
      <c r="B294" s="43">
        <f>B293+R$8</f>
        <v>1279</v>
      </c>
      <c r="C294" s="10">
        <f>C293+R$7</f>
        <v>284</v>
      </c>
      <c r="D294" s="45">
        <f t="shared" si="8"/>
        <v>40460</v>
      </c>
    </row>
    <row r="295" spans="1:4" x14ac:dyDescent="0.3">
      <c r="A295" s="42">
        <v>280</v>
      </c>
      <c r="B295" s="43">
        <f>B294+R$8</f>
        <v>1280</v>
      </c>
      <c r="C295" s="10">
        <f>C294+R$7</f>
        <v>285</v>
      </c>
      <c r="D295" s="45">
        <f t="shared" si="8"/>
        <v>40745</v>
      </c>
    </row>
    <row r="296" spans="1:4" x14ac:dyDescent="0.3">
      <c r="A296" s="42">
        <v>281</v>
      </c>
      <c r="B296" s="43">
        <f>B295+R$8</f>
        <v>1281</v>
      </c>
      <c r="C296" s="10">
        <f>C295+R$7</f>
        <v>286</v>
      </c>
      <c r="D296" s="45">
        <f t="shared" si="8"/>
        <v>41031</v>
      </c>
    </row>
    <row r="297" spans="1:4" x14ac:dyDescent="0.3">
      <c r="A297" s="42">
        <v>282</v>
      </c>
      <c r="B297" s="43">
        <f>B296+R$8</f>
        <v>1282</v>
      </c>
      <c r="C297" s="10">
        <f>C296+R$7</f>
        <v>287</v>
      </c>
      <c r="D297" s="45">
        <f t="shared" si="8"/>
        <v>41318</v>
      </c>
    </row>
    <row r="298" spans="1:4" x14ac:dyDescent="0.3">
      <c r="A298" s="42">
        <v>283</v>
      </c>
      <c r="B298" s="43">
        <f>B297+R$8</f>
        <v>1283</v>
      </c>
      <c r="C298" s="10">
        <f>C297+R$7</f>
        <v>288</v>
      </c>
      <c r="D298" s="45">
        <f t="shared" si="8"/>
        <v>41606</v>
      </c>
    </row>
    <row r="299" spans="1:4" x14ac:dyDescent="0.3">
      <c r="A299" s="42">
        <v>284</v>
      </c>
      <c r="B299" s="43">
        <f>B298+R$8</f>
        <v>1284</v>
      </c>
      <c r="C299" s="10">
        <f>C298+R$7</f>
        <v>289</v>
      </c>
      <c r="D299" s="45">
        <f t="shared" si="8"/>
        <v>41895</v>
      </c>
    </row>
    <row r="300" spans="1:4" x14ac:dyDescent="0.3">
      <c r="A300" s="42">
        <v>285</v>
      </c>
      <c r="B300" s="43">
        <f>B299+R$8</f>
        <v>1285</v>
      </c>
      <c r="C300" s="10">
        <f>C299+R$7</f>
        <v>290</v>
      </c>
      <c r="D300" s="45">
        <f t="shared" si="8"/>
        <v>42185</v>
      </c>
    </row>
    <row r="301" spans="1:4" x14ac:dyDescent="0.3">
      <c r="A301" s="42">
        <v>286</v>
      </c>
      <c r="B301" s="43">
        <f>B300+R$8</f>
        <v>1286</v>
      </c>
      <c r="C301" s="10">
        <f>C300+R$7</f>
        <v>291</v>
      </c>
      <c r="D301" s="45">
        <f t="shared" si="8"/>
        <v>42476</v>
      </c>
    </row>
    <row r="302" spans="1:4" x14ac:dyDescent="0.3">
      <c r="A302" s="42">
        <v>287</v>
      </c>
      <c r="B302" s="43">
        <f>B301+R$8</f>
        <v>1287</v>
      </c>
      <c r="C302" s="10">
        <f>C301+R$7</f>
        <v>292</v>
      </c>
      <c r="D302" s="45">
        <f t="shared" si="8"/>
        <v>42768</v>
      </c>
    </row>
    <row r="303" spans="1:4" x14ac:dyDescent="0.3">
      <c r="A303" s="42">
        <v>288</v>
      </c>
      <c r="B303" s="43">
        <f>B302+R$8</f>
        <v>1288</v>
      </c>
      <c r="C303" s="10">
        <f>C302+R$7</f>
        <v>293</v>
      </c>
      <c r="D303" s="45">
        <f t="shared" si="8"/>
        <v>43061</v>
      </c>
    </row>
    <row r="304" spans="1:4" x14ac:dyDescent="0.3">
      <c r="A304" s="42">
        <v>289</v>
      </c>
      <c r="B304" s="43">
        <f>B303+R$8</f>
        <v>1289</v>
      </c>
      <c r="C304" s="10">
        <f>C303+R$7</f>
        <v>294</v>
      </c>
      <c r="D304" s="45">
        <f t="shared" si="8"/>
        <v>43355</v>
      </c>
    </row>
    <row r="305" spans="1:4" x14ac:dyDescent="0.3">
      <c r="A305" s="42">
        <v>290</v>
      </c>
      <c r="B305" s="43">
        <f>B304+R$8</f>
        <v>1290</v>
      </c>
      <c r="C305" s="10">
        <f>C304+R$7</f>
        <v>295</v>
      </c>
      <c r="D305" s="45">
        <f t="shared" si="8"/>
        <v>43650</v>
      </c>
    </row>
    <row r="306" spans="1:4" x14ac:dyDescent="0.3">
      <c r="A306" s="42">
        <v>291</v>
      </c>
      <c r="B306" s="43">
        <f>B305+R$8</f>
        <v>1291</v>
      </c>
      <c r="C306" s="10">
        <f>C305+R$7</f>
        <v>296</v>
      </c>
      <c r="D306" s="45">
        <f t="shared" si="8"/>
        <v>43946</v>
      </c>
    </row>
    <row r="307" spans="1:4" x14ac:dyDescent="0.3">
      <c r="A307" s="42">
        <v>292</v>
      </c>
      <c r="B307" s="43">
        <f>B306+R$8</f>
        <v>1292</v>
      </c>
      <c r="C307" s="10">
        <f>C306+R$7</f>
        <v>297</v>
      </c>
      <c r="D307" s="45">
        <f t="shared" si="8"/>
        <v>44243</v>
      </c>
    </row>
    <row r="308" spans="1:4" x14ac:dyDescent="0.3">
      <c r="A308" s="42">
        <v>293</v>
      </c>
      <c r="B308" s="43">
        <f>B307+R$8</f>
        <v>1293</v>
      </c>
      <c r="C308" s="10">
        <f>C307+R$7</f>
        <v>298</v>
      </c>
      <c r="D308" s="45">
        <f t="shared" si="8"/>
        <v>44541</v>
      </c>
    </row>
    <row r="309" spans="1:4" x14ac:dyDescent="0.3">
      <c r="A309" s="42">
        <v>294</v>
      </c>
      <c r="B309" s="43">
        <f>B308+R$8</f>
        <v>1294</v>
      </c>
      <c r="C309" s="10">
        <f>C308+R$7</f>
        <v>299</v>
      </c>
      <c r="D309" s="45">
        <f t="shared" si="8"/>
        <v>44840</v>
      </c>
    </row>
    <row r="310" spans="1:4" x14ac:dyDescent="0.3">
      <c r="A310" s="42">
        <v>295</v>
      </c>
      <c r="B310" s="43">
        <f>B309+R$8</f>
        <v>1295</v>
      </c>
      <c r="C310" s="10">
        <f>C309+R$7</f>
        <v>300</v>
      </c>
      <c r="D310" s="45">
        <f t="shared" si="8"/>
        <v>45140</v>
      </c>
    </row>
    <row r="311" spans="1:4" x14ac:dyDescent="0.3">
      <c r="A311" s="42">
        <v>296</v>
      </c>
      <c r="B311" s="43">
        <f>B310+R$8</f>
        <v>1296</v>
      </c>
      <c r="C311" s="10">
        <f>C310+R$7</f>
        <v>301</v>
      </c>
      <c r="D311" s="45">
        <f t="shared" si="8"/>
        <v>45441</v>
      </c>
    </row>
    <row r="312" spans="1:4" x14ac:dyDescent="0.3">
      <c r="A312" s="42">
        <v>297</v>
      </c>
      <c r="B312" s="43">
        <f>B311+R$8</f>
        <v>1297</v>
      </c>
      <c r="C312" s="10">
        <f>C311+R$7</f>
        <v>302</v>
      </c>
      <c r="D312" s="45">
        <f t="shared" si="8"/>
        <v>45743</v>
      </c>
    </row>
    <row r="313" spans="1:4" x14ac:dyDescent="0.3">
      <c r="A313" s="42">
        <v>298</v>
      </c>
      <c r="B313" s="43">
        <f>B312+R$8</f>
        <v>1298</v>
      </c>
      <c r="C313" s="10">
        <f>C312+R$7</f>
        <v>303</v>
      </c>
      <c r="D313" s="45">
        <f t="shared" si="8"/>
        <v>46046</v>
      </c>
    </row>
    <row r="314" spans="1:4" x14ac:dyDescent="0.3">
      <c r="A314" s="42">
        <v>299</v>
      </c>
      <c r="B314" s="43">
        <f>B313+R$8</f>
        <v>1299</v>
      </c>
      <c r="C314" s="10">
        <f>C313+R$7</f>
        <v>304</v>
      </c>
      <c r="D314" s="45">
        <f t="shared" si="8"/>
        <v>46350</v>
      </c>
    </row>
    <row r="315" spans="1:4" x14ac:dyDescent="0.3">
      <c r="A315" s="42">
        <v>300</v>
      </c>
      <c r="B315" s="43">
        <f>B314+R$8</f>
        <v>1300</v>
      </c>
      <c r="C315" s="10">
        <f>C314+R$7</f>
        <v>305</v>
      </c>
      <c r="D315" s="45">
        <f t="shared" si="8"/>
        <v>46655</v>
      </c>
    </row>
    <row r="316" spans="1:4" x14ac:dyDescent="0.3">
      <c r="A316" s="42">
        <v>301</v>
      </c>
      <c r="B316" s="43">
        <f>B315+R$8</f>
        <v>1301</v>
      </c>
      <c r="C316" s="10">
        <f>C315+R$7</f>
        <v>306</v>
      </c>
      <c r="D316" s="45">
        <f t="shared" si="8"/>
        <v>46961</v>
      </c>
    </row>
    <row r="317" spans="1:4" x14ac:dyDescent="0.3">
      <c r="A317" s="42">
        <v>302</v>
      </c>
      <c r="B317" s="43">
        <f>B316+R$8</f>
        <v>1302</v>
      </c>
      <c r="C317" s="10">
        <f>C316+R$7</f>
        <v>307</v>
      </c>
      <c r="D317" s="45">
        <f t="shared" si="8"/>
        <v>47268</v>
      </c>
    </row>
    <row r="318" spans="1:4" x14ac:dyDescent="0.3">
      <c r="A318" s="42">
        <v>303</v>
      </c>
      <c r="B318" s="43">
        <f>B317+R$8</f>
        <v>1303</v>
      </c>
      <c r="C318" s="10">
        <f>C317+R$7</f>
        <v>308</v>
      </c>
      <c r="D318" s="45">
        <f t="shared" si="8"/>
        <v>47576</v>
      </c>
    </row>
    <row r="319" spans="1:4" x14ac:dyDescent="0.3">
      <c r="A319" s="42">
        <v>304</v>
      </c>
      <c r="B319" s="43">
        <f>B318+R$8</f>
        <v>1304</v>
      </c>
      <c r="C319" s="10">
        <f>C318+R$7</f>
        <v>309</v>
      </c>
      <c r="D319" s="45">
        <f t="shared" si="8"/>
        <v>47885</v>
      </c>
    </row>
    <row r="320" spans="1:4" x14ac:dyDescent="0.3">
      <c r="A320" s="42">
        <v>305</v>
      </c>
      <c r="B320" s="43">
        <f>B319+R$8</f>
        <v>1305</v>
      </c>
      <c r="C320" s="10">
        <f>C319+R$7</f>
        <v>310</v>
      </c>
      <c r="D320" s="45">
        <f t="shared" si="8"/>
        <v>48195</v>
      </c>
    </row>
    <row r="321" spans="1:4" x14ac:dyDescent="0.3">
      <c r="A321" s="42">
        <v>306</v>
      </c>
      <c r="B321" s="43">
        <f>B320+R$8</f>
        <v>1306</v>
      </c>
      <c r="C321" s="10">
        <f>C320+R$7</f>
        <v>311</v>
      </c>
      <c r="D321" s="45">
        <f t="shared" si="8"/>
        <v>48506</v>
      </c>
    </row>
    <row r="322" spans="1:4" x14ac:dyDescent="0.3">
      <c r="A322" s="42">
        <v>307</v>
      </c>
      <c r="B322" s="43">
        <f>B321+R$8</f>
        <v>1307</v>
      </c>
      <c r="C322" s="10">
        <f>C321+R$7</f>
        <v>312</v>
      </c>
      <c r="D322" s="45">
        <f t="shared" si="8"/>
        <v>48818</v>
      </c>
    </row>
    <row r="323" spans="1:4" x14ac:dyDescent="0.3">
      <c r="A323" s="42">
        <v>308</v>
      </c>
      <c r="B323" s="43">
        <f>B322+R$8</f>
        <v>1308</v>
      </c>
      <c r="C323" s="10">
        <f>C322+R$7</f>
        <v>313</v>
      </c>
      <c r="D323" s="45">
        <f t="shared" si="8"/>
        <v>49131</v>
      </c>
    </row>
    <row r="324" spans="1:4" x14ac:dyDescent="0.3">
      <c r="A324" s="42">
        <v>309</v>
      </c>
      <c r="B324" s="43">
        <f>B323+R$8</f>
        <v>1309</v>
      </c>
      <c r="C324" s="10">
        <f>C323+R$7</f>
        <v>314</v>
      </c>
      <c r="D324" s="45">
        <f t="shared" si="8"/>
        <v>49445</v>
      </c>
    </row>
    <row r="325" spans="1:4" x14ac:dyDescent="0.3">
      <c r="A325" s="42">
        <v>310</v>
      </c>
      <c r="B325" s="43">
        <f>B324+R$8</f>
        <v>1310</v>
      </c>
      <c r="C325" s="10">
        <f>C324+R$7</f>
        <v>315</v>
      </c>
      <c r="D325" s="45">
        <f t="shared" si="8"/>
        <v>49760</v>
      </c>
    </row>
    <row r="326" spans="1:4" x14ac:dyDescent="0.3">
      <c r="A326" s="42">
        <v>311</v>
      </c>
      <c r="B326" s="43">
        <f>B325+R$8</f>
        <v>1311</v>
      </c>
      <c r="C326" s="10">
        <f>C325+R$7</f>
        <v>316</v>
      </c>
      <c r="D326" s="45">
        <f t="shared" si="8"/>
        <v>50076</v>
      </c>
    </row>
    <row r="327" spans="1:4" x14ac:dyDescent="0.3">
      <c r="A327" s="42">
        <v>312</v>
      </c>
      <c r="B327" s="43">
        <f>B326+R$8</f>
        <v>1312</v>
      </c>
      <c r="C327" s="10">
        <f>C326+R$7</f>
        <v>317</v>
      </c>
      <c r="D327" s="45">
        <f t="shared" si="8"/>
        <v>50393</v>
      </c>
    </row>
    <row r="328" spans="1:4" x14ac:dyDescent="0.3">
      <c r="A328" s="42">
        <v>313</v>
      </c>
      <c r="B328" s="43">
        <f>B327+R$8</f>
        <v>1313</v>
      </c>
      <c r="C328" s="10">
        <f>C327+R$7</f>
        <v>318</v>
      </c>
      <c r="D328" s="45">
        <f t="shared" si="8"/>
        <v>50711</v>
      </c>
    </row>
    <row r="329" spans="1:4" x14ac:dyDescent="0.3">
      <c r="A329" s="42">
        <v>314</v>
      </c>
      <c r="B329" s="43">
        <f>B328+R$8</f>
        <v>1314</v>
      </c>
      <c r="C329" s="10">
        <f>C328+R$7</f>
        <v>319</v>
      </c>
      <c r="D329" s="45">
        <f t="shared" si="8"/>
        <v>51030</v>
      </c>
    </row>
    <row r="330" spans="1:4" x14ac:dyDescent="0.3">
      <c r="A330" s="42">
        <v>315</v>
      </c>
      <c r="B330" s="43">
        <f>B329+R$8</f>
        <v>1315</v>
      </c>
      <c r="C330" s="10">
        <f>C329+R$7</f>
        <v>320</v>
      </c>
      <c r="D330" s="45">
        <f t="shared" si="8"/>
        <v>51350</v>
      </c>
    </row>
    <row r="331" spans="1:4" x14ac:dyDescent="0.3">
      <c r="A331" s="42">
        <v>316</v>
      </c>
      <c r="B331" s="43">
        <f>B330+R$8</f>
        <v>1316</v>
      </c>
      <c r="C331" s="10">
        <f>C330+R$7</f>
        <v>321</v>
      </c>
      <c r="D331" s="45">
        <f t="shared" si="8"/>
        <v>51671</v>
      </c>
    </row>
    <row r="332" spans="1:4" x14ac:dyDescent="0.3">
      <c r="A332" s="42">
        <v>317</v>
      </c>
      <c r="B332" s="43">
        <f>B331+R$8</f>
        <v>1317</v>
      </c>
      <c r="C332" s="10">
        <f>C331+R$7</f>
        <v>322</v>
      </c>
      <c r="D332" s="45">
        <f t="shared" si="8"/>
        <v>51993</v>
      </c>
    </row>
    <row r="333" spans="1:4" x14ac:dyDescent="0.3">
      <c r="A333" s="42">
        <v>318</v>
      </c>
      <c r="B333" s="43">
        <f>B332+R$8</f>
        <v>1318</v>
      </c>
      <c r="C333" s="10">
        <f>C332+R$7</f>
        <v>323</v>
      </c>
      <c r="D333" s="45">
        <f t="shared" si="8"/>
        <v>52316</v>
      </c>
    </row>
    <row r="334" spans="1:4" x14ac:dyDescent="0.3">
      <c r="A334" s="42">
        <v>319</v>
      </c>
      <c r="B334" s="43">
        <f>B333+R$8</f>
        <v>1319</v>
      </c>
      <c r="C334" s="10">
        <f>C333+R$7</f>
        <v>324</v>
      </c>
      <c r="D334" s="45">
        <f t="shared" si="8"/>
        <v>52640</v>
      </c>
    </row>
    <row r="335" spans="1:4" x14ac:dyDescent="0.3">
      <c r="A335" s="42">
        <v>320</v>
      </c>
      <c r="B335" s="43">
        <f>B334+R$8</f>
        <v>1320</v>
      </c>
      <c r="C335" s="10">
        <f>C334+R$7</f>
        <v>325</v>
      </c>
      <c r="D335" s="45">
        <f t="shared" si="8"/>
        <v>52965</v>
      </c>
    </row>
    <row r="336" spans="1:4" x14ac:dyDescent="0.3">
      <c r="A336" s="42">
        <v>321</v>
      </c>
      <c r="B336" s="43">
        <f>B335+R$8</f>
        <v>1321</v>
      </c>
      <c r="C336" s="10">
        <f>C335+R$7</f>
        <v>326</v>
      </c>
      <c r="D336" s="45">
        <f t="shared" si="8"/>
        <v>53291</v>
      </c>
    </row>
    <row r="337" spans="1:4" x14ac:dyDescent="0.3">
      <c r="A337" s="42">
        <v>322</v>
      </c>
      <c r="B337" s="43">
        <f>B336+R$8</f>
        <v>1322</v>
      </c>
      <c r="C337" s="10">
        <f>C336+R$7</f>
        <v>327</v>
      </c>
      <c r="D337" s="45">
        <f t="shared" ref="D337:D400" si="9">D336+C337</f>
        <v>53618</v>
      </c>
    </row>
    <row r="338" spans="1:4" x14ac:dyDescent="0.3">
      <c r="A338" s="42">
        <v>323</v>
      </c>
      <c r="B338" s="43">
        <f>B337+R$8</f>
        <v>1323</v>
      </c>
      <c r="C338" s="10">
        <f>C337+R$7</f>
        <v>328</v>
      </c>
      <c r="D338" s="45">
        <f t="shared" si="9"/>
        <v>53946</v>
      </c>
    </row>
    <row r="339" spans="1:4" x14ac:dyDescent="0.3">
      <c r="A339" s="42">
        <v>324</v>
      </c>
      <c r="B339" s="43">
        <f>B338+R$8</f>
        <v>1324</v>
      </c>
      <c r="C339" s="10">
        <f>C338+R$7</f>
        <v>329</v>
      </c>
      <c r="D339" s="45">
        <f t="shared" si="9"/>
        <v>54275</v>
      </c>
    </row>
    <row r="340" spans="1:4" x14ac:dyDescent="0.3">
      <c r="A340" s="42">
        <v>325</v>
      </c>
      <c r="B340" s="43">
        <f>B339+R$8</f>
        <v>1325</v>
      </c>
      <c r="C340" s="10">
        <f>C339+R$7</f>
        <v>330</v>
      </c>
      <c r="D340" s="45">
        <f t="shared" si="9"/>
        <v>54605</v>
      </c>
    </row>
    <row r="341" spans="1:4" x14ac:dyDescent="0.3">
      <c r="A341" s="42">
        <v>326</v>
      </c>
      <c r="B341" s="43">
        <f>B340+R$8</f>
        <v>1326</v>
      </c>
      <c r="C341" s="10">
        <f>C340+R$7</f>
        <v>331</v>
      </c>
      <c r="D341" s="45">
        <f t="shared" si="9"/>
        <v>54936</v>
      </c>
    </row>
    <row r="342" spans="1:4" x14ac:dyDescent="0.3">
      <c r="A342" s="42">
        <v>327</v>
      </c>
      <c r="B342" s="43">
        <f>B341+R$8</f>
        <v>1327</v>
      </c>
      <c r="C342" s="10">
        <f>C341+R$7</f>
        <v>332</v>
      </c>
      <c r="D342" s="45">
        <f t="shared" si="9"/>
        <v>55268</v>
      </c>
    </row>
    <row r="343" spans="1:4" x14ac:dyDescent="0.3">
      <c r="A343" s="42">
        <v>328</v>
      </c>
      <c r="B343" s="43">
        <f>B342+R$8</f>
        <v>1328</v>
      </c>
      <c r="C343" s="10">
        <f>C342+R$7</f>
        <v>333</v>
      </c>
      <c r="D343" s="45">
        <f t="shared" si="9"/>
        <v>55601</v>
      </c>
    </row>
    <row r="344" spans="1:4" x14ac:dyDescent="0.3">
      <c r="A344" s="42">
        <v>329</v>
      </c>
      <c r="B344" s="43">
        <f>B343+R$8</f>
        <v>1329</v>
      </c>
      <c r="C344" s="10">
        <f>C343+R$7</f>
        <v>334</v>
      </c>
      <c r="D344" s="45">
        <f t="shared" si="9"/>
        <v>55935</v>
      </c>
    </row>
    <row r="345" spans="1:4" x14ac:dyDescent="0.3">
      <c r="A345" s="42">
        <v>330</v>
      </c>
      <c r="B345" s="43">
        <f>B344+R$8</f>
        <v>1330</v>
      </c>
      <c r="C345" s="10">
        <f>C344+R$7</f>
        <v>335</v>
      </c>
      <c r="D345" s="45">
        <f t="shared" si="9"/>
        <v>56270</v>
      </c>
    </row>
    <row r="346" spans="1:4" x14ac:dyDescent="0.3">
      <c r="A346" s="42">
        <v>331</v>
      </c>
      <c r="B346" s="43">
        <f>B345+R$8</f>
        <v>1331</v>
      </c>
      <c r="C346" s="10">
        <f>C345+R$7</f>
        <v>336</v>
      </c>
      <c r="D346" s="45">
        <f t="shared" si="9"/>
        <v>56606</v>
      </c>
    </row>
    <row r="347" spans="1:4" x14ac:dyDescent="0.3">
      <c r="A347" s="42">
        <v>332</v>
      </c>
      <c r="B347" s="43">
        <f>B346+R$8</f>
        <v>1332</v>
      </c>
      <c r="C347" s="10">
        <f>C346+R$7</f>
        <v>337</v>
      </c>
      <c r="D347" s="45">
        <f t="shared" si="9"/>
        <v>56943</v>
      </c>
    </row>
    <row r="348" spans="1:4" x14ac:dyDescent="0.3">
      <c r="A348" s="42">
        <v>333</v>
      </c>
      <c r="B348" s="43">
        <f>B347+R$8</f>
        <v>1333</v>
      </c>
      <c r="C348" s="10">
        <f>C347+R$7</f>
        <v>338</v>
      </c>
      <c r="D348" s="45">
        <f t="shared" si="9"/>
        <v>57281</v>
      </c>
    </row>
    <row r="349" spans="1:4" x14ac:dyDescent="0.3">
      <c r="A349" s="42">
        <v>334</v>
      </c>
      <c r="B349" s="43">
        <f>B348+R$8</f>
        <v>1334</v>
      </c>
      <c r="C349" s="10">
        <f>C348+R$7</f>
        <v>339</v>
      </c>
      <c r="D349" s="45">
        <f t="shared" si="9"/>
        <v>57620</v>
      </c>
    </row>
    <row r="350" spans="1:4" x14ac:dyDescent="0.3">
      <c r="A350" s="42">
        <v>335</v>
      </c>
      <c r="B350" s="43">
        <f>B349+R$8</f>
        <v>1335</v>
      </c>
      <c r="C350" s="10">
        <f>C349+R$7</f>
        <v>340</v>
      </c>
      <c r="D350" s="45">
        <f t="shared" si="9"/>
        <v>57960</v>
      </c>
    </row>
    <row r="351" spans="1:4" x14ac:dyDescent="0.3">
      <c r="A351" s="42">
        <v>336</v>
      </c>
      <c r="B351" s="43">
        <f>B350+R$8</f>
        <v>1336</v>
      </c>
      <c r="C351" s="10">
        <f>C350+R$7</f>
        <v>341</v>
      </c>
      <c r="D351" s="45">
        <f t="shared" si="9"/>
        <v>58301</v>
      </c>
    </row>
    <row r="352" spans="1:4" x14ac:dyDescent="0.3">
      <c r="A352" s="42">
        <v>337</v>
      </c>
      <c r="B352" s="43">
        <f>B351+R$8</f>
        <v>1337</v>
      </c>
      <c r="C352" s="10">
        <f>C351+R$7</f>
        <v>342</v>
      </c>
      <c r="D352" s="45">
        <f t="shared" si="9"/>
        <v>58643</v>
      </c>
    </row>
    <row r="353" spans="1:4" x14ac:dyDescent="0.3">
      <c r="A353" s="42">
        <v>338</v>
      </c>
      <c r="B353" s="43">
        <f>B352+R$8</f>
        <v>1338</v>
      </c>
      <c r="C353" s="10">
        <f>C352+R$7</f>
        <v>343</v>
      </c>
      <c r="D353" s="45">
        <f t="shared" si="9"/>
        <v>58986</v>
      </c>
    </row>
    <row r="354" spans="1:4" x14ac:dyDescent="0.3">
      <c r="A354" s="42">
        <v>339</v>
      </c>
      <c r="B354" s="43">
        <f>B353+R$8</f>
        <v>1339</v>
      </c>
      <c r="C354" s="10">
        <f>C353+R$7</f>
        <v>344</v>
      </c>
      <c r="D354" s="45">
        <f t="shared" si="9"/>
        <v>59330</v>
      </c>
    </row>
    <row r="355" spans="1:4" x14ac:dyDescent="0.3">
      <c r="A355" s="42">
        <v>340</v>
      </c>
      <c r="B355" s="43">
        <f>B354+R$8</f>
        <v>1340</v>
      </c>
      <c r="C355" s="10">
        <f>C354+R$7</f>
        <v>345</v>
      </c>
      <c r="D355" s="45">
        <f t="shared" si="9"/>
        <v>59675</v>
      </c>
    </row>
    <row r="356" spans="1:4" x14ac:dyDescent="0.3">
      <c r="A356" s="42">
        <v>341</v>
      </c>
      <c r="B356" s="43">
        <f>B355+R$8</f>
        <v>1341</v>
      </c>
      <c r="C356" s="10">
        <f>C355+R$7</f>
        <v>346</v>
      </c>
      <c r="D356" s="45">
        <f t="shared" si="9"/>
        <v>60021</v>
      </c>
    </row>
    <row r="357" spans="1:4" x14ac:dyDescent="0.3">
      <c r="A357" s="42">
        <v>342</v>
      </c>
      <c r="B357" s="43">
        <f>B356+R$8</f>
        <v>1342</v>
      </c>
      <c r="C357" s="10">
        <f>C356+R$7</f>
        <v>347</v>
      </c>
      <c r="D357" s="45">
        <f t="shared" si="9"/>
        <v>60368</v>
      </c>
    </row>
    <row r="358" spans="1:4" x14ac:dyDescent="0.3">
      <c r="A358" s="42">
        <v>343</v>
      </c>
      <c r="B358" s="43">
        <f>B357+R$8</f>
        <v>1343</v>
      </c>
      <c r="C358" s="10">
        <f>C357+R$7</f>
        <v>348</v>
      </c>
      <c r="D358" s="45">
        <f t="shared" si="9"/>
        <v>60716</v>
      </c>
    </row>
    <row r="359" spans="1:4" x14ac:dyDescent="0.3">
      <c r="A359" s="42">
        <v>344</v>
      </c>
      <c r="B359" s="43">
        <f>B358+R$8</f>
        <v>1344</v>
      </c>
      <c r="C359" s="10">
        <f>C358+R$7</f>
        <v>349</v>
      </c>
      <c r="D359" s="45">
        <f t="shared" si="9"/>
        <v>61065</v>
      </c>
    </row>
    <row r="360" spans="1:4" x14ac:dyDescent="0.3">
      <c r="A360" s="42">
        <v>345</v>
      </c>
      <c r="B360" s="43">
        <f>B359+R$8</f>
        <v>1345</v>
      </c>
      <c r="C360" s="10">
        <f>C359+R$7</f>
        <v>350</v>
      </c>
      <c r="D360" s="45">
        <f t="shared" si="9"/>
        <v>61415</v>
      </c>
    </row>
    <row r="361" spans="1:4" x14ac:dyDescent="0.3">
      <c r="A361" s="42">
        <v>346</v>
      </c>
      <c r="B361" s="43">
        <f>B360+R$8</f>
        <v>1346</v>
      </c>
      <c r="C361" s="10">
        <f>C360+R$7</f>
        <v>351</v>
      </c>
      <c r="D361" s="45">
        <f t="shared" si="9"/>
        <v>61766</v>
      </c>
    </row>
    <row r="362" spans="1:4" x14ac:dyDescent="0.3">
      <c r="A362" s="42">
        <v>347</v>
      </c>
      <c r="B362" s="43">
        <f>B361+R$8</f>
        <v>1347</v>
      </c>
      <c r="C362" s="10">
        <f>C361+R$7</f>
        <v>352</v>
      </c>
      <c r="D362" s="45">
        <f t="shared" si="9"/>
        <v>62118</v>
      </c>
    </row>
    <row r="363" spans="1:4" x14ac:dyDescent="0.3">
      <c r="A363" s="42">
        <v>348</v>
      </c>
      <c r="B363" s="43">
        <f>B362+R$8</f>
        <v>1348</v>
      </c>
      <c r="C363" s="10">
        <f>C362+R$7</f>
        <v>353</v>
      </c>
      <c r="D363" s="45">
        <f t="shared" si="9"/>
        <v>62471</v>
      </c>
    </row>
    <row r="364" spans="1:4" x14ac:dyDescent="0.3">
      <c r="A364" s="42">
        <v>349</v>
      </c>
      <c r="B364" s="43">
        <f>B363+R$8</f>
        <v>1349</v>
      </c>
      <c r="C364" s="10">
        <f>C363+R$7</f>
        <v>354</v>
      </c>
      <c r="D364" s="45">
        <f t="shared" si="9"/>
        <v>62825</v>
      </c>
    </row>
    <row r="365" spans="1:4" x14ac:dyDescent="0.3">
      <c r="A365" s="42">
        <v>350</v>
      </c>
      <c r="B365" s="43">
        <f>B364+R$8</f>
        <v>1350</v>
      </c>
      <c r="C365" s="10">
        <f>C364+R$7</f>
        <v>355</v>
      </c>
      <c r="D365" s="45">
        <f t="shared" si="9"/>
        <v>63180</v>
      </c>
    </row>
    <row r="366" spans="1:4" x14ac:dyDescent="0.3">
      <c r="A366" s="42">
        <v>351</v>
      </c>
      <c r="B366" s="43">
        <f>B365+R$8</f>
        <v>1351</v>
      </c>
      <c r="C366" s="10">
        <f>C365+R$7</f>
        <v>356</v>
      </c>
      <c r="D366" s="45">
        <f t="shared" si="9"/>
        <v>63536</v>
      </c>
    </row>
    <row r="367" spans="1:4" x14ac:dyDescent="0.3">
      <c r="A367" s="42">
        <v>352</v>
      </c>
      <c r="B367" s="43">
        <f>B366+R$8</f>
        <v>1352</v>
      </c>
      <c r="C367" s="10">
        <f>C366+R$7</f>
        <v>357</v>
      </c>
      <c r="D367" s="45">
        <f t="shared" si="9"/>
        <v>63893</v>
      </c>
    </row>
    <row r="368" spans="1:4" x14ac:dyDescent="0.3">
      <c r="A368" s="42">
        <v>353</v>
      </c>
      <c r="B368" s="43">
        <f>B367+R$8</f>
        <v>1353</v>
      </c>
      <c r="C368" s="10">
        <f>C367+R$7</f>
        <v>358</v>
      </c>
      <c r="D368" s="45">
        <f t="shared" si="9"/>
        <v>64251</v>
      </c>
    </row>
    <row r="369" spans="1:4" x14ac:dyDescent="0.3">
      <c r="A369" s="42">
        <v>354</v>
      </c>
      <c r="B369" s="43">
        <f>B368+R$8</f>
        <v>1354</v>
      </c>
      <c r="C369" s="10">
        <f>C368+R$7</f>
        <v>359</v>
      </c>
      <c r="D369" s="45">
        <f t="shared" si="9"/>
        <v>64610</v>
      </c>
    </row>
    <row r="370" spans="1:4" x14ac:dyDescent="0.3">
      <c r="A370" s="42">
        <v>355</v>
      </c>
      <c r="B370" s="43">
        <f>B369+R$8</f>
        <v>1355</v>
      </c>
      <c r="C370" s="10">
        <f>C369+R$7</f>
        <v>360</v>
      </c>
      <c r="D370" s="45">
        <f t="shared" si="9"/>
        <v>64970</v>
      </c>
    </row>
    <row r="371" spans="1:4" x14ac:dyDescent="0.3">
      <c r="A371" s="42">
        <v>356</v>
      </c>
      <c r="B371" s="43">
        <f>B370+R$8</f>
        <v>1356</v>
      </c>
      <c r="C371" s="10">
        <f>C370+R$7</f>
        <v>361</v>
      </c>
      <c r="D371" s="45">
        <f t="shared" si="9"/>
        <v>65331</v>
      </c>
    </row>
    <row r="372" spans="1:4" x14ac:dyDescent="0.3">
      <c r="A372" s="42">
        <v>357</v>
      </c>
      <c r="B372" s="43">
        <f>B371+R$8</f>
        <v>1357</v>
      </c>
      <c r="C372" s="10">
        <f>C371+R$7</f>
        <v>362</v>
      </c>
      <c r="D372" s="45">
        <f t="shared" si="9"/>
        <v>65693</v>
      </c>
    </row>
    <row r="373" spans="1:4" x14ac:dyDescent="0.3">
      <c r="A373" s="42">
        <v>358</v>
      </c>
      <c r="B373" s="43">
        <f>B372+R$8</f>
        <v>1358</v>
      </c>
      <c r="C373" s="10">
        <f>C372+R$7</f>
        <v>363</v>
      </c>
      <c r="D373" s="45">
        <f t="shared" si="9"/>
        <v>66056</v>
      </c>
    </row>
    <row r="374" spans="1:4" x14ac:dyDescent="0.3">
      <c r="A374" s="42">
        <v>359</v>
      </c>
      <c r="B374" s="43">
        <f>B373+R$8</f>
        <v>1359</v>
      </c>
      <c r="C374" s="10">
        <f>C373+R$7</f>
        <v>364</v>
      </c>
      <c r="D374" s="45">
        <f t="shared" si="9"/>
        <v>66420</v>
      </c>
    </row>
    <row r="375" spans="1:4" x14ac:dyDescent="0.3">
      <c r="A375" s="42">
        <v>360</v>
      </c>
      <c r="B375" s="43">
        <f>B374+R$8</f>
        <v>1360</v>
      </c>
      <c r="C375" s="10">
        <f>C374+R$7</f>
        <v>365</v>
      </c>
      <c r="D375" s="45">
        <f t="shared" si="9"/>
        <v>66785</v>
      </c>
    </row>
    <row r="376" spans="1:4" x14ac:dyDescent="0.3">
      <c r="A376" s="42">
        <v>361</v>
      </c>
      <c r="B376" s="43">
        <f>B375+R$8</f>
        <v>1361</v>
      </c>
      <c r="C376" s="10">
        <f>C375+R$7</f>
        <v>366</v>
      </c>
      <c r="D376" s="45">
        <f t="shared" si="9"/>
        <v>67151</v>
      </c>
    </row>
    <row r="377" spans="1:4" x14ac:dyDescent="0.3">
      <c r="A377" s="42">
        <v>362</v>
      </c>
      <c r="B377" s="43">
        <f>B376+R$8</f>
        <v>1362</v>
      </c>
      <c r="C377" s="10">
        <f>C376+R$7</f>
        <v>367</v>
      </c>
      <c r="D377" s="45">
        <f t="shared" si="9"/>
        <v>67518</v>
      </c>
    </row>
    <row r="378" spans="1:4" x14ac:dyDescent="0.3">
      <c r="A378" s="42">
        <v>363</v>
      </c>
      <c r="B378" s="43">
        <f>B377+R$8</f>
        <v>1363</v>
      </c>
      <c r="C378" s="10">
        <f>C377+R$7</f>
        <v>368</v>
      </c>
      <c r="D378" s="45">
        <f t="shared" si="9"/>
        <v>67886</v>
      </c>
    </row>
    <row r="379" spans="1:4" x14ac:dyDescent="0.3">
      <c r="A379" s="42">
        <v>364</v>
      </c>
      <c r="B379" s="43">
        <f>B378+R$8</f>
        <v>1364</v>
      </c>
      <c r="C379" s="10">
        <f>C378+R$7</f>
        <v>369</v>
      </c>
      <c r="D379" s="45">
        <f t="shared" si="9"/>
        <v>68255</v>
      </c>
    </row>
    <row r="380" spans="1:4" x14ac:dyDescent="0.3">
      <c r="A380" s="42">
        <v>365</v>
      </c>
      <c r="B380" s="43">
        <f>B379+R$8</f>
        <v>1365</v>
      </c>
      <c r="C380" s="10">
        <f>C379+R$7</f>
        <v>370</v>
      </c>
      <c r="D380" s="45">
        <f t="shared" si="9"/>
        <v>68625</v>
      </c>
    </row>
    <row r="381" spans="1:4" x14ac:dyDescent="0.3">
      <c r="A381" s="42">
        <v>366</v>
      </c>
      <c r="B381" s="43">
        <f>B380+R$8</f>
        <v>1366</v>
      </c>
      <c r="C381" s="10">
        <f>C380+R$7</f>
        <v>371</v>
      </c>
      <c r="D381" s="45">
        <f t="shared" si="9"/>
        <v>68996</v>
      </c>
    </row>
    <row r="382" spans="1:4" x14ac:dyDescent="0.3">
      <c r="A382" s="42">
        <v>367</v>
      </c>
      <c r="B382" s="43">
        <f>B381+R$8</f>
        <v>1367</v>
      </c>
      <c r="C382" s="10">
        <f>C381+R$7</f>
        <v>372</v>
      </c>
      <c r="D382" s="45">
        <f t="shared" si="9"/>
        <v>69368</v>
      </c>
    </row>
    <row r="383" spans="1:4" x14ac:dyDescent="0.3">
      <c r="A383" s="42">
        <v>368</v>
      </c>
      <c r="B383" s="43">
        <f>B382+R$8</f>
        <v>1368</v>
      </c>
      <c r="C383" s="10">
        <f>C382+R$7</f>
        <v>373</v>
      </c>
      <c r="D383" s="45">
        <f t="shared" si="9"/>
        <v>69741</v>
      </c>
    </row>
    <row r="384" spans="1:4" x14ac:dyDescent="0.3">
      <c r="A384" s="42">
        <v>369</v>
      </c>
      <c r="B384" s="43">
        <f>B383+R$8</f>
        <v>1369</v>
      </c>
      <c r="C384" s="10">
        <f>C383+R$7</f>
        <v>374</v>
      </c>
      <c r="D384" s="45">
        <f t="shared" si="9"/>
        <v>70115</v>
      </c>
    </row>
    <row r="385" spans="1:4" x14ac:dyDescent="0.3">
      <c r="A385" s="42">
        <v>370</v>
      </c>
      <c r="B385" s="43">
        <f>B384+R$8</f>
        <v>1370</v>
      </c>
      <c r="C385" s="10">
        <f>C384+R$7</f>
        <v>375</v>
      </c>
      <c r="D385" s="45">
        <f t="shared" si="9"/>
        <v>70490</v>
      </c>
    </row>
    <row r="386" spans="1:4" x14ac:dyDescent="0.3">
      <c r="A386" s="42">
        <v>371</v>
      </c>
      <c r="B386" s="43">
        <f>B385+R$8</f>
        <v>1371</v>
      </c>
      <c r="C386" s="10">
        <f>C385+R$7</f>
        <v>376</v>
      </c>
      <c r="D386" s="45">
        <f t="shared" si="9"/>
        <v>70866</v>
      </c>
    </row>
    <row r="387" spans="1:4" x14ac:dyDescent="0.3">
      <c r="A387" s="42">
        <v>372</v>
      </c>
      <c r="B387" s="43">
        <f>B386+R$8</f>
        <v>1372</v>
      </c>
      <c r="C387" s="10">
        <f>C386+R$7</f>
        <v>377</v>
      </c>
      <c r="D387" s="45">
        <f t="shared" si="9"/>
        <v>71243</v>
      </c>
    </row>
    <row r="388" spans="1:4" x14ac:dyDescent="0.3">
      <c r="A388" s="42">
        <v>373</v>
      </c>
      <c r="B388" s="43">
        <f>B387+R$8</f>
        <v>1373</v>
      </c>
      <c r="C388" s="10">
        <f>C387+R$7</f>
        <v>378</v>
      </c>
      <c r="D388" s="45">
        <f t="shared" si="9"/>
        <v>71621</v>
      </c>
    </row>
    <row r="389" spans="1:4" x14ac:dyDescent="0.3">
      <c r="A389" s="42">
        <v>374</v>
      </c>
      <c r="B389" s="43">
        <f>B388+R$8</f>
        <v>1374</v>
      </c>
      <c r="C389" s="10">
        <f>C388+R$7</f>
        <v>379</v>
      </c>
      <c r="D389" s="45">
        <f t="shared" si="9"/>
        <v>72000</v>
      </c>
    </row>
    <row r="390" spans="1:4" x14ac:dyDescent="0.3">
      <c r="A390" s="42">
        <v>375</v>
      </c>
      <c r="B390" s="43">
        <f>B389+R$8</f>
        <v>1375</v>
      </c>
      <c r="C390" s="10">
        <f>C389+R$7</f>
        <v>380</v>
      </c>
      <c r="D390" s="45">
        <f t="shared" si="9"/>
        <v>72380</v>
      </c>
    </row>
    <row r="391" spans="1:4" x14ac:dyDescent="0.3">
      <c r="A391" s="42">
        <v>376</v>
      </c>
      <c r="B391" s="43">
        <f>B390+R$8</f>
        <v>1376</v>
      </c>
      <c r="C391" s="10">
        <f>C390+R$7</f>
        <v>381</v>
      </c>
      <c r="D391" s="45">
        <f t="shared" si="9"/>
        <v>72761</v>
      </c>
    </row>
    <row r="392" spans="1:4" x14ac:dyDescent="0.3">
      <c r="A392" s="42">
        <v>377</v>
      </c>
      <c r="B392" s="43">
        <f>B391+R$8</f>
        <v>1377</v>
      </c>
      <c r="C392" s="10">
        <f>C391+R$7</f>
        <v>382</v>
      </c>
      <c r="D392" s="45">
        <f t="shared" si="9"/>
        <v>73143</v>
      </c>
    </row>
    <row r="393" spans="1:4" x14ac:dyDescent="0.3">
      <c r="A393" s="42">
        <v>378</v>
      </c>
      <c r="B393" s="43">
        <f>B392+R$8</f>
        <v>1378</v>
      </c>
      <c r="C393" s="10">
        <f>C392+R$7</f>
        <v>383</v>
      </c>
      <c r="D393" s="45">
        <f t="shared" si="9"/>
        <v>73526</v>
      </c>
    </row>
    <row r="394" spans="1:4" x14ac:dyDescent="0.3">
      <c r="A394" s="42">
        <v>379</v>
      </c>
      <c r="B394" s="43">
        <f>B393+R$8</f>
        <v>1379</v>
      </c>
      <c r="C394" s="10">
        <f>C393+R$7</f>
        <v>384</v>
      </c>
      <c r="D394" s="45">
        <f t="shared" si="9"/>
        <v>73910</v>
      </c>
    </row>
    <row r="395" spans="1:4" x14ac:dyDescent="0.3">
      <c r="A395" s="42">
        <v>380</v>
      </c>
      <c r="B395" s="43">
        <f>B394+R$8</f>
        <v>1380</v>
      </c>
      <c r="C395" s="10">
        <f>C394+R$7</f>
        <v>385</v>
      </c>
      <c r="D395" s="45">
        <f t="shared" si="9"/>
        <v>74295</v>
      </c>
    </row>
    <row r="396" spans="1:4" x14ac:dyDescent="0.3">
      <c r="A396" s="42">
        <v>381</v>
      </c>
      <c r="B396" s="43">
        <f>B395+R$8</f>
        <v>1381</v>
      </c>
      <c r="C396" s="10">
        <f>C395+R$7</f>
        <v>386</v>
      </c>
      <c r="D396" s="45">
        <f t="shared" si="9"/>
        <v>74681</v>
      </c>
    </row>
    <row r="397" spans="1:4" x14ac:dyDescent="0.3">
      <c r="A397" s="42">
        <v>382</v>
      </c>
      <c r="B397" s="43">
        <f>B396+R$8</f>
        <v>1382</v>
      </c>
      <c r="C397" s="10">
        <f>C396+R$7</f>
        <v>387</v>
      </c>
      <c r="D397" s="45">
        <f t="shared" si="9"/>
        <v>75068</v>
      </c>
    </row>
    <row r="398" spans="1:4" x14ac:dyDescent="0.3">
      <c r="A398" s="42">
        <v>383</v>
      </c>
      <c r="B398" s="43">
        <f>B397+R$8</f>
        <v>1383</v>
      </c>
      <c r="C398" s="10">
        <f>C397+R$7</f>
        <v>388</v>
      </c>
      <c r="D398" s="45">
        <f t="shared" si="9"/>
        <v>75456</v>
      </c>
    </row>
    <row r="399" spans="1:4" x14ac:dyDescent="0.3">
      <c r="A399" s="42">
        <v>384</v>
      </c>
      <c r="B399" s="43">
        <f>B398+R$8</f>
        <v>1384</v>
      </c>
      <c r="C399" s="10">
        <f>C398+R$7</f>
        <v>389</v>
      </c>
      <c r="D399" s="45">
        <f t="shared" si="9"/>
        <v>75845</v>
      </c>
    </row>
    <row r="400" spans="1:4" x14ac:dyDescent="0.3">
      <c r="A400" s="42">
        <v>385</v>
      </c>
      <c r="B400" s="43">
        <f>B399+R$8</f>
        <v>1385</v>
      </c>
      <c r="C400" s="10">
        <f>C399+R$7</f>
        <v>390</v>
      </c>
      <c r="D400" s="45">
        <f t="shared" si="9"/>
        <v>76235</v>
      </c>
    </row>
    <row r="401" spans="1:4" x14ac:dyDescent="0.3">
      <c r="A401" s="42">
        <v>386</v>
      </c>
      <c r="B401" s="43">
        <f>B400+R$8</f>
        <v>1386</v>
      </c>
      <c r="C401" s="10">
        <f>C400+R$7</f>
        <v>391</v>
      </c>
      <c r="D401" s="45">
        <f t="shared" ref="D401:D464" si="10">D400+C401</f>
        <v>76626</v>
      </c>
    </row>
    <row r="402" spans="1:4" x14ac:dyDescent="0.3">
      <c r="A402" s="42">
        <v>387</v>
      </c>
      <c r="B402" s="43">
        <f>B401+R$8</f>
        <v>1387</v>
      </c>
      <c r="C402" s="10">
        <f>C401+R$7</f>
        <v>392</v>
      </c>
      <c r="D402" s="45">
        <f t="shared" si="10"/>
        <v>77018</v>
      </c>
    </row>
    <row r="403" spans="1:4" x14ac:dyDescent="0.3">
      <c r="A403" s="42">
        <v>388</v>
      </c>
      <c r="B403" s="43">
        <f>B402+R$8</f>
        <v>1388</v>
      </c>
      <c r="C403" s="10">
        <f>C402+R$7</f>
        <v>393</v>
      </c>
      <c r="D403" s="45">
        <f t="shared" si="10"/>
        <v>77411</v>
      </c>
    </row>
    <row r="404" spans="1:4" x14ac:dyDescent="0.3">
      <c r="A404" s="42">
        <v>389</v>
      </c>
      <c r="B404" s="43">
        <f>B403+R$8</f>
        <v>1389</v>
      </c>
      <c r="C404" s="10">
        <f>C403+R$7</f>
        <v>394</v>
      </c>
      <c r="D404" s="45">
        <f t="shared" si="10"/>
        <v>77805</v>
      </c>
    </row>
    <row r="405" spans="1:4" x14ac:dyDescent="0.3">
      <c r="A405" s="42">
        <v>390</v>
      </c>
      <c r="B405" s="43">
        <f>B404+R$8</f>
        <v>1390</v>
      </c>
      <c r="C405" s="10">
        <f>C404+R$7</f>
        <v>395</v>
      </c>
      <c r="D405" s="45">
        <f t="shared" si="10"/>
        <v>78200</v>
      </c>
    </row>
    <row r="406" spans="1:4" x14ac:dyDescent="0.3">
      <c r="A406" s="42">
        <v>391</v>
      </c>
      <c r="B406" s="43">
        <f>B405+R$8</f>
        <v>1391</v>
      </c>
      <c r="C406" s="10">
        <f>C405+R$7</f>
        <v>396</v>
      </c>
      <c r="D406" s="45">
        <f t="shared" si="10"/>
        <v>78596</v>
      </c>
    </row>
    <row r="407" spans="1:4" x14ac:dyDescent="0.3">
      <c r="A407" s="42">
        <v>392</v>
      </c>
      <c r="B407" s="43">
        <f>B406+R$8</f>
        <v>1392</v>
      </c>
      <c r="C407" s="10">
        <f>C406+R$7</f>
        <v>397</v>
      </c>
      <c r="D407" s="45">
        <f t="shared" si="10"/>
        <v>78993</v>
      </c>
    </row>
    <row r="408" spans="1:4" x14ac:dyDescent="0.3">
      <c r="A408" s="42">
        <v>393</v>
      </c>
      <c r="B408" s="43">
        <f>B407+R$8</f>
        <v>1393</v>
      </c>
      <c r="C408" s="10">
        <f>C407+R$7</f>
        <v>398</v>
      </c>
      <c r="D408" s="45">
        <f t="shared" si="10"/>
        <v>79391</v>
      </c>
    </row>
    <row r="409" spans="1:4" x14ac:dyDescent="0.3">
      <c r="A409" s="42">
        <v>394</v>
      </c>
      <c r="B409" s="43">
        <f>B408+R$8</f>
        <v>1394</v>
      </c>
      <c r="C409" s="10">
        <f>C408+R$7</f>
        <v>399</v>
      </c>
      <c r="D409" s="45">
        <f t="shared" si="10"/>
        <v>79790</v>
      </c>
    </row>
    <row r="410" spans="1:4" x14ac:dyDescent="0.3">
      <c r="A410" s="42">
        <v>395</v>
      </c>
      <c r="B410" s="43">
        <f>B409+R$8</f>
        <v>1395</v>
      </c>
      <c r="C410" s="10">
        <f>C409+R$7</f>
        <v>400</v>
      </c>
      <c r="D410" s="45">
        <f t="shared" si="10"/>
        <v>80190</v>
      </c>
    </row>
    <row r="411" spans="1:4" x14ac:dyDescent="0.3">
      <c r="A411" s="42">
        <v>396</v>
      </c>
      <c r="B411" s="43">
        <f>B410+R$8</f>
        <v>1396</v>
      </c>
      <c r="C411" s="10">
        <f>C410+R$7</f>
        <v>401</v>
      </c>
      <c r="D411" s="45">
        <f t="shared" si="10"/>
        <v>80591</v>
      </c>
    </row>
    <row r="412" spans="1:4" x14ac:dyDescent="0.3">
      <c r="A412" s="42">
        <v>397</v>
      </c>
      <c r="B412" s="43">
        <f>B411+R$8</f>
        <v>1397</v>
      </c>
      <c r="C412" s="10">
        <f>C411+R$7</f>
        <v>402</v>
      </c>
      <c r="D412" s="45">
        <f t="shared" si="10"/>
        <v>80993</v>
      </c>
    </row>
    <row r="413" spans="1:4" x14ac:dyDescent="0.3">
      <c r="A413" s="42">
        <v>398</v>
      </c>
      <c r="B413" s="43">
        <f>B412+R$8</f>
        <v>1398</v>
      </c>
      <c r="C413" s="10">
        <f>C412+R$7</f>
        <v>403</v>
      </c>
      <c r="D413" s="45">
        <f t="shared" si="10"/>
        <v>81396</v>
      </c>
    </row>
    <row r="414" spans="1:4" x14ac:dyDescent="0.3">
      <c r="A414" s="42">
        <v>399</v>
      </c>
      <c r="B414" s="43">
        <f>B413+R$8</f>
        <v>1399</v>
      </c>
      <c r="C414" s="10">
        <f>C413+R$7</f>
        <v>404</v>
      </c>
      <c r="D414" s="45">
        <f t="shared" si="10"/>
        <v>81800</v>
      </c>
    </row>
    <row r="415" spans="1:4" x14ac:dyDescent="0.3">
      <c r="A415" s="42">
        <v>400</v>
      </c>
      <c r="B415" s="43">
        <f>B414+R$8</f>
        <v>1400</v>
      </c>
      <c r="C415" s="10">
        <f>C414+R$7</f>
        <v>405</v>
      </c>
      <c r="D415" s="45">
        <f t="shared" si="10"/>
        <v>82205</v>
      </c>
    </row>
    <row r="416" spans="1:4" x14ac:dyDescent="0.3">
      <c r="A416" s="42">
        <v>401</v>
      </c>
      <c r="B416" s="43">
        <f>B415+R$8</f>
        <v>1401</v>
      </c>
      <c r="C416" s="10">
        <f>C415+R$7</f>
        <v>406</v>
      </c>
      <c r="D416" s="45">
        <f t="shared" si="10"/>
        <v>82611</v>
      </c>
    </row>
    <row r="417" spans="1:4" x14ac:dyDescent="0.3">
      <c r="A417" s="42">
        <v>402</v>
      </c>
      <c r="B417" s="43">
        <f>B416+R$8</f>
        <v>1402</v>
      </c>
      <c r="C417" s="10">
        <f>C416+R$7</f>
        <v>407</v>
      </c>
      <c r="D417" s="45">
        <f t="shared" si="10"/>
        <v>83018</v>
      </c>
    </row>
    <row r="418" spans="1:4" x14ac:dyDescent="0.3">
      <c r="A418" s="42">
        <v>403</v>
      </c>
      <c r="B418" s="43">
        <f>B417+R$8</f>
        <v>1403</v>
      </c>
      <c r="C418" s="10">
        <f>C417+R$7</f>
        <v>408</v>
      </c>
      <c r="D418" s="45">
        <f t="shared" si="10"/>
        <v>83426</v>
      </c>
    </row>
    <row r="419" spans="1:4" x14ac:dyDescent="0.3">
      <c r="A419" s="42">
        <v>404</v>
      </c>
      <c r="B419" s="43">
        <f>B418+R$8</f>
        <v>1404</v>
      </c>
      <c r="C419" s="10">
        <f>C418+R$7</f>
        <v>409</v>
      </c>
      <c r="D419" s="45">
        <f t="shared" si="10"/>
        <v>83835</v>
      </c>
    </row>
    <row r="420" spans="1:4" x14ac:dyDescent="0.3">
      <c r="A420" s="42">
        <v>405</v>
      </c>
      <c r="B420" s="43">
        <f>B419+R$8</f>
        <v>1405</v>
      </c>
      <c r="C420" s="10">
        <f>C419+R$7</f>
        <v>410</v>
      </c>
      <c r="D420" s="45">
        <f t="shared" si="10"/>
        <v>84245</v>
      </c>
    </row>
    <row r="421" spans="1:4" x14ac:dyDescent="0.3">
      <c r="A421" s="42">
        <v>406</v>
      </c>
      <c r="B421" s="43">
        <f>B420+R$8</f>
        <v>1406</v>
      </c>
      <c r="C421" s="10">
        <f>C420+R$7</f>
        <v>411</v>
      </c>
      <c r="D421" s="45">
        <f t="shared" si="10"/>
        <v>84656</v>
      </c>
    </row>
    <row r="422" spans="1:4" x14ac:dyDescent="0.3">
      <c r="A422" s="42">
        <v>407</v>
      </c>
      <c r="B422" s="43">
        <f>B421+R$8</f>
        <v>1407</v>
      </c>
      <c r="C422" s="10">
        <f>C421+R$7</f>
        <v>412</v>
      </c>
      <c r="D422" s="45">
        <f t="shared" si="10"/>
        <v>85068</v>
      </c>
    </row>
    <row r="423" spans="1:4" x14ac:dyDescent="0.3">
      <c r="A423" s="42">
        <v>408</v>
      </c>
      <c r="B423" s="43">
        <f>B422+R$8</f>
        <v>1408</v>
      </c>
      <c r="C423" s="10">
        <f>C422+R$7</f>
        <v>413</v>
      </c>
      <c r="D423" s="45">
        <f t="shared" si="10"/>
        <v>85481</v>
      </c>
    </row>
    <row r="424" spans="1:4" x14ac:dyDescent="0.3">
      <c r="A424" s="42">
        <v>409</v>
      </c>
      <c r="B424" s="43">
        <f>B423+R$8</f>
        <v>1409</v>
      </c>
      <c r="C424" s="10">
        <f>C423+R$7</f>
        <v>414</v>
      </c>
      <c r="D424" s="45">
        <f t="shared" si="10"/>
        <v>85895</v>
      </c>
    </row>
    <row r="425" spans="1:4" x14ac:dyDescent="0.3">
      <c r="A425" s="42">
        <v>410</v>
      </c>
      <c r="B425" s="43">
        <f>B424+R$8</f>
        <v>1410</v>
      </c>
      <c r="C425" s="10">
        <f>C424+R$7</f>
        <v>415</v>
      </c>
      <c r="D425" s="45">
        <f t="shared" si="10"/>
        <v>86310</v>
      </c>
    </row>
    <row r="426" spans="1:4" x14ac:dyDescent="0.3">
      <c r="A426" s="42">
        <v>411</v>
      </c>
      <c r="B426" s="43">
        <f>B425+R$8</f>
        <v>1411</v>
      </c>
      <c r="C426" s="10">
        <f>C425+R$7</f>
        <v>416</v>
      </c>
      <c r="D426" s="45">
        <f t="shared" si="10"/>
        <v>86726</v>
      </c>
    </row>
    <row r="427" spans="1:4" x14ac:dyDescent="0.3">
      <c r="A427" s="42">
        <v>412</v>
      </c>
      <c r="B427" s="43">
        <f>B426+R$8</f>
        <v>1412</v>
      </c>
      <c r="C427" s="10">
        <f>C426+R$7</f>
        <v>417</v>
      </c>
      <c r="D427" s="45">
        <f t="shared" si="10"/>
        <v>87143</v>
      </c>
    </row>
    <row r="428" spans="1:4" x14ac:dyDescent="0.3">
      <c r="A428" s="42">
        <v>413</v>
      </c>
      <c r="B428" s="43">
        <f>B427+R$8</f>
        <v>1413</v>
      </c>
      <c r="C428" s="10">
        <f>C427+R$7</f>
        <v>418</v>
      </c>
      <c r="D428" s="45">
        <f t="shared" si="10"/>
        <v>87561</v>
      </c>
    </row>
    <row r="429" spans="1:4" x14ac:dyDescent="0.3">
      <c r="A429" s="42">
        <v>414</v>
      </c>
      <c r="B429" s="43">
        <f>B428+R$8</f>
        <v>1414</v>
      </c>
      <c r="C429" s="10">
        <f>C428+R$7</f>
        <v>419</v>
      </c>
      <c r="D429" s="45">
        <f t="shared" si="10"/>
        <v>87980</v>
      </c>
    </row>
    <row r="430" spans="1:4" x14ac:dyDescent="0.3">
      <c r="A430" s="42">
        <v>415</v>
      </c>
      <c r="B430" s="43">
        <f>B429+R$8</f>
        <v>1415</v>
      </c>
      <c r="C430" s="10">
        <f>C429+R$7</f>
        <v>420</v>
      </c>
      <c r="D430" s="45">
        <f t="shared" si="10"/>
        <v>88400</v>
      </c>
    </row>
    <row r="431" spans="1:4" x14ac:dyDescent="0.3">
      <c r="A431" s="42">
        <v>416</v>
      </c>
      <c r="B431" s="43">
        <f>B430+R$8</f>
        <v>1416</v>
      </c>
      <c r="C431" s="10">
        <f>C430+R$7</f>
        <v>421</v>
      </c>
      <c r="D431" s="45">
        <f t="shared" si="10"/>
        <v>88821</v>
      </c>
    </row>
    <row r="432" spans="1:4" x14ac:dyDescent="0.3">
      <c r="A432" s="42">
        <v>417</v>
      </c>
      <c r="B432" s="43">
        <f>B431+R$8</f>
        <v>1417</v>
      </c>
      <c r="C432" s="10">
        <f>C431+R$7</f>
        <v>422</v>
      </c>
      <c r="D432" s="45">
        <f t="shared" si="10"/>
        <v>89243</v>
      </c>
    </row>
    <row r="433" spans="1:4" x14ac:dyDescent="0.3">
      <c r="A433" s="42">
        <v>418</v>
      </c>
      <c r="B433" s="43">
        <f>B432+R$8</f>
        <v>1418</v>
      </c>
      <c r="C433" s="10">
        <f>C432+R$7</f>
        <v>423</v>
      </c>
      <c r="D433" s="45">
        <f t="shared" si="10"/>
        <v>89666</v>
      </c>
    </row>
    <row r="434" spans="1:4" x14ac:dyDescent="0.3">
      <c r="A434" s="42">
        <v>419</v>
      </c>
      <c r="B434" s="43">
        <f>B433+R$8</f>
        <v>1419</v>
      </c>
      <c r="C434" s="10">
        <f>C433+R$7</f>
        <v>424</v>
      </c>
      <c r="D434" s="45">
        <f t="shared" si="10"/>
        <v>90090</v>
      </c>
    </row>
    <row r="435" spans="1:4" x14ac:dyDescent="0.3">
      <c r="A435" s="42">
        <v>420</v>
      </c>
      <c r="B435" s="43">
        <f>B434+R$8</f>
        <v>1420</v>
      </c>
      <c r="C435" s="10">
        <f>C434+R$7</f>
        <v>425</v>
      </c>
      <c r="D435" s="45">
        <f t="shared" si="10"/>
        <v>90515</v>
      </c>
    </row>
    <row r="436" spans="1:4" x14ac:dyDescent="0.3">
      <c r="A436" s="42">
        <v>421</v>
      </c>
      <c r="B436" s="43">
        <f>B435+R$8</f>
        <v>1421</v>
      </c>
      <c r="C436" s="10">
        <f>C435+R$7</f>
        <v>426</v>
      </c>
      <c r="D436" s="45">
        <f t="shared" si="10"/>
        <v>90941</v>
      </c>
    </row>
    <row r="437" spans="1:4" x14ac:dyDescent="0.3">
      <c r="A437" s="42">
        <v>422</v>
      </c>
      <c r="B437" s="43">
        <f>B436+R$8</f>
        <v>1422</v>
      </c>
      <c r="C437" s="10">
        <f>C436+R$7</f>
        <v>427</v>
      </c>
      <c r="D437" s="45">
        <f t="shared" si="10"/>
        <v>91368</v>
      </c>
    </row>
    <row r="438" spans="1:4" x14ac:dyDescent="0.3">
      <c r="A438" s="42">
        <v>423</v>
      </c>
      <c r="B438" s="43">
        <f>B437+R$8</f>
        <v>1423</v>
      </c>
      <c r="C438" s="10">
        <f>C437+R$7</f>
        <v>428</v>
      </c>
      <c r="D438" s="45">
        <f t="shared" si="10"/>
        <v>91796</v>
      </c>
    </row>
    <row r="439" spans="1:4" x14ac:dyDescent="0.3">
      <c r="A439" s="42">
        <v>424</v>
      </c>
      <c r="B439" s="43">
        <f>B438+R$8</f>
        <v>1424</v>
      </c>
      <c r="C439" s="10">
        <f>C438+R$7</f>
        <v>429</v>
      </c>
      <c r="D439" s="45">
        <f t="shared" si="10"/>
        <v>92225</v>
      </c>
    </row>
    <row r="440" spans="1:4" x14ac:dyDescent="0.3">
      <c r="A440" s="42">
        <v>425</v>
      </c>
      <c r="B440" s="43">
        <f>B439+R$8</f>
        <v>1425</v>
      </c>
      <c r="C440" s="10">
        <f>C439+R$7</f>
        <v>430</v>
      </c>
      <c r="D440" s="45">
        <f t="shared" si="10"/>
        <v>92655</v>
      </c>
    </row>
    <row r="441" spans="1:4" x14ac:dyDescent="0.3">
      <c r="A441" s="42">
        <v>426</v>
      </c>
      <c r="B441" s="43">
        <f>B440+R$8</f>
        <v>1426</v>
      </c>
      <c r="C441" s="10">
        <f>C440+R$7</f>
        <v>431</v>
      </c>
      <c r="D441" s="45">
        <f t="shared" si="10"/>
        <v>93086</v>
      </c>
    </row>
    <row r="442" spans="1:4" x14ac:dyDescent="0.3">
      <c r="A442" s="42">
        <v>427</v>
      </c>
      <c r="B442" s="43">
        <f>B441+R$8</f>
        <v>1427</v>
      </c>
      <c r="C442" s="10">
        <f>C441+R$7</f>
        <v>432</v>
      </c>
      <c r="D442" s="45">
        <f t="shared" si="10"/>
        <v>93518</v>
      </c>
    </row>
    <row r="443" spans="1:4" x14ac:dyDescent="0.3">
      <c r="A443" s="42">
        <v>428</v>
      </c>
      <c r="B443" s="43">
        <f>B442+R$8</f>
        <v>1428</v>
      </c>
      <c r="C443" s="10">
        <f>C442+R$7</f>
        <v>433</v>
      </c>
      <c r="D443" s="45">
        <f t="shared" si="10"/>
        <v>93951</v>
      </c>
    </row>
    <row r="444" spans="1:4" x14ac:dyDescent="0.3">
      <c r="A444" s="42">
        <v>429</v>
      </c>
      <c r="B444" s="43">
        <f>B443+R$8</f>
        <v>1429</v>
      </c>
      <c r="C444" s="10">
        <f>C443+R$7</f>
        <v>434</v>
      </c>
      <c r="D444" s="45">
        <f t="shared" si="10"/>
        <v>94385</v>
      </c>
    </row>
    <row r="445" spans="1:4" x14ac:dyDescent="0.3">
      <c r="A445" s="42">
        <v>430</v>
      </c>
      <c r="B445" s="43">
        <f>B444+R$8</f>
        <v>1430</v>
      </c>
      <c r="C445" s="10">
        <f>C444+R$7</f>
        <v>435</v>
      </c>
      <c r="D445" s="45">
        <f t="shared" si="10"/>
        <v>94820</v>
      </c>
    </row>
    <row r="446" spans="1:4" x14ac:dyDescent="0.3">
      <c r="A446" s="42">
        <v>431</v>
      </c>
      <c r="B446" s="43">
        <f>B445+R$8</f>
        <v>1431</v>
      </c>
      <c r="C446" s="10">
        <f>C445+R$7</f>
        <v>436</v>
      </c>
      <c r="D446" s="45">
        <f t="shared" si="10"/>
        <v>95256</v>
      </c>
    </row>
    <row r="447" spans="1:4" x14ac:dyDescent="0.3">
      <c r="A447" s="42">
        <v>432</v>
      </c>
      <c r="B447" s="43">
        <f>B446+R$8</f>
        <v>1432</v>
      </c>
      <c r="C447" s="10">
        <f>C446+R$7</f>
        <v>437</v>
      </c>
      <c r="D447" s="45">
        <f t="shared" si="10"/>
        <v>95693</v>
      </c>
    </row>
    <row r="448" spans="1:4" x14ac:dyDescent="0.3">
      <c r="A448" s="42">
        <v>433</v>
      </c>
      <c r="B448" s="43">
        <f>B447+R$8</f>
        <v>1433</v>
      </c>
      <c r="C448" s="10">
        <f>C447+R$7</f>
        <v>438</v>
      </c>
      <c r="D448" s="45">
        <f t="shared" si="10"/>
        <v>96131</v>
      </c>
    </row>
    <row r="449" spans="1:4" x14ac:dyDescent="0.3">
      <c r="A449" s="42">
        <v>434</v>
      </c>
      <c r="B449" s="43">
        <f>B448+R$8</f>
        <v>1434</v>
      </c>
      <c r="C449" s="10">
        <f>C448+R$7</f>
        <v>439</v>
      </c>
      <c r="D449" s="45">
        <f t="shared" si="10"/>
        <v>96570</v>
      </c>
    </row>
    <row r="450" spans="1:4" x14ac:dyDescent="0.3">
      <c r="A450" s="42">
        <v>435</v>
      </c>
      <c r="B450" s="43">
        <f>B449+R$8</f>
        <v>1435</v>
      </c>
      <c r="C450" s="10">
        <f>C449+R$7</f>
        <v>440</v>
      </c>
      <c r="D450" s="45">
        <f t="shared" si="10"/>
        <v>97010</v>
      </c>
    </row>
    <row r="451" spans="1:4" x14ac:dyDescent="0.3">
      <c r="A451" s="42">
        <v>436</v>
      </c>
      <c r="B451" s="43">
        <f>B450+R$8</f>
        <v>1436</v>
      </c>
      <c r="C451" s="10">
        <f>C450+R$7</f>
        <v>441</v>
      </c>
      <c r="D451" s="45">
        <f t="shared" si="10"/>
        <v>97451</v>
      </c>
    </row>
    <row r="452" spans="1:4" x14ac:dyDescent="0.3">
      <c r="A452" s="42">
        <v>437</v>
      </c>
      <c r="B452" s="43">
        <f>B451+R$8</f>
        <v>1437</v>
      </c>
      <c r="C452" s="10">
        <f>C451+R$7</f>
        <v>442</v>
      </c>
      <c r="D452" s="45">
        <f t="shared" si="10"/>
        <v>97893</v>
      </c>
    </row>
    <row r="453" spans="1:4" x14ac:dyDescent="0.3">
      <c r="A453" s="42">
        <v>438</v>
      </c>
      <c r="B453" s="43">
        <f>B452+R$8</f>
        <v>1438</v>
      </c>
      <c r="C453" s="10">
        <f>C452+R$7</f>
        <v>443</v>
      </c>
      <c r="D453" s="45">
        <f t="shared" si="10"/>
        <v>98336</v>
      </c>
    </row>
    <row r="454" spans="1:4" x14ac:dyDescent="0.3">
      <c r="A454" s="42">
        <v>439</v>
      </c>
      <c r="B454" s="43">
        <f>B453+R$8</f>
        <v>1439</v>
      </c>
      <c r="C454" s="10">
        <f>C453+R$7</f>
        <v>444</v>
      </c>
      <c r="D454" s="45">
        <f t="shared" si="10"/>
        <v>98780</v>
      </c>
    </row>
    <row r="455" spans="1:4" x14ac:dyDescent="0.3">
      <c r="A455" s="42">
        <v>440</v>
      </c>
      <c r="B455" s="43">
        <f>B454+R$8</f>
        <v>1440</v>
      </c>
      <c r="C455" s="10">
        <f>C454+R$7</f>
        <v>445</v>
      </c>
      <c r="D455" s="45">
        <f t="shared" si="10"/>
        <v>99225</v>
      </c>
    </row>
    <row r="456" spans="1:4" x14ac:dyDescent="0.3">
      <c r="A456" s="42">
        <v>441</v>
      </c>
      <c r="B456" s="43">
        <f>B455+R$8</f>
        <v>1441</v>
      </c>
      <c r="C456" s="10">
        <f>C455+R$7</f>
        <v>446</v>
      </c>
      <c r="D456" s="45">
        <f t="shared" si="10"/>
        <v>99671</v>
      </c>
    </row>
    <row r="457" spans="1:4" x14ac:dyDescent="0.3">
      <c r="A457" s="42">
        <v>442</v>
      </c>
      <c r="B457" s="43">
        <f>B456+R$8</f>
        <v>1442</v>
      </c>
      <c r="C457" s="10">
        <f>C456+R$7</f>
        <v>447</v>
      </c>
      <c r="D457" s="45">
        <f t="shared" si="10"/>
        <v>100118</v>
      </c>
    </row>
    <row r="458" spans="1:4" x14ac:dyDescent="0.3">
      <c r="A458" s="42">
        <v>443</v>
      </c>
      <c r="B458" s="43">
        <f>B457+R$8</f>
        <v>1443</v>
      </c>
      <c r="C458" s="10">
        <f>C457+R$7</f>
        <v>448</v>
      </c>
      <c r="D458" s="45">
        <f t="shared" si="10"/>
        <v>100566</v>
      </c>
    </row>
    <row r="459" spans="1:4" x14ac:dyDescent="0.3">
      <c r="A459" s="42">
        <v>444</v>
      </c>
      <c r="B459" s="43">
        <f>B458+R$8</f>
        <v>1444</v>
      </c>
      <c r="C459" s="10">
        <f>C458+R$7</f>
        <v>449</v>
      </c>
      <c r="D459" s="45">
        <f t="shared" si="10"/>
        <v>101015</v>
      </c>
    </row>
    <row r="460" spans="1:4" x14ac:dyDescent="0.3">
      <c r="A460" s="42">
        <v>445</v>
      </c>
      <c r="B460" s="43">
        <f>B459+R$8</f>
        <v>1445</v>
      </c>
      <c r="C460" s="10">
        <f>C459+R$7</f>
        <v>450</v>
      </c>
      <c r="D460" s="45">
        <f t="shared" si="10"/>
        <v>101465</v>
      </c>
    </row>
    <row r="461" spans="1:4" x14ac:dyDescent="0.3">
      <c r="A461" s="42">
        <v>446</v>
      </c>
      <c r="B461" s="43">
        <f>B460+R$8</f>
        <v>1446</v>
      </c>
      <c r="C461" s="10">
        <f>C460+R$7</f>
        <v>451</v>
      </c>
      <c r="D461" s="45">
        <f t="shared" si="10"/>
        <v>101916</v>
      </c>
    </row>
    <row r="462" spans="1:4" x14ac:dyDescent="0.3">
      <c r="A462" s="42">
        <v>447</v>
      </c>
      <c r="B462" s="43">
        <f>B461+R$8</f>
        <v>1447</v>
      </c>
      <c r="C462" s="10">
        <f>C461+R$7</f>
        <v>452</v>
      </c>
      <c r="D462" s="45">
        <f t="shared" si="10"/>
        <v>102368</v>
      </c>
    </row>
    <row r="463" spans="1:4" x14ac:dyDescent="0.3">
      <c r="A463" s="42">
        <v>448</v>
      </c>
      <c r="B463" s="43">
        <f>B462+R$8</f>
        <v>1448</v>
      </c>
      <c r="C463" s="10">
        <f>C462+R$7</f>
        <v>453</v>
      </c>
      <c r="D463" s="45">
        <f t="shared" si="10"/>
        <v>102821</v>
      </c>
    </row>
    <row r="464" spans="1:4" x14ac:dyDescent="0.3">
      <c r="A464" s="42">
        <v>449</v>
      </c>
      <c r="B464" s="43">
        <f>B463+R$8</f>
        <v>1449</v>
      </c>
      <c r="C464" s="10">
        <f>C463+R$7</f>
        <v>454</v>
      </c>
      <c r="D464" s="45">
        <f t="shared" si="10"/>
        <v>103275</v>
      </c>
    </row>
    <row r="465" spans="1:4" x14ac:dyDescent="0.3">
      <c r="A465" s="42">
        <v>450</v>
      </c>
      <c r="B465" s="43">
        <f>B464+R$8</f>
        <v>1450</v>
      </c>
      <c r="C465" s="10">
        <f>C464+R$7</f>
        <v>455</v>
      </c>
      <c r="D465" s="45">
        <f t="shared" ref="D465:D528" si="11">D464+C465</f>
        <v>103730</v>
      </c>
    </row>
    <row r="466" spans="1:4" x14ac:dyDescent="0.3">
      <c r="A466" s="42">
        <v>451</v>
      </c>
      <c r="B466" s="43">
        <f>B465+R$8</f>
        <v>1451</v>
      </c>
      <c r="C466" s="10">
        <f>C465+R$7</f>
        <v>456</v>
      </c>
      <c r="D466" s="45">
        <f t="shared" si="11"/>
        <v>104186</v>
      </c>
    </row>
    <row r="467" spans="1:4" x14ac:dyDescent="0.3">
      <c r="A467" s="42">
        <v>452</v>
      </c>
      <c r="B467" s="43">
        <f>B466+R$8</f>
        <v>1452</v>
      </c>
      <c r="C467" s="10">
        <f>C466+R$7</f>
        <v>457</v>
      </c>
      <c r="D467" s="45">
        <f t="shared" si="11"/>
        <v>104643</v>
      </c>
    </row>
    <row r="468" spans="1:4" x14ac:dyDescent="0.3">
      <c r="A468" s="42">
        <v>453</v>
      </c>
      <c r="B468" s="43">
        <f>B467+R$8</f>
        <v>1453</v>
      </c>
      <c r="C468" s="10">
        <f>C467+R$7</f>
        <v>458</v>
      </c>
      <c r="D468" s="45">
        <f t="shared" si="11"/>
        <v>105101</v>
      </c>
    </row>
    <row r="469" spans="1:4" x14ac:dyDescent="0.3">
      <c r="A469" s="42">
        <v>454</v>
      </c>
      <c r="B469" s="43">
        <f>B468+R$8</f>
        <v>1454</v>
      </c>
      <c r="C469" s="10">
        <f>C468+R$7</f>
        <v>459</v>
      </c>
      <c r="D469" s="45">
        <f t="shared" si="11"/>
        <v>105560</v>
      </c>
    </row>
    <row r="470" spans="1:4" x14ac:dyDescent="0.3">
      <c r="A470" s="42">
        <v>455</v>
      </c>
      <c r="B470" s="43">
        <f>B469+R$8</f>
        <v>1455</v>
      </c>
      <c r="C470" s="10">
        <f>C469+R$7</f>
        <v>460</v>
      </c>
      <c r="D470" s="45">
        <f t="shared" si="11"/>
        <v>106020</v>
      </c>
    </row>
    <row r="471" spans="1:4" x14ac:dyDescent="0.3">
      <c r="A471" s="42">
        <v>456</v>
      </c>
      <c r="B471" s="43">
        <f>B470+R$8</f>
        <v>1456</v>
      </c>
      <c r="C471" s="10">
        <f>C470+R$7</f>
        <v>461</v>
      </c>
      <c r="D471" s="45">
        <f t="shared" si="11"/>
        <v>106481</v>
      </c>
    </row>
    <row r="472" spans="1:4" x14ac:dyDescent="0.3">
      <c r="A472" s="42">
        <v>457</v>
      </c>
      <c r="B472" s="43">
        <f>B471+R$8</f>
        <v>1457</v>
      </c>
      <c r="C472" s="10">
        <f>C471+R$7</f>
        <v>462</v>
      </c>
      <c r="D472" s="45">
        <f t="shared" si="11"/>
        <v>106943</v>
      </c>
    </row>
    <row r="473" spans="1:4" x14ac:dyDescent="0.3">
      <c r="A473" s="42">
        <v>458</v>
      </c>
      <c r="B473" s="43">
        <f>B472+R$8</f>
        <v>1458</v>
      </c>
      <c r="C473" s="10">
        <f>C472+R$7</f>
        <v>463</v>
      </c>
      <c r="D473" s="45">
        <f t="shared" si="11"/>
        <v>107406</v>
      </c>
    </row>
    <row r="474" spans="1:4" x14ac:dyDescent="0.3">
      <c r="A474" s="42">
        <v>459</v>
      </c>
      <c r="B474" s="43">
        <f>B473+R$8</f>
        <v>1459</v>
      </c>
      <c r="C474" s="10">
        <f>C473+R$7</f>
        <v>464</v>
      </c>
      <c r="D474" s="45">
        <f t="shared" si="11"/>
        <v>107870</v>
      </c>
    </row>
    <row r="475" spans="1:4" x14ac:dyDescent="0.3">
      <c r="A475" s="42">
        <v>460</v>
      </c>
      <c r="B475" s="43">
        <f>B474+R$8</f>
        <v>1460</v>
      </c>
      <c r="C475" s="10">
        <f>C474+R$7</f>
        <v>465</v>
      </c>
      <c r="D475" s="45">
        <f t="shared" si="11"/>
        <v>108335</v>
      </c>
    </row>
    <row r="476" spans="1:4" x14ac:dyDescent="0.3">
      <c r="A476" s="42">
        <v>461</v>
      </c>
      <c r="B476" s="43">
        <f>B475+R$8</f>
        <v>1461</v>
      </c>
      <c r="C476" s="10">
        <f>C475+R$7</f>
        <v>466</v>
      </c>
      <c r="D476" s="45">
        <f t="shared" si="11"/>
        <v>108801</v>
      </c>
    </row>
    <row r="477" spans="1:4" x14ac:dyDescent="0.3">
      <c r="A477" s="42">
        <v>462</v>
      </c>
      <c r="B477" s="43">
        <f>B476+R$8</f>
        <v>1462</v>
      </c>
      <c r="C477" s="10">
        <f>C476+R$7</f>
        <v>467</v>
      </c>
      <c r="D477" s="45">
        <f t="shared" si="11"/>
        <v>109268</v>
      </c>
    </row>
    <row r="478" spans="1:4" x14ac:dyDescent="0.3">
      <c r="A478" s="42">
        <v>463</v>
      </c>
      <c r="B478" s="43">
        <f>B477+R$8</f>
        <v>1463</v>
      </c>
      <c r="C478" s="10">
        <f>C477+R$7</f>
        <v>468</v>
      </c>
      <c r="D478" s="45">
        <f t="shared" si="11"/>
        <v>109736</v>
      </c>
    </row>
    <row r="479" spans="1:4" x14ac:dyDescent="0.3">
      <c r="A479" s="42">
        <v>464</v>
      </c>
      <c r="B479" s="43">
        <f>B478+R$8</f>
        <v>1464</v>
      </c>
      <c r="C479" s="10">
        <f>C478+R$7</f>
        <v>469</v>
      </c>
      <c r="D479" s="45">
        <f t="shared" si="11"/>
        <v>110205</v>
      </c>
    </row>
    <row r="480" spans="1:4" x14ac:dyDescent="0.3">
      <c r="A480" s="42">
        <v>465</v>
      </c>
      <c r="B480" s="43">
        <f>B479+R$8</f>
        <v>1465</v>
      </c>
      <c r="C480" s="10">
        <f>C479+R$7</f>
        <v>470</v>
      </c>
      <c r="D480" s="45">
        <f t="shared" si="11"/>
        <v>110675</v>
      </c>
    </row>
    <row r="481" spans="1:4" x14ac:dyDescent="0.3">
      <c r="A481" s="42">
        <v>466</v>
      </c>
      <c r="B481" s="43">
        <f>B480+R$8</f>
        <v>1466</v>
      </c>
      <c r="C481" s="10">
        <f>C480+R$7</f>
        <v>471</v>
      </c>
      <c r="D481" s="45">
        <f t="shared" si="11"/>
        <v>111146</v>
      </c>
    </row>
    <row r="482" spans="1:4" x14ac:dyDescent="0.3">
      <c r="A482" s="42">
        <v>467</v>
      </c>
      <c r="B482" s="43">
        <f>B481+R$8</f>
        <v>1467</v>
      </c>
      <c r="C482" s="10">
        <f>C481+R$7</f>
        <v>472</v>
      </c>
      <c r="D482" s="45">
        <f t="shared" si="11"/>
        <v>111618</v>
      </c>
    </row>
    <row r="483" spans="1:4" x14ac:dyDescent="0.3">
      <c r="A483" s="42">
        <v>468</v>
      </c>
      <c r="B483" s="43">
        <f>B482+R$8</f>
        <v>1468</v>
      </c>
      <c r="C483" s="10">
        <f>C482+R$7</f>
        <v>473</v>
      </c>
      <c r="D483" s="45">
        <f t="shared" si="11"/>
        <v>112091</v>
      </c>
    </row>
    <row r="484" spans="1:4" x14ac:dyDescent="0.3">
      <c r="A484" s="42">
        <v>469</v>
      </c>
      <c r="B484" s="43">
        <f>B483+R$8</f>
        <v>1469</v>
      </c>
      <c r="C484" s="10">
        <f>C483+R$7</f>
        <v>474</v>
      </c>
      <c r="D484" s="45">
        <f t="shared" si="11"/>
        <v>112565</v>
      </c>
    </row>
    <row r="485" spans="1:4" x14ac:dyDescent="0.3">
      <c r="A485" s="42">
        <v>470</v>
      </c>
      <c r="B485" s="43">
        <f>B484+R$8</f>
        <v>1470</v>
      </c>
      <c r="C485" s="10">
        <f>C484+R$7</f>
        <v>475</v>
      </c>
      <c r="D485" s="45">
        <f t="shared" si="11"/>
        <v>113040</v>
      </c>
    </row>
    <row r="486" spans="1:4" x14ac:dyDescent="0.3">
      <c r="A486" s="42">
        <v>471</v>
      </c>
      <c r="B486" s="43">
        <f>B485+R$8</f>
        <v>1471</v>
      </c>
      <c r="C486" s="10">
        <f>C485+R$7</f>
        <v>476</v>
      </c>
      <c r="D486" s="45">
        <f t="shared" si="11"/>
        <v>113516</v>
      </c>
    </row>
    <row r="487" spans="1:4" x14ac:dyDescent="0.3">
      <c r="A487" s="42">
        <v>472</v>
      </c>
      <c r="B487" s="43">
        <f>B486+R$8</f>
        <v>1472</v>
      </c>
      <c r="C487" s="10">
        <f>C486+R$7</f>
        <v>477</v>
      </c>
      <c r="D487" s="45">
        <f t="shared" si="11"/>
        <v>113993</v>
      </c>
    </row>
    <row r="488" spans="1:4" x14ac:dyDescent="0.3">
      <c r="A488" s="42">
        <v>473</v>
      </c>
      <c r="B488" s="43">
        <f>B487+R$8</f>
        <v>1473</v>
      </c>
      <c r="C488" s="10">
        <f>C487+R$7</f>
        <v>478</v>
      </c>
      <c r="D488" s="45">
        <f t="shared" si="11"/>
        <v>114471</v>
      </c>
    </row>
    <row r="489" spans="1:4" x14ac:dyDescent="0.3">
      <c r="A489" s="42">
        <v>474</v>
      </c>
      <c r="B489" s="43">
        <f>B488+R$8</f>
        <v>1474</v>
      </c>
      <c r="C489" s="10">
        <f>C488+R$7</f>
        <v>479</v>
      </c>
      <c r="D489" s="45">
        <f t="shared" si="11"/>
        <v>114950</v>
      </c>
    </row>
    <row r="490" spans="1:4" x14ac:dyDescent="0.3">
      <c r="A490" s="42">
        <v>475</v>
      </c>
      <c r="B490" s="43">
        <f>B489+R$8</f>
        <v>1475</v>
      </c>
      <c r="C490" s="10">
        <f>C489+R$7</f>
        <v>480</v>
      </c>
      <c r="D490" s="45">
        <f t="shared" si="11"/>
        <v>115430</v>
      </c>
    </row>
    <row r="491" spans="1:4" x14ac:dyDescent="0.3">
      <c r="A491" s="42">
        <v>476</v>
      </c>
      <c r="B491" s="43">
        <f>B490+R$8</f>
        <v>1476</v>
      </c>
      <c r="C491" s="10">
        <f>C490+R$7</f>
        <v>481</v>
      </c>
      <c r="D491" s="45">
        <f t="shared" si="11"/>
        <v>115911</v>
      </c>
    </row>
    <row r="492" spans="1:4" x14ac:dyDescent="0.3">
      <c r="A492" s="42">
        <v>477</v>
      </c>
      <c r="B492" s="43">
        <f>B491+R$8</f>
        <v>1477</v>
      </c>
      <c r="C492" s="10">
        <f>C491+R$7</f>
        <v>482</v>
      </c>
      <c r="D492" s="45">
        <f t="shared" si="11"/>
        <v>116393</v>
      </c>
    </row>
    <row r="493" spans="1:4" x14ac:dyDescent="0.3">
      <c r="A493" s="42">
        <v>478</v>
      </c>
      <c r="B493" s="43">
        <f>B492+R$8</f>
        <v>1478</v>
      </c>
      <c r="C493" s="10">
        <f>C492+R$7</f>
        <v>483</v>
      </c>
      <c r="D493" s="45">
        <f t="shared" si="11"/>
        <v>116876</v>
      </c>
    </row>
    <row r="494" spans="1:4" x14ac:dyDescent="0.3">
      <c r="A494" s="42">
        <v>479</v>
      </c>
      <c r="B494" s="43">
        <f>B493+R$8</f>
        <v>1479</v>
      </c>
      <c r="C494" s="10">
        <f>C493+R$7</f>
        <v>484</v>
      </c>
      <c r="D494" s="45">
        <f t="shared" si="11"/>
        <v>117360</v>
      </c>
    </row>
    <row r="495" spans="1:4" x14ac:dyDescent="0.3">
      <c r="A495" s="42">
        <v>480</v>
      </c>
      <c r="B495" s="43">
        <f>B494+R$8</f>
        <v>1480</v>
      </c>
      <c r="C495" s="10">
        <f>C494+R$7</f>
        <v>485</v>
      </c>
      <c r="D495" s="45">
        <f t="shared" si="11"/>
        <v>117845</v>
      </c>
    </row>
    <row r="496" spans="1:4" x14ac:dyDescent="0.3">
      <c r="A496" s="42">
        <v>481</v>
      </c>
      <c r="B496" s="43">
        <f>B495+R$8</f>
        <v>1481</v>
      </c>
      <c r="C496" s="10">
        <f>C495+R$7</f>
        <v>486</v>
      </c>
      <c r="D496" s="45">
        <f t="shared" si="11"/>
        <v>118331</v>
      </c>
    </row>
    <row r="497" spans="1:4" x14ac:dyDescent="0.3">
      <c r="A497" s="42">
        <v>482</v>
      </c>
      <c r="B497" s="43">
        <f>B496+R$8</f>
        <v>1482</v>
      </c>
      <c r="C497" s="10">
        <f>C496+R$7</f>
        <v>487</v>
      </c>
      <c r="D497" s="45">
        <f t="shared" si="11"/>
        <v>118818</v>
      </c>
    </row>
    <row r="498" spans="1:4" x14ac:dyDescent="0.3">
      <c r="A498" s="42">
        <v>483</v>
      </c>
      <c r="B498" s="43">
        <f>B497+R$8</f>
        <v>1483</v>
      </c>
      <c r="C498" s="10">
        <f>C497+R$7</f>
        <v>488</v>
      </c>
      <c r="D498" s="45">
        <f t="shared" si="11"/>
        <v>119306</v>
      </c>
    </row>
    <row r="499" spans="1:4" x14ac:dyDescent="0.3">
      <c r="A499" s="42">
        <v>484</v>
      </c>
      <c r="B499" s="43">
        <f>B498+R$8</f>
        <v>1484</v>
      </c>
      <c r="C499" s="10">
        <f>C498+R$7</f>
        <v>489</v>
      </c>
      <c r="D499" s="45">
        <f t="shared" si="11"/>
        <v>119795</v>
      </c>
    </row>
    <row r="500" spans="1:4" x14ac:dyDescent="0.3">
      <c r="A500" s="42">
        <v>485</v>
      </c>
      <c r="B500" s="43">
        <f>B499+R$8</f>
        <v>1485</v>
      </c>
      <c r="C500" s="10">
        <f>C499+R$7</f>
        <v>490</v>
      </c>
      <c r="D500" s="45">
        <f t="shared" si="11"/>
        <v>120285</v>
      </c>
    </row>
    <row r="501" spans="1:4" x14ac:dyDescent="0.3">
      <c r="A501" s="42">
        <v>486</v>
      </c>
      <c r="B501" s="43">
        <f>B500+R$8</f>
        <v>1486</v>
      </c>
      <c r="C501" s="10">
        <f>C500+R$7</f>
        <v>491</v>
      </c>
      <c r="D501" s="45">
        <f t="shared" si="11"/>
        <v>120776</v>
      </c>
    </row>
    <row r="502" spans="1:4" x14ac:dyDescent="0.3">
      <c r="A502" s="42">
        <v>487</v>
      </c>
      <c r="B502" s="43">
        <f>B501+R$8</f>
        <v>1487</v>
      </c>
      <c r="C502" s="10">
        <f>C501+R$7</f>
        <v>492</v>
      </c>
      <c r="D502" s="45">
        <f t="shared" si="11"/>
        <v>121268</v>
      </c>
    </row>
    <row r="503" spans="1:4" x14ac:dyDescent="0.3">
      <c r="A503" s="42">
        <v>488</v>
      </c>
      <c r="B503" s="43">
        <f>B502+R$8</f>
        <v>1488</v>
      </c>
      <c r="C503" s="10">
        <f>C502+R$7</f>
        <v>493</v>
      </c>
      <c r="D503" s="45">
        <f t="shared" si="11"/>
        <v>121761</v>
      </c>
    </row>
    <row r="504" spans="1:4" x14ac:dyDescent="0.3">
      <c r="A504" s="42">
        <v>489</v>
      </c>
      <c r="B504" s="43">
        <f>B503+R$8</f>
        <v>1489</v>
      </c>
      <c r="C504" s="10">
        <f>C503+R$7</f>
        <v>494</v>
      </c>
      <c r="D504" s="45">
        <f t="shared" si="11"/>
        <v>122255</v>
      </c>
    </row>
    <row r="505" spans="1:4" x14ac:dyDescent="0.3">
      <c r="A505" s="42">
        <v>490</v>
      </c>
      <c r="B505" s="43">
        <f>B504+R$8</f>
        <v>1490</v>
      </c>
      <c r="C505" s="10">
        <f>C504+R$7</f>
        <v>495</v>
      </c>
      <c r="D505" s="45">
        <f t="shared" si="11"/>
        <v>122750</v>
      </c>
    </row>
    <row r="506" spans="1:4" x14ac:dyDescent="0.3">
      <c r="A506" s="42">
        <v>491</v>
      </c>
      <c r="B506" s="43">
        <f>B505+R$8</f>
        <v>1491</v>
      </c>
      <c r="C506" s="10">
        <f>C505+R$7</f>
        <v>496</v>
      </c>
      <c r="D506" s="45">
        <f t="shared" si="11"/>
        <v>123246</v>
      </c>
    </row>
    <row r="507" spans="1:4" x14ac:dyDescent="0.3">
      <c r="A507" s="42">
        <v>492</v>
      </c>
      <c r="B507" s="43">
        <f>B506+R$8</f>
        <v>1492</v>
      </c>
      <c r="C507" s="10">
        <f>C506+R$7</f>
        <v>497</v>
      </c>
      <c r="D507" s="45">
        <f t="shared" si="11"/>
        <v>123743</v>
      </c>
    </row>
    <row r="508" spans="1:4" x14ac:dyDescent="0.3">
      <c r="A508" s="42">
        <v>493</v>
      </c>
      <c r="B508" s="43">
        <f>B507+R$8</f>
        <v>1493</v>
      </c>
      <c r="C508" s="10">
        <f>C507+R$7</f>
        <v>498</v>
      </c>
      <c r="D508" s="45">
        <f t="shared" si="11"/>
        <v>124241</v>
      </c>
    </row>
    <row r="509" spans="1:4" x14ac:dyDescent="0.3">
      <c r="A509" s="42">
        <v>494</v>
      </c>
      <c r="B509" s="43">
        <f>B508+R$8</f>
        <v>1494</v>
      </c>
      <c r="C509" s="10">
        <f>C508+R$7</f>
        <v>499</v>
      </c>
      <c r="D509" s="45">
        <f t="shared" si="11"/>
        <v>124740</v>
      </c>
    </row>
    <row r="510" spans="1:4" x14ac:dyDescent="0.3">
      <c r="A510" s="42">
        <v>495</v>
      </c>
      <c r="B510" s="43">
        <f>B509+R$8</f>
        <v>1495</v>
      </c>
      <c r="C510" s="10">
        <f>C509+R$7</f>
        <v>500</v>
      </c>
      <c r="D510" s="45">
        <f t="shared" si="11"/>
        <v>125240</v>
      </c>
    </row>
    <row r="511" spans="1:4" x14ac:dyDescent="0.3">
      <c r="A511" s="42">
        <v>496</v>
      </c>
      <c r="B511" s="43">
        <f>B510+R$8</f>
        <v>1496</v>
      </c>
      <c r="C511" s="10">
        <f>C510+R$7</f>
        <v>501</v>
      </c>
      <c r="D511" s="45">
        <f t="shared" si="11"/>
        <v>125741</v>
      </c>
    </row>
    <row r="512" spans="1:4" x14ac:dyDescent="0.3">
      <c r="A512" s="42">
        <v>497</v>
      </c>
      <c r="B512" s="43">
        <f>B511+R$8</f>
        <v>1497</v>
      </c>
      <c r="C512" s="10">
        <f>C511+R$7</f>
        <v>502</v>
      </c>
      <c r="D512" s="45">
        <f t="shared" si="11"/>
        <v>126243</v>
      </c>
    </row>
    <row r="513" spans="1:4" x14ac:dyDescent="0.3">
      <c r="A513" s="42">
        <v>498</v>
      </c>
      <c r="B513" s="43">
        <f>B512+R$8</f>
        <v>1498</v>
      </c>
      <c r="C513" s="10">
        <f>C512+R$7</f>
        <v>503</v>
      </c>
      <c r="D513" s="45">
        <f t="shared" si="11"/>
        <v>126746</v>
      </c>
    </row>
    <row r="514" spans="1:4" x14ac:dyDescent="0.3">
      <c r="A514" s="42">
        <v>499</v>
      </c>
      <c r="B514" s="43">
        <f>B513+R$8</f>
        <v>1499</v>
      </c>
      <c r="C514" s="10">
        <f>C513+R$7</f>
        <v>504</v>
      </c>
      <c r="D514" s="45">
        <f t="shared" si="11"/>
        <v>127250</v>
      </c>
    </row>
    <row r="515" spans="1:4" x14ac:dyDescent="0.3">
      <c r="A515" s="42">
        <v>500</v>
      </c>
      <c r="B515" s="43">
        <f>B514+R$8</f>
        <v>1500</v>
      </c>
      <c r="C515" s="10">
        <f>C514+R$7</f>
        <v>505</v>
      </c>
      <c r="D515" s="45">
        <f t="shared" si="11"/>
        <v>127755</v>
      </c>
    </row>
    <row r="516" spans="1:4" x14ac:dyDescent="0.3">
      <c r="A516" s="42">
        <v>501</v>
      </c>
      <c r="B516" s="43">
        <f>B515+R$8</f>
        <v>1501</v>
      </c>
      <c r="C516" s="10">
        <f>C515+R$7</f>
        <v>506</v>
      </c>
      <c r="D516" s="45">
        <f t="shared" si="11"/>
        <v>128261</v>
      </c>
    </row>
    <row r="517" spans="1:4" x14ac:dyDescent="0.3">
      <c r="A517" s="42">
        <v>502</v>
      </c>
      <c r="B517" s="43">
        <f>B516+R$8</f>
        <v>1502</v>
      </c>
      <c r="C517" s="10">
        <f>C516+R$7</f>
        <v>507</v>
      </c>
      <c r="D517" s="45">
        <f t="shared" si="11"/>
        <v>128768</v>
      </c>
    </row>
    <row r="518" spans="1:4" x14ac:dyDescent="0.3">
      <c r="A518" s="42">
        <v>503</v>
      </c>
      <c r="B518" s="43">
        <f>B517+R$8</f>
        <v>1503</v>
      </c>
      <c r="C518" s="10">
        <f>C517+R$7</f>
        <v>508</v>
      </c>
      <c r="D518" s="45">
        <f t="shared" si="11"/>
        <v>129276</v>
      </c>
    </row>
    <row r="519" spans="1:4" x14ac:dyDescent="0.3">
      <c r="A519" s="42">
        <v>504</v>
      </c>
      <c r="B519" s="43">
        <f>B518+R$8</f>
        <v>1504</v>
      </c>
      <c r="C519" s="10">
        <f>C518+R$7</f>
        <v>509</v>
      </c>
      <c r="D519" s="45">
        <f t="shared" si="11"/>
        <v>129785</v>
      </c>
    </row>
    <row r="520" spans="1:4" x14ac:dyDescent="0.3">
      <c r="A520" s="42">
        <v>505</v>
      </c>
      <c r="B520" s="43">
        <f>B519+R$8</f>
        <v>1505</v>
      </c>
      <c r="C520" s="10">
        <f>C519+R$7</f>
        <v>510</v>
      </c>
      <c r="D520" s="45">
        <f t="shared" si="11"/>
        <v>130295</v>
      </c>
    </row>
    <row r="521" spans="1:4" x14ac:dyDescent="0.3">
      <c r="A521" s="42">
        <v>506</v>
      </c>
      <c r="B521" s="43">
        <f>B520+R$8</f>
        <v>1506</v>
      </c>
      <c r="C521" s="10">
        <f>C520+R$7</f>
        <v>511</v>
      </c>
      <c r="D521" s="45">
        <f t="shared" si="11"/>
        <v>130806</v>
      </c>
    </row>
    <row r="522" spans="1:4" x14ac:dyDescent="0.3">
      <c r="A522" s="42">
        <v>507</v>
      </c>
      <c r="B522" s="43">
        <f>B521+R$8</f>
        <v>1507</v>
      </c>
      <c r="C522" s="10">
        <f>C521+R$7</f>
        <v>512</v>
      </c>
      <c r="D522" s="45">
        <f t="shared" si="11"/>
        <v>131318</v>
      </c>
    </row>
    <row r="523" spans="1:4" x14ac:dyDescent="0.3">
      <c r="A523" s="42">
        <v>508</v>
      </c>
      <c r="B523" s="43">
        <f>B522+R$8</f>
        <v>1508</v>
      </c>
      <c r="C523" s="10">
        <f>C522+R$7</f>
        <v>513</v>
      </c>
      <c r="D523" s="45">
        <f t="shared" si="11"/>
        <v>131831</v>
      </c>
    </row>
    <row r="524" spans="1:4" x14ac:dyDescent="0.3">
      <c r="A524" s="42">
        <v>509</v>
      </c>
      <c r="B524" s="43">
        <f>B523+R$8</f>
        <v>1509</v>
      </c>
      <c r="C524" s="10">
        <f>C523+R$7</f>
        <v>514</v>
      </c>
      <c r="D524" s="45">
        <f t="shared" si="11"/>
        <v>132345</v>
      </c>
    </row>
    <row r="525" spans="1:4" x14ac:dyDescent="0.3">
      <c r="A525" s="42">
        <v>510</v>
      </c>
      <c r="B525" s="43">
        <f>B524+R$8</f>
        <v>1510</v>
      </c>
      <c r="C525" s="10">
        <f>C524+R$7</f>
        <v>515</v>
      </c>
      <c r="D525" s="45">
        <f t="shared" si="11"/>
        <v>132860</v>
      </c>
    </row>
    <row r="526" spans="1:4" x14ac:dyDescent="0.3">
      <c r="A526" s="42">
        <v>511</v>
      </c>
      <c r="B526" s="43">
        <f>B525+R$8</f>
        <v>1511</v>
      </c>
      <c r="C526" s="10">
        <f>C525+R$7</f>
        <v>516</v>
      </c>
      <c r="D526" s="45">
        <f t="shared" si="11"/>
        <v>133376</v>
      </c>
    </row>
    <row r="527" spans="1:4" x14ac:dyDescent="0.3">
      <c r="A527" s="42">
        <v>512</v>
      </c>
      <c r="B527" s="43">
        <f>B526+R$8</f>
        <v>1512</v>
      </c>
      <c r="C527" s="10">
        <f>C526+R$7</f>
        <v>517</v>
      </c>
      <c r="D527" s="45">
        <f t="shared" si="11"/>
        <v>133893</v>
      </c>
    </row>
    <row r="528" spans="1:4" x14ac:dyDescent="0.3">
      <c r="A528" s="42">
        <v>513</v>
      </c>
      <c r="B528" s="43">
        <f>B527+R$8</f>
        <v>1513</v>
      </c>
      <c r="C528" s="10">
        <f>C527+R$7</f>
        <v>518</v>
      </c>
      <c r="D528" s="45">
        <f t="shared" si="11"/>
        <v>134411</v>
      </c>
    </row>
    <row r="529" spans="1:4" x14ac:dyDescent="0.3">
      <c r="A529" s="42">
        <v>514</v>
      </c>
      <c r="B529" s="43">
        <f>B528+R$8</f>
        <v>1514</v>
      </c>
      <c r="C529" s="10">
        <f>C528+R$7</f>
        <v>519</v>
      </c>
      <c r="D529" s="45">
        <f t="shared" ref="D529:D549" si="12">D528+C529</f>
        <v>134930</v>
      </c>
    </row>
    <row r="530" spans="1:4" x14ac:dyDescent="0.3">
      <c r="A530" s="42">
        <v>515</v>
      </c>
      <c r="B530" s="43">
        <f>B529+R$8</f>
        <v>1515</v>
      </c>
      <c r="C530" s="10">
        <f>C529+R$7</f>
        <v>520</v>
      </c>
      <c r="D530" s="45">
        <f t="shared" si="12"/>
        <v>135450</v>
      </c>
    </row>
    <row r="531" spans="1:4" x14ac:dyDescent="0.3">
      <c r="A531" s="42">
        <v>516</v>
      </c>
      <c r="B531" s="43">
        <f>B530+R$8</f>
        <v>1516</v>
      </c>
      <c r="C531" s="10">
        <f>C530+R$7</f>
        <v>521</v>
      </c>
      <c r="D531" s="45">
        <f t="shared" si="12"/>
        <v>135971</v>
      </c>
    </row>
    <row r="532" spans="1:4" x14ac:dyDescent="0.3">
      <c r="A532" s="42">
        <v>517</v>
      </c>
      <c r="B532" s="43">
        <f>B531+R$8</f>
        <v>1517</v>
      </c>
      <c r="C532" s="10">
        <f>C531+R$7</f>
        <v>522</v>
      </c>
      <c r="D532" s="45">
        <f t="shared" si="12"/>
        <v>136493</v>
      </c>
    </row>
    <row r="533" spans="1:4" x14ac:dyDescent="0.3">
      <c r="A533" s="42">
        <v>518</v>
      </c>
      <c r="B533" s="43">
        <f>B532+R$8</f>
        <v>1518</v>
      </c>
      <c r="C533" s="10">
        <f>C532+R$7</f>
        <v>523</v>
      </c>
      <c r="D533" s="45">
        <f t="shared" si="12"/>
        <v>137016</v>
      </c>
    </row>
    <row r="534" spans="1:4" x14ac:dyDescent="0.3">
      <c r="A534" s="42">
        <v>519</v>
      </c>
      <c r="B534" s="43">
        <f>B533+R$8</f>
        <v>1519</v>
      </c>
      <c r="C534" s="10">
        <f>C533+R$7</f>
        <v>524</v>
      </c>
      <c r="D534" s="45">
        <f t="shared" si="12"/>
        <v>137540</v>
      </c>
    </row>
    <row r="535" spans="1:4" x14ac:dyDescent="0.3">
      <c r="A535" s="42">
        <v>520</v>
      </c>
      <c r="B535" s="43">
        <f>B534+R$8</f>
        <v>1520</v>
      </c>
      <c r="C535" s="10">
        <f>C534+R$7</f>
        <v>525</v>
      </c>
      <c r="D535" s="45">
        <f t="shared" si="12"/>
        <v>138065</v>
      </c>
    </row>
    <row r="536" spans="1:4" x14ac:dyDescent="0.3">
      <c r="A536" s="42">
        <v>521</v>
      </c>
      <c r="B536" s="43">
        <f>B535+R$8</f>
        <v>1521</v>
      </c>
      <c r="C536" s="10">
        <f>C535+R$7</f>
        <v>526</v>
      </c>
      <c r="D536" s="45">
        <f t="shared" si="12"/>
        <v>138591</v>
      </c>
    </row>
    <row r="537" spans="1:4" x14ac:dyDescent="0.3">
      <c r="A537" s="42">
        <v>522</v>
      </c>
      <c r="B537" s="43">
        <f>B536+R$8</f>
        <v>1522</v>
      </c>
      <c r="C537" s="10">
        <f>C536+R$7</f>
        <v>527</v>
      </c>
      <c r="D537" s="45">
        <f t="shared" si="12"/>
        <v>139118</v>
      </c>
    </row>
    <row r="538" spans="1:4" x14ac:dyDescent="0.3">
      <c r="A538" s="42">
        <v>523</v>
      </c>
      <c r="B538" s="43">
        <f>B537+R$8</f>
        <v>1523</v>
      </c>
      <c r="C538" s="10">
        <f>C537+R$7</f>
        <v>528</v>
      </c>
      <c r="D538" s="45">
        <f t="shared" si="12"/>
        <v>139646</v>
      </c>
    </row>
    <row r="539" spans="1:4" x14ac:dyDescent="0.3">
      <c r="A539" s="42">
        <v>524</v>
      </c>
      <c r="B539" s="43">
        <f>B538+R$8</f>
        <v>1524</v>
      </c>
      <c r="C539" s="10">
        <f>C538+R$7</f>
        <v>529</v>
      </c>
      <c r="D539" s="45">
        <f t="shared" si="12"/>
        <v>140175</v>
      </c>
    </row>
    <row r="540" spans="1:4" x14ac:dyDescent="0.3">
      <c r="A540" s="42">
        <v>525</v>
      </c>
      <c r="B540" s="43">
        <f>B539+R$8</f>
        <v>1525</v>
      </c>
      <c r="C540" s="10">
        <f>C539+R$7</f>
        <v>530</v>
      </c>
      <c r="D540" s="45">
        <f t="shared" si="12"/>
        <v>140705</v>
      </c>
    </row>
    <row r="541" spans="1:4" x14ac:dyDescent="0.3">
      <c r="A541" s="42">
        <v>526</v>
      </c>
      <c r="B541" s="43">
        <f>B540+R$8</f>
        <v>1526</v>
      </c>
      <c r="C541" s="10">
        <f>C540+R$7</f>
        <v>531</v>
      </c>
      <c r="D541" s="45">
        <f t="shared" si="12"/>
        <v>141236</v>
      </c>
    </row>
    <row r="542" spans="1:4" x14ac:dyDescent="0.3">
      <c r="A542" s="42">
        <v>527</v>
      </c>
      <c r="B542" s="43">
        <f>B541+R$8</f>
        <v>1527</v>
      </c>
      <c r="C542" s="10">
        <f>C541+R$7</f>
        <v>532</v>
      </c>
      <c r="D542" s="45">
        <f t="shared" si="12"/>
        <v>141768</v>
      </c>
    </row>
    <row r="543" spans="1:4" x14ac:dyDescent="0.3">
      <c r="A543" s="42">
        <v>528</v>
      </c>
      <c r="B543" s="43">
        <f>B542+R$8</f>
        <v>1528</v>
      </c>
      <c r="C543" s="10">
        <f>C542+R$7</f>
        <v>533</v>
      </c>
      <c r="D543" s="45">
        <f t="shared" si="12"/>
        <v>142301</v>
      </c>
    </row>
    <row r="544" spans="1:4" x14ac:dyDescent="0.3">
      <c r="A544" s="42">
        <v>529</v>
      </c>
      <c r="B544" s="43">
        <f>B543+R$8</f>
        <v>1529</v>
      </c>
      <c r="C544" s="10">
        <f>C543+R$7</f>
        <v>534</v>
      </c>
      <c r="D544" s="45">
        <f t="shared" si="12"/>
        <v>142835</v>
      </c>
    </row>
    <row r="545" spans="1:4" x14ac:dyDescent="0.3">
      <c r="A545" s="42">
        <v>530</v>
      </c>
      <c r="B545" s="43">
        <f>B544+R$8</f>
        <v>1530</v>
      </c>
      <c r="C545" s="10">
        <f>C544+R$7</f>
        <v>535</v>
      </c>
      <c r="D545" s="45">
        <f t="shared" si="12"/>
        <v>143370</v>
      </c>
    </row>
    <row r="546" spans="1:4" x14ac:dyDescent="0.3">
      <c r="A546" s="42">
        <v>531</v>
      </c>
      <c r="B546" s="43">
        <f>B545+R$8</f>
        <v>1531</v>
      </c>
      <c r="C546" s="10">
        <f>C545+R$7</f>
        <v>536</v>
      </c>
      <c r="D546" s="45">
        <f t="shared" si="12"/>
        <v>143906</v>
      </c>
    </row>
    <row r="547" spans="1:4" x14ac:dyDescent="0.3">
      <c r="A547" s="42">
        <v>532</v>
      </c>
      <c r="B547" s="43">
        <f>B546+R$8</f>
        <v>1532</v>
      </c>
      <c r="C547" s="10">
        <f>C546+R$7</f>
        <v>537</v>
      </c>
      <c r="D547" s="45">
        <f t="shared" si="12"/>
        <v>144443</v>
      </c>
    </row>
    <row r="548" spans="1:4" x14ac:dyDescent="0.3">
      <c r="A548" s="42">
        <v>533</v>
      </c>
      <c r="B548" s="43">
        <f>B547+R$8</f>
        <v>1533</v>
      </c>
      <c r="C548" s="10">
        <f>C547+R$7</f>
        <v>538</v>
      </c>
      <c r="D548" s="45">
        <f t="shared" si="12"/>
        <v>144981</v>
      </c>
    </row>
    <row r="549" spans="1:4" x14ac:dyDescent="0.3">
      <c r="A549" s="42">
        <v>534</v>
      </c>
      <c r="B549" s="43">
        <f>B548+R$8</f>
        <v>1534</v>
      </c>
      <c r="C549" s="10">
        <f>C548+R$7</f>
        <v>539</v>
      </c>
      <c r="D549" s="45">
        <f t="shared" si="12"/>
        <v>145520</v>
      </c>
    </row>
    <row r="550" spans="1:4" x14ac:dyDescent="0.3">
      <c r="A550" s="42">
        <v>535</v>
      </c>
      <c r="B550" s="43">
        <f t="shared" ref="B550:B613" si="13">B549+R$8</f>
        <v>1535</v>
      </c>
      <c r="C550" s="10">
        <f t="shared" ref="C550:C613" si="14">C549+R$7</f>
        <v>540</v>
      </c>
      <c r="D550" s="45">
        <f t="shared" ref="D550:D613" si="15">D549+C550</f>
        <v>146060</v>
      </c>
    </row>
    <row r="551" spans="1:4" x14ac:dyDescent="0.3">
      <c r="A551" s="42">
        <v>536</v>
      </c>
      <c r="B551" s="43">
        <f t="shared" si="13"/>
        <v>1536</v>
      </c>
      <c r="C551" s="10">
        <f t="shared" si="14"/>
        <v>541</v>
      </c>
      <c r="D551" s="45">
        <f t="shared" si="15"/>
        <v>146601</v>
      </c>
    </row>
    <row r="552" spans="1:4" x14ac:dyDescent="0.3">
      <c r="A552" s="42">
        <v>537</v>
      </c>
      <c r="B552" s="43">
        <f t="shared" si="13"/>
        <v>1537</v>
      </c>
      <c r="C552" s="10">
        <f t="shared" si="14"/>
        <v>542</v>
      </c>
      <c r="D552" s="45">
        <f t="shared" si="15"/>
        <v>147143</v>
      </c>
    </row>
    <row r="553" spans="1:4" x14ac:dyDescent="0.3">
      <c r="A553" s="42">
        <v>538</v>
      </c>
      <c r="B553" s="43">
        <f t="shared" si="13"/>
        <v>1538</v>
      </c>
      <c r="C553" s="10">
        <f t="shared" si="14"/>
        <v>543</v>
      </c>
      <c r="D553" s="45">
        <f t="shared" si="15"/>
        <v>147686</v>
      </c>
    </row>
    <row r="554" spans="1:4" x14ac:dyDescent="0.3">
      <c r="A554" s="42">
        <v>539</v>
      </c>
      <c r="B554" s="43">
        <f t="shared" si="13"/>
        <v>1539</v>
      </c>
      <c r="C554" s="10">
        <f t="shared" si="14"/>
        <v>544</v>
      </c>
      <c r="D554" s="45">
        <f t="shared" si="15"/>
        <v>148230</v>
      </c>
    </row>
    <row r="555" spans="1:4" x14ac:dyDescent="0.3">
      <c r="A555" s="42">
        <v>540</v>
      </c>
      <c r="B555" s="43">
        <f t="shared" si="13"/>
        <v>1540</v>
      </c>
      <c r="C555" s="10">
        <f t="shared" si="14"/>
        <v>545</v>
      </c>
      <c r="D555" s="45">
        <f t="shared" si="15"/>
        <v>148775</v>
      </c>
    </row>
    <row r="556" spans="1:4" x14ac:dyDescent="0.3">
      <c r="A556" s="42">
        <v>541</v>
      </c>
      <c r="B556" s="43">
        <f t="shared" si="13"/>
        <v>1541</v>
      </c>
      <c r="C556" s="10">
        <f t="shared" si="14"/>
        <v>546</v>
      </c>
      <c r="D556" s="45">
        <f t="shared" si="15"/>
        <v>149321</v>
      </c>
    </row>
    <row r="557" spans="1:4" x14ac:dyDescent="0.3">
      <c r="A557" s="42">
        <v>542</v>
      </c>
      <c r="B557" s="43">
        <f t="shared" si="13"/>
        <v>1542</v>
      </c>
      <c r="C557" s="10">
        <f t="shared" si="14"/>
        <v>547</v>
      </c>
      <c r="D557" s="45">
        <f t="shared" si="15"/>
        <v>149868</v>
      </c>
    </row>
    <row r="558" spans="1:4" x14ac:dyDescent="0.3">
      <c r="A558" s="42">
        <v>543</v>
      </c>
      <c r="B558" s="43">
        <f t="shared" si="13"/>
        <v>1543</v>
      </c>
      <c r="C558" s="10">
        <f t="shared" si="14"/>
        <v>548</v>
      </c>
      <c r="D558" s="45">
        <f t="shared" si="15"/>
        <v>150416</v>
      </c>
    </row>
    <row r="559" spans="1:4" x14ac:dyDescent="0.3">
      <c r="A559" s="42">
        <v>544</v>
      </c>
      <c r="B559" s="43">
        <f t="shared" si="13"/>
        <v>1544</v>
      </c>
      <c r="C559" s="10">
        <f t="shared" si="14"/>
        <v>549</v>
      </c>
      <c r="D559" s="45">
        <f t="shared" si="15"/>
        <v>150965</v>
      </c>
    </row>
    <row r="560" spans="1:4" x14ac:dyDescent="0.3">
      <c r="A560" s="42">
        <v>545</v>
      </c>
      <c r="B560" s="43">
        <f t="shared" si="13"/>
        <v>1545</v>
      </c>
      <c r="C560" s="10">
        <f t="shared" si="14"/>
        <v>550</v>
      </c>
      <c r="D560" s="45">
        <f t="shared" si="15"/>
        <v>151515</v>
      </c>
    </row>
    <row r="561" spans="1:4" x14ac:dyDescent="0.3">
      <c r="A561" s="42">
        <v>546</v>
      </c>
      <c r="B561" s="43">
        <f t="shared" si="13"/>
        <v>1546</v>
      </c>
      <c r="C561" s="10">
        <f t="shared" si="14"/>
        <v>551</v>
      </c>
      <c r="D561" s="45">
        <f t="shared" si="15"/>
        <v>152066</v>
      </c>
    </row>
    <row r="562" spans="1:4" x14ac:dyDescent="0.3">
      <c r="A562" s="42">
        <v>547</v>
      </c>
      <c r="B562" s="43">
        <f t="shared" si="13"/>
        <v>1547</v>
      </c>
      <c r="C562" s="10">
        <f t="shared" si="14"/>
        <v>552</v>
      </c>
      <c r="D562" s="45">
        <f t="shared" si="15"/>
        <v>152618</v>
      </c>
    </row>
    <row r="563" spans="1:4" x14ac:dyDescent="0.3">
      <c r="A563" s="42">
        <v>548</v>
      </c>
      <c r="B563" s="43">
        <f t="shared" si="13"/>
        <v>1548</v>
      </c>
      <c r="C563" s="10">
        <f t="shared" si="14"/>
        <v>553</v>
      </c>
      <c r="D563" s="45">
        <f t="shared" si="15"/>
        <v>153171</v>
      </c>
    </row>
    <row r="564" spans="1:4" x14ac:dyDescent="0.3">
      <c r="A564" s="42">
        <v>549</v>
      </c>
      <c r="B564" s="43">
        <f t="shared" si="13"/>
        <v>1549</v>
      </c>
      <c r="C564" s="10">
        <f t="shared" si="14"/>
        <v>554</v>
      </c>
      <c r="D564" s="45">
        <f t="shared" si="15"/>
        <v>153725</v>
      </c>
    </row>
    <row r="565" spans="1:4" x14ac:dyDescent="0.3">
      <c r="A565" s="42">
        <v>550</v>
      </c>
      <c r="B565" s="43">
        <f t="shared" si="13"/>
        <v>1550</v>
      </c>
      <c r="C565" s="10">
        <f t="shared" si="14"/>
        <v>555</v>
      </c>
      <c r="D565" s="45">
        <f t="shared" si="15"/>
        <v>154280</v>
      </c>
    </row>
    <row r="566" spans="1:4" x14ac:dyDescent="0.3">
      <c r="A566" s="42">
        <v>551</v>
      </c>
      <c r="B566" s="43">
        <f t="shared" si="13"/>
        <v>1551</v>
      </c>
      <c r="C566" s="10">
        <f t="shared" si="14"/>
        <v>556</v>
      </c>
      <c r="D566" s="45">
        <f t="shared" si="15"/>
        <v>154836</v>
      </c>
    </row>
    <row r="567" spans="1:4" x14ac:dyDescent="0.3">
      <c r="A567" s="42">
        <v>552</v>
      </c>
      <c r="B567" s="43">
        <f t="shared" si="13"/>
        <v>1552</v>
      </c>
      <c r="C567" s="10">
        <f t="shared" si="14"/>
        <v>557</v>
      </c>
      <c r="D567" s="45">
        <f t="shared" si="15"/>
        <v>155393</v>
      </c>
    </row>
    <row r="568" spans="1:4" x14ac:dyDescent="0.3">
      <c r="A568" s="42">
        <v>553</v>
      </c>
      <c r="B568" s="43">
        <f t="shared" si="13"/>
        <v>1553</v>
      </c>
      <c r="C568" s="10">
        <f t="shared" si="14"/>
        <v>558</v>
      </c>
      <c r="D568" s="45">
        <f t="shared" si="15"/>
        <v>155951</v>
      </c>
    </row>
    <row r="569" spans="1:4" x14ac:dyDescent="0.3">
      <c r="A569" s="42">
        <v>554</v>
      </c>
      <c r="B569" s="43">
        <f t="shared" si="13"/>
        <v>1554</v>
      </c>
      <c r="C569" s="10">
        <f t="shared" si="14"/>
        <v>559</v>
      </c>
      <c r="D569" s="45">
        <f t="shared" si="15"/>
        <v>156510</v>
      </c>
    </row>
    <row r="570" spans="1:4" x14ac:dyDescent="0.3">
      <c r="A570" s="42">
        <v>555</v>
      </c>
      <c r="B570" s="43">
        <f t="shared" si="13"/>
        <v>1555</v>
      </c>
      <c r="C570" s="10">
        <f t="shared" si="14"/>
        <v>560</v>
      </c>
      <c r="D570" s="45">
        <f t="shared" si="15"/>
        <v>157070</v>
      </c>
    </row>
    <row r="571" spans="1:4" x14ac:dyDescent="0.3">
      <c r="A571" s="42">
        <v>556</v>
      </c>
      <c r="B571" s="43">
        <f t="shared" si="13"/>
        <v>1556</v>
      </c>
      <c r="C571" s="10">
        <f t="shared" si="14"/>
        <v>561</v>
      </c>
      <c r="D571" s="45">
        <f t="shared" si="15"/>
        <v>157631</v>
      </c>
    </row>
    <row r="572" spans="1:4" x14ac:dyDescent="0.3">
      <c r="A572" s="42">
        <v>557</v>
      </c>
      <c r="B572" s="43">
        <f t="shared" si="13"/>
        <v>1557</v>
      </c>
      <c r="C572" s="10">
        <f t="shared" si="14"/>
        <v>562</v>
      </c>
      <c r="D572" s="45">
        <f t="shared" si="15"/>
        <v>158193</v>
      </c>
    </row>
    <row r="573" spans="1:4" x14ac:dyDescent="0.3">
      <c r="A573" s="42">
        <v>558</v>
      </c>
      <c r="B573" s="43">
        <f t="shared" si="13"/>
        <v>1558</v>
      </c>
      <c r="C573" s="10">
        <f t="shared" si="14"/>
        <v>563</v>
      </c>
      <c r="D573" s="45">
        <f t="shared" si="15"/>
        <v>158756</v>
      </c>
    </row>
    <row r="574" spans="1:4" x14ac:dyDescent="0.3">
      <c r="A574" s="42">
        <v>559</v>
      </c>
      <c r="B574" s="43">
        <f t="shared" si="13"/>
        <v>1559</v>
      </c>
      <c r="C574" s="10">
        <f t="shared" si="14"/>
        <v>564</v>
      </c>
      <c r="D574" s="45">
        <f t="shared" si="15"/>
        <v>159320</v>
      </c>
    </row>
    <row r="575" spans="1:4" x14ac:dyDescent="0.3">
      <c r="A575" s="42">
        <v>560</v>
      </c>
      <c r="B575" s="43">
        <f t="shared" si="13"/>
        <v>1560</v>
      </c>
      <c r="C575" s="10">
        <f t="shared" si="14"/>
        <v>565</v>
      </c>
      <c r="D575" s="45">
        <f t="shared" si="15"/>
        <v>159885</v>
      </c>
    </row>
    <row r="576" spans="1:4" x14ac:dyDescent="0.3">
      <c r="A576" s="42">
        <v>561</v>
      </c>
      <c r="B576" s="43">
        <f t="shared" si="13"/>
        <v>1561</v>
      </c>
      <c r="C576" s="10">
        <f t="shared" si="14"/>
        <v>566</v>
      </c>
      <c r="D576" s="45">
        <f t="shared" si="15"/>
        <v>160451</v>
      </c>
    </row>
    <row r="577" spans="1:4" x14ac:dyDescent="0.3">
      <c r="A577" s="42">
        <v>562</v>
      </c>
      <c r="B577" s="43">
        <f t="shared" si="13"/>
        <v>1562</v>
      </c>
      <c r="C577" s="10">
        <f t="shared" si="14"/>
        <v>567</v>
      </c>
      <c r="D577" s="45">
        <f t="shared" si="15"/>
        <v>161018</v>
      </c>
    </row>
    <row r="578" spans="1:4" x14ac:dyDescent="0.3">
      <c r="A578" s="42">
        <v>563</v>
      </c>
      <c r="B578" s="43">
        <f t="shared" si="13"/>
        <v>1563</v>
      </c>
      <c r="C578" s="10">
        <f t="shared" si="14"/>
        <v>568</v>
      </c>
      <c r="D578" s="45">
        <f t="shared" si="15"/>
        <v>161586</v>
      </c>
    </row>
    <row r="579" spans="1:4" x14ac:dyDescent="0.3">
      <c r="A579" s="42">
        <v>564</v>
      </c>
      <c r="B579" s="43">
        <f t="shared" si="13"/>
        <v>1564</v>
      </c>
      <c r="C579" s="10">
        <f t="shared" si="14"/>
        <v>569</v>
      </c>
      <c r="D579" s="45">
        <f t="shared" si="15"/>
        <v>162155</v>
      </c>
    </row>
    <row r="580" spans="1:4" x14ac:dyDescent="0.3">
      <c r="A580" s="42">
        <v>565</v>
      </c>
      <c r="B580" s="43">
        <f t="shared" si="13"/>
        <v>1565</v>
      </c>
      <c r="C580" s="10">
        <f t="shared" si="14"/>
        <v>570</v>
      </c>
      <c r="D580" s="45">
        <f t="shared" si="15"/>
        <v>162725</v>
      </c>
    </row>
    <row r="581" spans="1:4" x14ac:dyDescent="0.3">
      <c r="A581" s="42">
        <v>566</v>
      </c>
      <c r="B581" s="43">
        <f t="shared" si="13"/>
        <v>1566</v>
      </c>
      <c r="C581" s="10">
        <f t="shared" si="14"/>
        <v>571</v>
      </c>
      <c r="D581" s="45">
        <f t="shared" si="15"/>
        <v>163296</v>
      </c>
    </row>
    <row r="582" spans="1:4" x14ac:dyDescent="0.3">
      <c r="A582" s="42">
        <v>567</v>
      </c>
      <c r="B582" s="43">
        <f t="shared" si="13"/>
        <v>1567</v>
      </c>
      <c r="C582" s="10">
        <f t="shared" si="14"/>
        <v>572</v>
      </c>
      <c r="D582" s="45">
        <f t="shared" si="15"/>
        <v>163868</v>
      </c>
    </row>
    <row r="583" spans="1:4" x14ac:dyDescent="0.3">
      <c r="A583" s="42">
        <v>568</v>
      </c>
      <c r="B583" s="43">
        <f t="shared" si="13"/>
        <v>1568</v>
      </c>
      <c r="C583" s="10">
        <f t="shared" si="14"/>
        <v>573</v>
      </c>
      <c r="D583" s="45">
        <f t="shared" si="15"/>
        <v>164441</v>
      </c>
    </row>
    <row r="584" spans="1:4" x14ac:dyDescent="0.3">
      <c r="A584" s="42">
        <v>569</v>
      </c>
      <c r="B584" s="43">
        <f t="shared" si="13"/>
        <v>1569</v>
      </c>
      <c r="C584" s="10">
        <f t="shared" si="14"/>
        <v>574</v>
      </c>
      <c r="D584" s="45">
        <f t="shared" si="15"/>
        <v>165015</v>
      </c>
    </row>
    <row r="585" spans="1:4" x14ac:dyDescent="0.3">
      <c r="A585" s="42">
        <v>570</v>
      </c>
      <c r="B585" s="43">
        <f t="shared" si="13"/>
        <v>1570</v>
      </c>
      <c r="C585" s="10">
        <f t="shared" si="14"/>
        <v>575</v>
      </c>
      <c r="D585" s="45">
        <f t="shared" si="15"/>
        <v>165590</v>
      </c>
    </row>
    <row r="586" spans="1:4" x14ac:dyDescent="0.3">
      <c r="A586" s="42">
        <v>571</v>
      </c>
      <c r="B586" s="43">
        <f t="shared" si="13"/>
        <v>1571</v>
      </c>
      <c r="C586" s="10">
        <f t="shared" si="14"/>
        <v>576</v>
      </c>
      <c r="D586" s="45">
        <f t="shared" si="15"/>
        <v>166166</v>
      </c>
    </row>
    <row r="587" spans="1:4" x14ac:dyDescent="0.3">
      <c r="A587" s="42">
        <v>572</v>
      </c>
      <c r="B587" s="43">
        <f t="shared" si="13"/>
        <v>1572</v>
      </c>
      <c r="C587" s="10">
        <f t="shared" si="14"/>
        <v>577</v>
      </c>
      <c r="D587" s="45">
        <f t="shared" si="15"/>
        <v>166743</v>
      </c>
    </row>
    <row r="588" spans="1:4" x14ac:dyDescent="0.3">
      <c r="A588" s="42">
        <v>573</v>
      </c>
      <c r="B588" s="43">
        <f t="shared" si="13"/>
        <v>1573</v>
      </c>
      <c r="C588" s="10">
        <f t="shared" si="14"/>
        <v>578</v>
      </c>
      <c r="D588" s="45">
        <f t="shared" si="15"/>
        <v>167321</v>
      </c>
    </row>
    <row r="589" spans="1:4" x14ac:dyDescent="0.3">
      <c r="A589" s="42">
        <v>574</v>
      </c>
      <c r="B589" s="43">
        <f t="shared" si="13"/>
        <v>1574</v>
      </c>
      <c r="C589" s="10">
        <f t="shared" si="14"/>
        <v>579</v>
      </c>
      <c r="D589" s="45">
        <f t="shared" si="15"/>
        <v>167900</v>
      </c>
    </row>
    <row r="590" spans="1:4" x14ac:dyDescent="0.3">
      <c r="A590" s="42">
        <v>575</v>
      </c>
      <c r="B590" s="43">
        <f t="shared" si="13"/>
        <v>1575</v>
      </c>
      <c r="C590" s="10">
        <f t="shared" si="14"/>
        <v>580</v>
      </c>
      <c r="D590" s="45">
        <f t="shared" si="15"/>
        <v>168480</v>
      </c>
    </row>
    <row r="591" spans="1:4" x14ac:dyDescent="0.3">
      <c r="A591" s="42">
        <v>576</v>
      </c>
      <c r="B591" s="43">
        <f t="shared" si="13"/>
        <v>1576</v>
      </c>
      <c r="C591" s="10">
        <f t="shared" si="14"/>
        <v>581</v>
      </c>
      <c r="D591" s="45">
        <f t="shared" si="15"/>
        <v>169061</v>
      </c>
    </row>
    <row r="592" spans="1:4" x14ac:dyDescent="0.3">
      <c r="A592" s="42">
        <v>577</v>
      </c>
      <c r="B592" s="43">
        <f t="shared" si="13"/>
        <v>1577</v>
      </c>
      <c r="C592" s="10">
        <f t="shared" si="14"/>
        <v>582</v>
      </c>
      <c r="D592" s="45">
        <f t="shared" si="15"/>
        <v>169643</v>
      </c>
    </row>
    <row r="593" spans="1:4" x14ac:dyDescent="0.3">
      <c r="A593" s="42">
        <v>578</v>
      </c>
      <c r="B593" s="43">
        <f t="shared" si="13"/>
        <v>1578</v>
      </c>
      <c r="C593" s="10">
        <f t="shared" si="14"/>
        <v>583</v>
      </c>
      <c r="D593" s="45">
        <f t="shared" si="15"/>
        <v>170226</v>
      </c>
    </row>
    <row r="594" spans="1:4" x14ac:dyDescent="0.3">
      <c r="A594" s="42">
        <v>579</v>
      </c>
      <c r="B594" s="43">
        <f t="shared" si="13"/>
        <v>1579</v>
      </c>
      <c r="C594" s="10">
        <f t="shared" si="14"/>
        <v>584</v>
      </c>
      <c r="D594" s="45">
        <f t="shared" si="15"/>
        <v>170810</v>
      </c>
    </row>
    <row r="595" spans="1:4" x14ac:dyDescent="0.3">
      <c r="A595" s="42">
        <v>580</v>
      </c>
      <c r="B595" s="43">
        <f t="shared" si="13"/>
        <v>1580</v>
      </c>
      <c r="C595" s="10">
        <f t="shared" si="14"/>
        <v>585</v>
      </c>
      <c r="D595" s="45">
        <f t="shared" si="15"/>
        <v>171395</v>
      </c>
    </row>
    <row r="596" spans="1:4" x14ac:dyDescent="0.3">
      <c r="A596" s="42">
        <v>581</v>
      </c>
      <c r="B596" s="43">
        <f t="shared" si="13"/>
        <v>1581</v>
      </c>
      <c r="C596" s="10">
        <f t="shared" si="14"/>
        <v>586</v>
      </c>
      <c r="D596" s="45">
        <f t="shared" si="15"/>
        <v>171981</v>
      </c>
    </row>
    <row r="597" spans="1:4" x14ac:dyDescent="0.3">
      <c r="A597" s="42">
        <v>582</v>
      </c>
      <c r="B597" s="43">
        <f t="shared" si="13"/>
        <v>1582</v>
      </c>
      <c r="C597" s="10">
        <f t="shared" si="14"/>
        <v>587</v>
      </c>
      <c r="D597" s="45">
        <f t="shared" si="15"/>
        <v>172568</v>
      </c>
    </row>
    <row r="598" spans="1:4" x14ac:dyDescent="0.3">
      <c r="A598" s="42">
        <v>583</v>
      </c>
      <c r="B598" s="43">
        <f t="shared" si="13"/>
        <v>1583</v>
      </c>
      <c r="C598" s="10">
        <f t="shared" si="14"/>
        <v>588</v>
      </c>
      <c r="D598" s="45">
        <f t="shared" si="15"/>
        <v>173156</v>
      </c>
    </row>
    <row r="599" spans="1:4" x14ac:dyDescent="0.3">
      <c r="A599" s="42">
        <v>584</v>
      </c>
      <c r="B599" s="43">
        <f t="shared" si="13"/>
        <v>1584</v>
      </c>
      <c r="C599" s="10">
        <f t="shared" si="14"/>
        <v>589</v>
      </c>
      <c r="D599" s="45">
        <f t="shared" si="15"/>
        <v>173745</v>
      </c>
    </row>
    <row r="600" spans="1:4" x14ac:dyDescent="0.3">
      <c r="A600" s="42">
        <v>585</v>
      </c>
      <c r="B600" s="43">
        <f t="shared" si="13"/>
        <v>1585</v>
      </c>
      <c r="C600" s="10">
        <f t="shared" si="14"/>
        <v>590</v>
      </c>
      <c r="D600" s="45">
        <f t="shared" si="15"/>
        <v>174335</v>
      </c>
    </row>
    <row r="601" spans="1:4" x14ac:dyDescent="0.3">
      <c r="A601" s="42">
        <v>586</v>
      </c>
      <c r="B601" s="43">
        <f t="shared" si="13"/>
        <v>1586</v>
      </c>
      <c r="C601" s="10">
        <f t="shared" si="14"/>
        <v>591</v>
      </c>
      <c r="D601" s="45">
        <f t="shared" si="15"/>
        <v>174926</v>
      </c>
    </row>
    <row r="602" spans="1:4" x14ac:dyDescent="0.3">
      <c r="A602" s="42">
        <v>587</v>
      </c>
      <c r="B602" s="43">
        <f t="shared" si="13"/>
        <v>1587</v>
      </c>
      <c r="C602" s="10">
        <f t="shared" si="14"/>
        <v>592</v>
      </c>
      <c r="D602" s="45">
        <f t="shared" si="15"/>
        <v>175518</v>
      </c>
    </row>
    <row r="603" spans="1:4" x14ac:dyDescent="0.3">
      <c r="A603" s="42">
        <v>588</v>
      </c>
      <c r="B603" s="43">
        <f t="shared" si="13"/>
        <v>1588</v>
      </c>
      <c r="C603" s="10">
        <f t="shared" si="14"/>
        <v>593</v>
      </c>
      <c r="D603" s="45">
        <f t="shared" si="15"/>
        <v>176111</v>
      </c>
    </row>
    <row r="604" spans="1:4" x14ac:dyDescent="0.3">
      <c r="A604" s="42">
        <v>589</v>
      </c>
      <c r="B604" s="43">
        <f t="shared" si="13"/>
        <v>1589</v>
      </c>
      <c r="C604" s="10">
        <f t="shared" si="14"/>
        <v>594</v>
      </c>
      <c r="D604" s="45">
        <f t="shared" si="15"/>
        <v>176705</v>
      </c>
    </row>
    <row r="605" spans="1:4" x14ac:dyDescent="0.3">
      <c r="A605" s="42">
        <v>590</v>
      </c>
      <c r="B605" s="43">
        <f t="shared" si="13"/>
        <v>1590</v>
      </c>
      <c r="C605" s="10">
        <f t="shared" si="14"/>
        <v>595</v>
      </c>
      <c r="D605" s="45">
        <f t="shared" si="15"/>
        <v>177300</v>
      </c>
    </row>
    <row r="606" spans="1:4" x14ac:dyDescent="0.3">
      <c r="A606" s="42">
        <v>591</v>
      </c>
      <c r="B606" s="43">
        <f t="shared" si="13"/>
        <v>1591</v>
      </c>
      <c r="C606" s="10">
        <f t="shared" si="14"/>
        <v>596</v>
      </c>
      <c r="D606" s="45">
        <f t="shared" si="15"/>
        <v>177896</v>
      </c>
    </row>
    <row r="607" spans="1:4" x14ac:dyDescent="0.3">
      <c r="A607" s="42">
        <v>592</v>
      </c>
      <c r="B607" s="43">
        <f t="shared" si="13"/>
        <v>1592</v>
      </c>
      <c r="C607" s="10">
        <f t="shared" si="14"/>
        <v>597</v>
      </c>
      <c r="D607" s="45">
        <f t="shared" si="15"/>
        <v>178493</v>
      </c>
    </row>
    <row r="608" spans="1:4" x14ac:dyDescent="0.3">
      <c r="A608" s="42">
        <v>593</v>
      </c>
      <c r="B608" s="43">
        <f t="shared" si="13"/>
        <v>1593</v>
      </c>
      <c r="C608" s="10">
        <f t="shared" si="14"/>
        <v>598</v>
      </c>
      <c r="D608" s="45">
        <f t="shared" si="15"/>
        <v>179091</v>
      </c>
    </row>
    <row r="609" spans="1:4" x14ac:dyDescent="0.3">
      <c r="A609" s="42">
        <v>594</v>
      </c>
      <c r="B609" s="43">
        <f t="shared" si="13"/>
        <v>1594</v>
      </c>
      <c r="C609" s="10">
        <f t="shared" si="14"/>
        <v>599</v>
      </c>
      <c r="D609" s="45">
        <f t="shared" si="15"/>
        <v>179690</v>
      </c>
    </row>
    <row r="610" spans="1:4" x14ac:dyDescent="0.3">
      <c r="A610" s="42">
        <v>595</v>
      </c>
      <c r="B610" s="43">
        <f t="shared" si="13"/>
        <v>1595</v>
      </c>
      <c r="C610" s="10">
        <f t="shared" si="14"/>
        <v>600</v>
      </c>
      <c r="D610" s="45">
        <f t="shared" si="15"/>
        <v>180290</v>
      </c>
    </row>
    <row r="611" spans="1:4" x14ac:dyDescent="0.3">
      <c r="A611" s="42">
        <v>596</v>
      </c>
      <c r="B611" s="43">
        <f t="shared" si="13"/>
        <v>1596</v>
      </c>
      <c r="C611" s="10">
        <f t="shared" si="14"/>
        <v>601</v>
      </c>
      <c r="D611" s="45">
        <f t="shared" si="15"/>
        <v>180891</v>
      </c>
    </row>
    <row r="612" spans="1:4" x14ac:dyDescent="0.3">
      <c r="A612" s="42">
        <v>597</v>
      </c>
      <c r="B612" s="43">
        <f t="shared" si="13"/>
        <v>1597</v>
      </c>
      <c r="C612" s="10">
        <f t="shared" si="14"/>
        <v>602</v>
      </c>
      <c r="D612" s="45">
        <f t="shared" si="15"/>
        <v>181493</v>
      </c>
    </row>
    <row r="613" spans="1:4" x14ac:dyDescent="0.3">
      <c r="A613" s="42">
        <v>598</v>
      </c>
      <c r="B613" s="43">
        <f t="shared" si="13"/>
        <v>1598</v>
      </c>
      <c r="C613" s="10">
        <f t="shared" si="14"/>
        <v>603</v>
      </c>
      <c r="D613" s="45">
        <f t="shared" si="15"/>
        <v>182096</v>
      </c>
    </row>
    <row r="614" spans="1:4" x14ac:dyDescent="0.3">
      <c r="A614" s="42">
        <v>599</v>
      </c>
      <c r="B614" s="43">
        <f t="shared" ref="B614:B677" si="16">B613+R$8</f>
        <v>1599</v>
      </c>
      <c r="C614" s="10">
        <f t="shared" ref="C614:C677" si="17">C613+R$7</f>
        <v>604</v>
      </c>
      <c r="D614" s="45">
        <f t="shared" ref="D614:D677" si="18">D613+C614</f>
        <v>182700</v>
      </c>
    </row>
    <row r="615" spans="1:4" x14ac:dyDescent="0.3">
      <c r="A615" s="42">
        <v>600</v>
      </c>
      <c r="B615" s="43">
        <f t="shared" si="16"/>
        <v>1600</v>
      </c>
      <c r="C615" s="10">
        <f t="shared" si="17"/>
        <v>605</v>
      </c>
      <c r="D615" s="45">
        <f t="shared" si="18"/>
        <v>183305</v>
      </c>
    </row>
    <row r="616" spans="1:4" x14ac:dyDescent="0.3">
      <c r="A616" s="42">
        <v>601</v>
      </c>
      <c r="B616" s="43">
        <f t="shared" si="16"/>
        <v>1601</v>
      </c>
      <c r="C616" s="10">
        <f t="shared" si="17"/>
        <v>606</v>
      </c>
      <c r="D616" s="45">
        <f t="shared" si="18"/>
        <v>183911</v>
      </c>
    </row>
    <row r="617" spans="1:4" x14ac:dyDescent="0.3">
      <c r="A617" s="42">
        <v>602</v>
      </c>
      <c r="B617" s="43">
        <f t="shared" si="16"/>
        <v>1602</v>
      </c>
      <c r="C617" s="10">
        <f t="shared" si="17"/>
        <v>607</v>
      </c>
      <c r="D617" s="45">
        <f t="shared" si="18"/>
        <v>184518</v>
      </c>
    </row>
    <row r="618" spans="1:4" x14ac:dyDescent="0.3">
      <c r="A618" s="42">
        <v>603</v>
      </c>
      <c r="B618" s="43">
        <f t="shared" si="16"/>
        <v>1603</v>
      </c>
      <c r="C618" s="10">
        <f t="shared" si="17"/>
        <v>608</v>
      </c>
      <c r="D618" s="45">
        <f t="shared" si="18"/>
        <v>185126</v>
      </c>
    </row>
    <row r="619" spans="1:4" x14ac:dyDescent="0.3">
      <c r="A619" s="42">
        <v>604</v>
      </c>
      <c r="B619" s="43">
        <f t="shared" si="16"/>
        <v>1604</v>
      </c>
      <c r="C619" s="10">
        <f t="shared" si="17"/>
        <v>609</v>
      </c>
      <c r="D619" s="45">
        <f t="shared" si="18"/>
        <v>185735</v>
      </c>
    </row>
    <row r="620" spans="1:4" x14ac:dyDescent="0.3">
      <c r="A620" s="42">
        <v>605</v>
      </c>
      <c r="B620" s="43">
        <f t="shared" si="16"/>
        <v>1605</v>
      </c>
      <c r="C620" s="10">
        <f t="shared" si="17"/>
        <v>610</v>
      </c>
      <c r="D620" s="45">
        <f t="shared" si="18"/>
        <v>186345</v>
      </c>
    </row>
    <row r="621" spans="1:4" x14ac:dyDescent="0.3">
      <c r="A621" s="42">
        <v>606</v>
      </c>
      <c r="B621" s="43">
        <f t="shared" si="16"/>
        <v>1606</v>
      </c>
      <c r="C621" s="10">
        <f t="shared" si="17"/>
        <v>611</v>
      </c>
      <c r="D621" s="45">
        <f t="shared" si="18"/>
        <v>186956</v>
      </c>
    </row>
    <row r="622" spans="1:4" x14ac:dyDescent="0.3">
      <c r="A622" s="42">
        <v>607</v>
      </c>
      <c r="B622" s="43">
        <f t="shared" si="16"/>
        <v>1607</v>
      </c>
      <c r="C622" s="10">
        <f t="shared" si="17"/>
        <v>612</v>
      </c>
      <c r="D622" s="45">
        <f t="shared" si="18"/>
        <v>187568</v>
      </c>
    </row>
    <row r="623" spans="1:4" x14ac:dyDescent="0.3">
      <c r="A623" s="42">
        <v>608</v>
      </c>
      <c r="B623" s="43">
        <f t="shared" si="16"/>
        <v>1608</v>
      </c>
      <c r="C623" s="10">
        <f t="shared" si="17"/>
        <v>613</v>
      </c>
      <c r="D623" s="45">
        <f t="shared" si="18"/>
        <v>188181</v>
      </c>
    </row>
    <row r="624" spans="1:4" x14ac:dyDescent="0.3">
      <c r="A624" s="42">
        <v>609</v>
      </c>
      <c r="B624" s="43">
        <f t="shared" si="16"/>
        <v>1609</v>
      </c>
      <c r="C624" s="10">
        <f t="shared" si="17"/>
        <v>614</v>
      </c>
      <c r="D624" s="45">
        <f t="shared" si="18"/>
        <v>188795</v>
      </c>
    </row>
    <row r="625" spans="1:4" x14ac:dyDescent="0.3">
      <c r="A625" s="42">
        <v>610</v>
      </c>
      <c r="B625" s="43">
        <f t="shared" si="16"/>
        <v>1610</v>
      </c>
      <c r="C625" s="10">
        <f t="shared" si="17"/>
        <v>615</v>
      </c>
      <c r="D625" s="45">
        <f t="shared" si="18"/>
        <v>189410</v>
      </c>
    </row>
    <row r="626" spans="1:4" x14ac:dyDescent="0.3">
      <c r="A626" s="42">
        <v>611</v>
      </c>
      <c r="B626" s="43">
        <f t="shared" si="16"/>
        <v>1611</v>
      </c>
      <c r="C626" s="10">
        <f t="shared" si="17"/>
        <v>616</v>
      </c>
      <c r="D626" s="45">
        <f t="shared" si="18"/>
        <v>190026</v>
      </c>
    </row>
    <row r="627" spans="1:4" x14ac:dyDescent="0.3">
      <c r="A627" s="42">
        <v>612</v>
      </c>
      <c r="B627" s="43">
        <f t="shared" si="16"/>
        <v>1612</v>
      </c>
      <c r="C627" s="10">
        <f t="shared" si="17"/>
        <v>617</v>
      </c>
      <c r="D627" s="45">
        <f t="shared" si="18"/>
        <v>190643</v>
      </c>
    </row>
    <row r="628" spans="1:4" x14ac:dyDescent="0.3">
      <c r="A628" s="42">
        <v>613</v>
      </c>
      <c r="B628" s="43">
        <f t="shared" si="16"/>
        <v>1613</v>
      </c>
      <c r="C628" s="10">
        <f t="shared" si="17"/>
        <v>618</v>
      </c>
      <c r="D628" s="45">
        <f t="shared" si="18"/>
        <v>191261</v>
      </c>
    </row>
    <row r="629" spans="1:4" x14ac:dyDescent="0.3">
      <c r="A629" s="42">
        <v>614</v>
      </c>
      <c r="B629" s="43">
        <f t="shared" si="16"/>
        <v>1614</v>
      </c>
      <c r="C629" s="10">
        <f t="shared" si="17"/>
        <v>619</v>
      </c>
      <c r="D629" s="45">
        <f t="shared" si="18"/>
        <v>191880</v>
      </c>
    </row>
    <row r="630" spans="1:4" x14ac:dyDescent="0.3">
      <c r="A630" s="42">
        <v>615</v>
      </c>
      <c r="B630" s="43">
        <f t="shared" si="16"/>
        <v>1615</v>
      </c>
      <c r="C630" s="10">
        <f t="shared" si="17"/>
        <v>620</v>
      </c>
      <c r="D630" s="45">
        <f t="shared" si="18"/>
        <v>192500</v>
      </c>
    </row>
    <row r="631" spans="1:4" x14ac:dyDescent="0.3">
      <c r="A631" s="42">
        <v>616</v>
      </c>
      <c r="B631" s="43">
        <f t="shared" si="16"/>
        <v>1616</v>
      </c>
      <c r="C631" s="10">
        <f t="shared" si="17"/>
        <v>621</v>
      </c>
      <c r="D631" s="45">
        <f t="shared" si="18"/>
        <v>193121</v>
      </c>
    </row>
    <row r="632" spans="1:4" x14ac:dyDescent="0.3">
      <c r="A632" s="42">
        <v>617</v>
      </c>
      <c r="B632" s="43">
        <f t="shared" si="16"/>
        <v>1617</v>
      </c>
      <c r="C632" s="10">
        <f t="shared" si="17"/>
        <v>622</v>
      </c>
      <c r="D632" s="45">
        <f t="shared" si="18"/>
        <v>193743</v>
      </c>
    </row>
    <row r="633" spans="1:4" x14ac:dyDescent="0.3">
      <c r="A633" s="42">
        <v>618</v>
      </c>
      <c r="B633" s="43">
        <f t="shared" si="16"/>
        <v>1618</v>
      </c>
      <c r="C633" s="10">
        <f t="shared" si="17"/>
        <v>623</v>
      </c>
      <c r="D633" s="45">
        <f t="shared" si="18"/>
        <v>194366</v>
      </c>
    </row>
    <row r="634" spans="1:4" x14ac:dyDescent="0.3">
      <c r="A634" s="42">
        <v>619</v>
      </c>
      <c r="B634" s="43">
        <f t="shared" si="16"/>
        <v>1619</v>
      </c>
      <c r="C634" s="10">
        <f t="shared" si="17"/>
        <v>624</v>
      </c>
      <c r="D634" s="45">
        <f t="shared" si="18"/>
        <v>194990</v>
      </c>
    </row>
    <row r="635" spans="1:4" x14ac:dyDescent="0.3">
      <c r="A635" s="42">
        <v>620</v>
      </c>
      <c r="B635" s="43">
        <f t="shared" si="16"/>
        <v>1620</v>
      </c>
      <c r="C635" s="10">
        <f t="shared" si="17"/>
        <v>625</v>
      </c>
      <c r="D635" s="45">
        <f t="shared" si="18"/>
        <v>195615</v>
      </c>
    </row>
    <row r="636" spans="1:4" x14ac:dyDescent="0.3">
      <c r="A636" s="42">
        <v>621</v>
      </c>
      <c r="B636" s="43">
        <f t="shared" si="16"/>
        <v>1621</v>
      </c>
      <c r="C636" s="10">
        <f t="shared" si="17"/>
        <v>626</v>
      </c>
      <c r="D636" s="45">
        <f t="shared" si="18"/>
        <v>196241</v>
      </c>
    </row>
    <row r="637" spans="1:4" x14ac:dyDescent="0.3">
      <c r="A637" s="42">
        <v>622</v>
      </c>
      <c r="B637" s="43">
        <f t="shared" si="16"/>
        <v>1622</v>
      </c>
      <c r="C637" s="10">
        <f t="shared" si="17"/>
        <v>627</v>
      </c>
      <c r="D637" s="45">
        <f t="shared" si="18"/>
        <v>196868</v>
      </c>
    </row>
    <row r="638" spans="1:4" x14ac:dyDescent="0.3">
      <c r="A638" s="42">
        <v>623</v>
      </c>
      <c r="B638" s="43">
        <f t="shared" si="16"/>
        <v>1623</v>
      </c>
      <c r="C638" s="10">
        <f t="shared" si="17"/>
        <v>628</v>
      </c>
      <c r="D638" s="45">
        <f t="shared" si="18"/>
        <v>197496</v>
      </c>
    </row>
    <row r="639" spans="1:4" x14ac:dyDescent="0.3">
      <c r="A639" s="42">
        <v>624</v>
      </c>
      <c r="B639" s="43">
        <f t="shared" si="16"/>
        <v>1624</v>
      </c>
      <c r="C639" s="10">
        <f t="shared" si="17"/>
        <v>629</v>
      </c>
      <c r="D639" s="45">
        <f t="shared" si="18"/>
        <v>198125</v>
      </c>
    </row>
    <row r="640" spans="1:4" x14ac:dyDescent="0.3">
      <c r="A640" s="42">
        <v>625</v>
      </c>
      <c r="B640" s="43">
        <f t="shared" si="16"/>
        <v>1625</v>
      </c>
      <c r="C640" s="10">
        <f t="shared" si="17"/>
        <v>630</v>
      </c>
      <c r="D640" s="45">
        <f t="shared" si="18"/>
        <v>198755</v>
      </c>
    </row>
    <row r="641" spans="1:4" x14ac:dyDescent="0.3">
      <c r="A641" s="42">
        <v>626</v>
      </c>
      <c r="B641" s="43">
        <f t="shared" si="16"/>
        <v>1626</v>
      </c>
      <c r="C641" s="10">
        <f t="shared" si="17"/>
        <v>631</v>
      </c>
      <c r="D641" s="45">
        <f t="shared" si="18"/>
        <v>199386</v>
      </c>
    </row>
    <row r="642" spans="1:4" x14ac:dyDescent="0.3">
      <c r="A642" s="42">
        <v>627</v>
      </c>
      <c r="B642" s="43">
        <f t="shared" si="16"/>
        <v>1627</v>
      </c>
      <c r="C642" s="10">
        <f t="shared" si="17"/>
        <v>632</v>
      </c>
      <c r="D642" s="45">
        <f t="shared" si="18"/>
        <v>200018</v>
      </c>
    </row>
    <row r="643" spans="1:4" x14ac:dyDescent="0.3">
      <c r="A643" s="42">
        <v>628</v>
      </c>
      <c r="B643" s="43">
        <f t="shared" si="16"/>
        <v>1628</v>
      </c>
      <c r="C643" s="10">
        <f t="shared" si="17"/>
        <v>633</v>
      </c>
      <c r="D643" s="45">
        <f t="shared" si="18"/>
        <v>200651</v>
      </c>
    </row>
    <row r="644" spans="1:4" x14ac:dyDescent="0.3">
      <c r="A644" s="42">
        <v>629</v>
      </c>
      <c r="B644" s="43">
        <f t="shared" si="16"/>
        <v>1629</v>
      </c>
      <c r="C644" s="10">
        <f t="shared" si="17"/>
        <v>634</v>
      </c>
      <c r="D644" s="45">
        <f t="shared" si="18"/>
        <v>201285</v>
      </c>
    </row>
    <row r="645" spans="1:4" x14ac:dyDescent="0.3">
      <c r="A645" s="42">
        <v>630</v>
      </c>
      <c r="B645" s="43">
        <f t="shared" si="16"/>
        <v>1630</v>
      </c>
      <c r="C645" s="10">
        <f t="shared" si="17"/>
        <v>635</v>
      </c>
      <c r="D645" s="45">
        <f t="shared" si="18"/>
        <v>201920</v>
      </c>
    </row>
    <row r="646" spans="1:4" x14ac:dyDescent="0.3">
      <c r="A646" s="42">
        <v>631</v>
      </c>
      <c r="B646" s="43">
        <f t="shared" si="16"/>
        <v>1631</v>
      </c>
      <c r="C646" s="10">
        <f t="shared" si="17"/>
        <v>636</v>
      </c>
      <c r="D646" s="45">
        <f t="shared" si="18"/>
        <v>202556</v>
      </c>
    </row>
    <row r="647" spans="1:4" x14ac:dyDescent="0.3">
      <c r="A647" s="42">
        <v>632</v>
      </c>
      <c r="B647" s="43">
        <f t="shared" si="16"/>
        <v>1632</v>
      </c>
      <c r="C647" s="10">
        <f t="shared" si="17"/>
        <v>637</v>
      </c>
      <c r="D647" s="45">
        <f t="shared" si="18"/>
        <v>203193</v>
      </c>
    </row>
    <row r="648" spans="1:4" x14ac:dyDescent="0.3">
      <c r="A648" s="42">
        <v>633</v>
      </c>
      <c r="B648" s="43">
        <f t="shared" si="16"/>
        <v>1633</v>
      </c>
      <c r="C648" s="10">
        <f t="shared" si="17"/>
        <v>638</v>
      </c>
      <c r="D648" s="45">
        <f t="shared" si="18"/>
        <v>203831</v>
      </c>
    </row>
    <row r="649" spans="1:4" x14ac:dyDescent="0.3">
      <c r="A649" s="42">
        <v>634</v>
      </c>
      <c r="B649" s="43">
        <f t="shared" si="16"/>
        <v>1634</v>
      </c>
      <c r="C649" s="10">
        <f t="shared" si="17"/>
        <v>639</v>
      </c>
      <c r="D649" s="45">
        <f t="shared" si="18"/>
        <v>204470</v>
      </c>
    </row>
    <row r="650" spans="1:4" x14ac:dyDescent="0.3">
      <c r="A650" s="42">
        <v>635</v>
      </c>
      <c r="B650" s="43">
        <f t="shared" si="16"/>
        <v>1635</v>
      </c>
      <c r="C650" s="10">
        <f t="shared" si="17"/>
        <v>640</v>
      </c>
      <c r="D650" s="45">
        <f t="shared" si="18"/>
        <v>205110</v>
      </c>
    </row>
    <row r="651" spans="1:4" x14ac:dyDescent="0.3">
      <c r="A651" s="42">
        <v>636</v>
      </c>
      <c r="B651" s="43">
        <f t="shared" si="16"/>
        <v>1636</v>
      </c>
      <c r="C651" s="10">
        <f t="shared" si="17"/>
        <v>641</v>
      </c>
      <c r="D651" s="45">
        <f t="shared" si="18"/>
        <v>205751</v>
      </c>
    </row>
    <row r="652" spans="1:4" x14ac:dyDescent="0.3">
      <c r="A652" s="42">
        <v>637</v>
      </c>
      <c r="B652" s="43">
        <f t="shared" si="16"/>
        <v>1637</v>
      </c>
      <c r="C652" s="10">
        <f t="shared" si="17"/>
        <v>642</v>
      </c>
      <c r="D652" s="45">
        <f t="shared" si="18"/>
        <v>206393</v>
      </c>
    </row>
    <row r="653" spans="1:4" x14ac:dyDescent="0.3">
      <c r="A653" s="42">
        <v>638</v>
      </c>
      <c r="B653" s="43">
        <f t="shared" si="16"/>
        <v>1638</v>
      </c>
      <c r="C653" s="10">
        <f t="shared" si="17"/>
        <v>643</v>
      </c>
      <c r="D653" s="45">
        <f t="shared" si="18"/>
        <v>207036</v>
      </c>
    </row>
    <row r="654" spans="1:4" x14ac:dyDescent="0.3">
      <c r="A654" s="42">
        <v>639</v>
      </c>
      <c r="B654" s="43">
        <f t="shared" si="16"/>
        <v>1639</v>
      </c>
      <c r="C654" s="10">
        <f t="shared" si="17"/>
        <v>644</v>
      </c>
      <c r="D654" s="45">
        <f t="shared" si="18"/>
        <v>207680</v>
      </c>
    </row>
    <row r="655" spans="1:4" x14ac:dyDescent="0.3">
      <c r="A655" s="42">
        <v>640</v>
      </c>
      <c r="B655" s="43">
        <f t="shared" si="16"/>
        <v>1640</v>
      </c>
      <c r="C655" s="10">
        <f t="shared" si="17"/>
        <v>645</v>
      </c>
      <c r="D655" s="45">
        <f t="shared" si="18"/>
        <v>208325</v>
      </c>
    </row>
    <row r="656" spans="1:4" x14ac:dyDescent="0.3">
      <c r="A656" s="42">
        <v>641</v>
      </c>
      <c r="B656" s="43">
        <f t="shared" si="16"/>
        <v>1641</v>
      </c>
      <c r="C656" s="10">
        <f t="shared" si="17"/>
        <v>646</v>
      </c>
      <c r="D656" s="45">
        <f t="shared" si="18"/>
        <v>208971</v>
      </c>
    </row>
    <row r="657" spans="1:4" x14ac:dyDescent="0.3">
      <c r="A657" s="42">
        <v>642</v>
      </c>
      <c r="B657" s="43">
        <f t="shared" si="16"/>
        <v>1642</v>
      </c>
      <c r="C657" s="10">
        <f t="shared" si="17"/>
        <v>647</v>
      </c>
      <c r="D657" s="45">
        <f t="shared" si="18"/>
        <v>209618</v>
      </c>
    </row>
    <row r="658" spans="1:4" x14ac:dyDescent="0.3">
      <c r="A658" s="42">
        <v>643</v>
      </c>
      <c r="B658" s="43">
        <f t="shared" si="16"/>
        <v>1643</v>
      </c>
      <c r="C658" s="10">
        <f t="shared" si="17"/>
        <v>648</v>
      </c>
      <c r="D658" s="45">
        <f t="shared" si="18"/>
        <v>210266</v>
      </c>
    </row>
    <row r="659" spans="1:4" x14ac:dyDescent="0.3">
      <c r="A659" s="42">
        <v>644</v>
      </c>
      <c r="B659" s="43">
        <f t="shared" si="16"/>
        <v>1644</v>
      </c>
      <c r="C659" s="10">
        <f t="shared" si="17"/>
        <v>649</v>
      </c>
      <c r="D659" s="45">
        <f t="shared" si="18"/>
        <v>210915</v>
      </c>
    </row>
    <row r="660" spans="1:4" x14ac:dyDescent="0.3">
      <c r="A660" s="42">
        <v>645</v>
      </c>
      <c r="B660" s="43">
        <f t="shared" si="16"/>
        <v>1645</v>
      </c>
      <c r="C660" s="10">
        <f t="shared" si="17"/>
        <v>650</v>
      </c>
      <c r="D660" s="45">
        <f t="shared" si="18"/>
        <v>211565</v>
      </c>
    </row>
    <row r="661" spans="1:4" x14ac:dyDescent="0.3">
      <c r="A661" s="42">
        <v>646</v>
      </c>
      <c r="B661" s="43">
        <f t="shared" si="16"/>
        <v>1646</v>
      </c>
      <c r="C661" s="10">
        <f t="shared" si="17"/>
        <v>651</v>
      </c>
      <c r="D661" s="45">
        <f t="shared" si="18"/>
        <v>212216</v>
      </c>
    </row>
    <row r="662" spans="1:4" x14ac:dyDescent="0.3">
      <c r="A662" s="42">
        <v>647</v>
      </c>
      <c r="B662" s="43">
        <f t="shared" si="16"/>
        <v>1647</v>
      </c>
      <c r="C662" s="10">
        <f t="shared" si="17"/>
        <v>652</v>
      </c>
      <c r="D662" s="45">
        <f t="shared" si="18"/>
        <v>212868</v>
      </c>
    </row>
    <row r="663" spans="1:4" x14ac:dyDescent="0.3">
      <c r="A663" s="42">
        <v>648</v>
      </c>
      <c r="B663" s="43">
        <f t="shared" si="16"/>
        <v>1648</v>
      </c>
      <c r="C663" s="10">
        <f t="shared" si="17"/>
        <v>653</v>
      </c>
      <c r="D663" s="45">
        <f t="shared" si="18"/>
        <v>213521</v>
      </c>
    </row>
    <row r="664" spans="1:4" x14ac:dyDescent="0.3">
      <c r="A664" s="42">
        <v>649</v>
      </c>
      <c r="B664" s="43">
        <f t="shared" si="16"/>
        <v>1649</v>
      </c>
      <c r="C664" s="10">
        <f t="shared" si="17"/>
        <v>654</v>
      </c>
      <c r="D664" s="45">
        <f t="shared" si="18"/>
        <v>214175</v>
      </c>
    </row>
    <row r="665" spans="1:4" x14ac:dyDescent="0.3">
      <c r="A665" s="42">
        <v>650</v>
      </c>
      <c r="B665" s="43">
        <f t="shared" si="16"/>
        <v>1650</v>
      </c>
      <c r="C665" s="10">
        <f t="shared" si="17"/>
        <v>655</v>
      </c>
      <c r="D665" s="45">
        <f t="shared" si="18"/>
        <v>214830</v>
      </c>
    </row>
    <row r="666" spans="1:4" x14ac:dyDescent="0.3">
      <c r="A666" s="42">
        <v>651</v>
      </c>
      <c r="B666" s="43">
        <f t="shared" si="16"/>
        <v>1651</v>
      </c>
      <c r="C666" s="10">
        <f t="shared" si="17"/>
        <v>656</v>
      </c>
      <c r="D666" s="45">
        <f t="shared" si="18"/>
        <v>215486</v>
      </c>
    </row>
    <row r="667" spans="1:4" x14ac:dyDescent="0.3">
      <c r="A667" s="42">
        <v>652</v>
      </c>
      <c r="B667" s="43">
        <f t="shared" si="16"/>
        <v>1652</v>
      </c>
      <c r="C667" s="10">
        <f t="shared" si="17"/>
        <v>657</v>
      </c>
      <c r="D667" s="45">
        <f t="shared" si="18"/>
        <v>216143</v>
      </c>
    </row>
    <row r="668" spans="1:4" x14ac:dyDescent="0.3">
      <c r="A668" s="42">
        <v>653</v>
      </c>
      <c r="B668" s="43">
        <f t="shared" si="16"/>
        <v>1653</v>
      </c>
      <c r="C668" s="10">
        <f t="shared" si="17"/>
        <v>658</v>
      </c>
      <c r="D668" s="45">
        <f t="shared" si="18"/>
        <v>216801</v>
      </c>
    </row>
    <row r="669" spans="1:4" x14ac:dyDescent="0.3">
      <c r="A669" s="42">
        <v>654</v>
      </c>
      <c r="B669" s="43">
        <f t="shared" si="16"/>
        <v>1654</v>
      </c>
      <c r="C669" s="10">
        <f t="shared" si="17"/>
        <v>659</v>
      </c>
      <c r="D669" s="45">
        <f t="shared" si="18"/>
        <v>217460</v>
      </c>
    </row>
    <row r="670" spans="1:4" x14ac:dyDescent="0.3">
      <c r="A670" s="42">
        <v>655</v>
      </c>
      <c r="B670" s="43">
        <f t="shared" si="16"/>
        <v>1655</v>
      </c>
      <c r="C670" s="10">
        <f t="shared" si="17"/>
        <v>660</v>
      </c>
      <c r="D670" s="45">
        <f t="shared" si="18"/>
        <v>218120</v>
      </c>
    </row>
    <row r="671" spans="1:4" x14ac:dyDescent="0.3">
      <c r="A671" s="42">
        <v>656</v>
      </c>
      <c r="B671" s="43">
        <f t="shared" si="16"/>
        <v>1656</v>
      </c>
      <c r="C671" s="10">
        <f t="shared" si="17"/>
        <v>661</v>
      </c>
      <c r="D671" s="45">
        <f t="shared" si="18"/>
        <v>218781</v>
      </c>
    </row>
    <row r="672" spans="1:4" x14ac:dyDescent="0.3">
      <c r="A672" s="42">
        <v>657</v>
      </c>
      <c r="B672" s="43">
        <f t="shared" si="16"/>
        <v>1657</v>
      </c>
      <c r="C672" s="10">
        <f t="shared" si="17"/>
        <v>662</v>
      </c>
      <c r="D672" s="45">
        <f t="shared" si="18"/>
        <v>219443</v>
      </c>
    </row>
    <row r="673" spans="1:4" x14ac:dyDescent="0.3">
      <c r="A673" s="42">
        <v>658</v>
      </c>
      <c r="B673" s="43">
        <f t="shared" si="16"/>
        <v>1658</v>
      </c>
      <c r="C673" s="10">
        <f t="shared" si="17"/>
        <v>663</v>
      </c>
      <c r="D673" s="45">
        <f t="shared" si="18"/>
        <v>220106</v>
      </c>
    </row>
    <row r="674" spans="1:4" x14ac:dyDescent="0.3">
      <c r="A674" s="42">
        <v>659</v>
      </c>
      <c r="B674" s="43">
        <f t="shared" si="16"/>
        <v>1659</v>
      </c>
      <c r="C674" s="10">
        <f t="shared" si="17"/>
        <v>664</v>
      </c>
      <c r="D674" s="45">
        <f t="shared" si="18"/>
        <v>220770</v>
      </c>
    </row>
    <row r="675" spans="1:4" x14ac:dyDescent="0.3">
      <c r="A675" s="42">
        <v>660</v>
      </c>
      <c r="B675" s="43">
        <f t="shared" si="16"/>
        <v>1660</v>
      </c>
      <c r="C675" s="10">
        <f t="shared" si="17"/>
        <v>665</v>
      </c>
      <c r="D675" s="45">
        <f t="shared" si="18"/>
        <v>221435</v>
      </c>
    </row>
    <row r="676" spans="1:4" x14ac:dyDescent="0.3">
      <c r="A676" s="42">
        <v>661</v>
      </c>
      <c r="B676" s="43">
        <f t="shared" si="16"/>
        <v>1661</v>
      </c>
      <c r="C676" s="10">
        <f t="shared" si="17"/>
        <v>666</v>
      </c>
      <c r="D676" s="45">
        <f t="shared" si="18"/>
        <v>222101</v>
      </c>
    </row>
    <row r="677" spans="1:4" x14ac:dyDescent="0.3">
      <c r="A677" s="42">
        <v>662</v>
      </c>
      <c r="B677" s="43">
        <f t="shared" si="16"/>
        <v>1662</v>
      </c>
      <c r="C677" s="10">
        <f t="shared" si="17"/>
        <v>667</v>
      </c>
      <c r="D677" s="45">
        <f t="shared" si="18"/>
        <v>222768</v>
      </c>
    </row>
    <row r="678" spans="1:4" x14ac:dyDescent="0.3">
      <c r="A678" s="42">
        <v>663</v>
      </c>
      <c r="B678" s="43">
        <f t="shared" ref="B678:B741" si="19">B677+R$8</f>
        <v>1663</v>
      </c>
      <c r="C678" s="10">
        <f t="shared" ref="C678:C741" si="20">C677+R$7</f>
        <v>668</v>
      </c>
      <c r="D678" s="45">
        <f t="shared" ref="D678:D741" si="21">D677+C678</f>
        <v>223436</v>
      </c>
    </row>
    <row r="679" spans="1:4" x14ac:dyDescent="0.3">
      <c r="A679" s="42">
        <v>664</v>
      </c>
      <c r="B679" s="43">
        <f t="shared" si="19"/>
        <v>1664</v>
      </c>
      <c r="C679" s="10">
        <f t="shared" si="20"/>
        <v>669</v>
      </c>
      <c r="D679" s="45">
        <f t="shared" si="21"/>
        <v>224105</v>
      </c>
    </row>
    <row r="680" spans="1:4" x14ac:dyDescent="0.3">
      <c r="A680" s="42">
        <v>665</v>
      </c>
      <c r="B680" s="43">
        <f t="shared" si="19"/>
        <v>1665</v>
      </c>
      <c r="C680" s="10">
        <f t="shared" si="20"/>
        <v>670</v>
      </c>
      <c r="D680" s="45">
        <f t="shared" si="21"/>
        <v>224775</v>
      </c>
    </row>
    <row r="681" spans="1:4" x14ac:dyDescent="0.3">
      <c r="A681" s="42">
        <v>666</v>
      </c>
      <c r="B681" s="43">
        <f t="shared" si="19"/>
        <v>1666</v>
      </c>
      <c r="C681" s="10">
        <f t="shared" si="20"/>
        <v>671</v>
      </c>
      <c r="D681" s="45">
        <f t="shared" si="21"/>
        <v>225446</v>
      </c>
    </row>
    <row r="682" spans="1:4" x14ac:dyDescent="0.3">
      <c r="A682" s="42">
        <v>667</v>
      </c>
      <c r="B682" s="43">
        <f t="shared" si="19"/>
        <v>1667</v>
      </c>
      <c r="C682" s="10">
        <f t="shared" si="20"/>
        <v>672</v>
      </c>
      <c r="D682" s="45">
        <f t="shared" si="21"/>
        <v>226118</v>
      </c>
    </row>
    <row r="683" spans="1:4" x14ac:dyDescent="0.3">
      <c r="A683" s="42">
        <v>668</v>
      </c>
      <c r="B683" s="43">
        <f t="shared" si="19"/>
        <v>1668</v>
      </c>
      <c r="C683" s="10">
        <f t="shared" si="20"/>
        <v>673</v>
      </c>
      <c r="D683" s="45">
        <f t="shared" si="21"/>
        <v>226791</v>
      </c>
    </row>
    <row r="684" spans="1:4" x14ac:dyDescent="0.3">
      <c r="A684" s="42">
        <v>669</v>
      </c>
      <c r="B684" s="43">
        <f t="shared" si="19"/>
        <v>1669</v>
      </c>
      <c r="C684" s="10">
        <f t="shared" si="20"/>
        <v>674</v>
      </c>
      <c r="D684" s="45">
        <f t="shared" si="21"/>
        <v>227465</v>
      </c>
    </row>
    <row r="685" spans="1:4" x14ac:dyDescent="0.3">
      <c r="A685" s="42">
        <v>670</v>
      </c>
      <c r="B685" s="43">
        <f t="shared" si="19"/>
        <v>1670</v>
      </c>
      <c r="C685" s="10">
        <f t="shared" si="20"/>
        <v>675</v>
      </c>
      <c r="D685" s="45">
        <f t="shared" si="21"/>
        <v>228140</v>
      </c>
    </row>
    <row r="686" spans="1:4" x14ac:dyDescent="0.3">
      <c r="A686" s="42">
        <v>671</v>
      </c>
      <c r="B686" s="43">
        <f t="shared" si="19"/>
        <v>1671</v>
      </c>
      <c r="C686" s="10">
        <f t="shared" si="20"/>
        <v>676</v>
      </c>
      <c r="D686" s="45">
        <f t="shared" si="21"/>
        <v>228816</v>
      </c>
    </row>
    <row r="687" spans="1:4" x14ac:dyDescent="0.3">
      <c r="A687" s="42">
        <v>672</v>
      </c>
      <c r="B687" s="43">
        <f t="shared" si="19"/>
        <v>1672</v>
      </c>
      <c r="C687" s="10">
        <f t="shared" si="20"/>
        <v>677</v>
      </c>
      <c r="D687" s="45">
        <f t="shared" si="21"/>
        <v>229493</v>
      </c>
    </row>
    <row r="688" spans="1:4" x14ac:dyDescent="0.3">
      <c r="A688" s="42">
        <v>673</v>
      </c>
      <c r="B688" s="43">
        <f t="shared" si="19"/>
        <v>1673</v>
      </c>
      <c r="C688" s="10">
        <f t="shared" si="20"/>
        <v>678</v>
      </c>
      <c r="D688" s="45">
        <f t="shared" si="21"/>
        <v>230171</v>
      </c>
    </row>
    <row r="689" spans="1:4" x14ac:dyDescent="0.3">
      <c r="A689" s="42">
        <v>674</v>
      </c>
      <c r="B689" s="43">
        <f t="shared" si="19"/>
        <v>1674</v>
      </c>
      <c r="C689" s="10">
        <f t="shared" si="20"/>
        <v>679</v>
      </c>
      <c r="D689" s="45">
        <f t="shared" si="21"/>
        <v>230850</v>
      </c>
    </row>
    <row r="690" spans="1:4" x14ac:dyDescent="0.3">
      <c r="A690" s="42">
        <v>675</v>
      </c>
      <c r="B690" s="43">
        <f t="shared" si="19"/>
        <v>1675</v>
      </c>
      <c r="C690" s="10">
        <f t="shared" si="20"/>
        <v>680</v>
      </c>
      <c r="D690" s="45">
        <f t="shared" si="21"/>
        <v>231530</v>
      </c>
    </row>
    <row r="691" spans="1:4" x14ac:dyDescent="0.3">
      <c r="A691" s="42">
        <v>676</v>
      </c>
      <c r="B691" s="43">
        <f t="shared" si="19"/>
        <v>1676</v>
      </c>
      <c r="C691" s="10">
        <f t="shared" si="20"/>
        <v>681</v>
      </c>
      <c r="D691" s="45">
        <f t="shared" si="21"/>
        <v>232211</v>
      </c>
    </row>
    <row r="692" spans="1:4" x14ac:dyDescent="0.3">
      <c r="A692" s="42">
        <v>677</v>
      </c>
      <c r="B692" s="43">
        <f t="shared" si="19"/>
        <v>1677</v>
      </c>
      <c r="C692" s="10">
        <f t="shared" si="20"/>
        <v>682</v>
      </c>
      <c r="D692" s="45">
        <f t="shared" si="21"/>
        <v>232893</v>
      </c>
    </row>
    <row r="693" spans="1:4" x14ac:dyDescent="0.3">
      <c r="A693" s="42">
        <v>678</v>
      </c>
      <c r="B693" s="43">
        <f t="shared" si="19"/>
        <v>1678</v>
      </c>
      <c r="C693" s="10">
        <f t="shared" si="20"/>
        <v>683</v>
      </c>
      <c r="D693" s="45">
        <f t="shared" si="21"/>
        <v>233576</v>
      </c>
    </row>
    <row r="694" spans="1:4" x14ac:dyDescent="0.3">
      <c r="A694" s="42">
        <v>679</v>
      </c>
      <c r="B694" s="43">
        <f t="shared" si="19"/>
        <v>1679</v>
      </c>
      <c r="C694" s="10">
        <f t="shared" si="20"/>
        <v>684</v>
      </c>
      <c r="D694" s="45">
        <f t="shared" si="21"/>
        <v>234260</v>
      </c>
    </row>
    <row r="695" spans="1:4" x14ac:dyDescent="0.3">
      <c r="A695" s="42">
        <v>680</v>
      </c>
      <c r="B695" s="43">
        <f t="shared" si="19"/>
        <v>1680</v>
      </c>
      <c r="C695" s="10">
        <f t="shared" si="20"/>
        <v>685</v>
      </c>
      <c r="D695" s="45">
        <f t="shared" si="21"/>
        <v>234945</v>
      </c>
    </row>
    <row r="696" spans="1:4" x14ac:dyDescent="0.3">
      <c r="A696" s="42">
        <v>681</v>
      </c>
      <c r="B696" s="43">
        <f t="shared" si="19"/>
        <v>1681</v>
      </c>
      <c r="C696" s="10">
        <f t="shared" si="20"/>
        <v>686</v>
      </c>
      <c r="D696" s="45">
        <f t="shared" si="21"/>
        <v>235631</v>
      </c>
    </row>
    <row r="697" spans="1:4" x14ac:dyDescent="0.3">
      <c r="A697" s="42">
        <v>682</v>
      </c>
      <c r="B697" s="43">
        <f t="shared" si="19"/>
        <v>1682</v>
      </c>
      <c r="C697" s="10">
        <f t="shared" si="20"/>
        <v>687</v>
      </c>
      <c r="D697" s="45">
        <f t="shared" si="21"/>
        <v>236318</v>
      </c>
    </row>
    <row r="698" spans="1:4" x14ac:dyDescent="0.3">
      <c r="A698" s="42">
        <v>683</v>
      </c>
      <c r="B698" s="43">
        <f t="shared" si="19"/>
        <v>1683</v>
      </c>
      <c r="C698" s="10">
        <f t="shared" si="20"/>
        <v>688</v>
      </c>
      <c r="D698" s="45">
        <f t="shared" si="21"/>
        <v>237006</v>
      </c>
    </row>
    <row r="699" spans="1:4" x14ac:dyDescent="0.3">
      <c r="A699" s="42">
        <v>684</v>
      </c>
      <c r="B699" s="43">
        <f t="shared" si="19"/>
        <v>1684</v>
      </c>
      <c r="C699" s="10">
        <f t="shared" si="20"/>
        <v>689</v>
      </c>
      <c r="D699" s="45">
        <f t="shared" si="21"/>
        <v>237695</v>
      </c>
    </row>
    <row r="700" spans="1:4" x14ac:dyDescent="0.3">
      <c r="A700" s="42">
        <v>685</v>
      </c>
      <c r="B700" s="43">
        <f t="shared" si="19"/>
        <v>1685</v>
      </c>
      <c r="C700" s="10">
        <f t="shared" si="20"/>
        <v>690</v>
      </c>
      <c r="D700" s="45">
        <f t="shared" si="21"/>
        <v>238385</v>
      </c>
    </row>
    <row r="701" spans="1:4" x14ac:dyDescent="0.3">
      <c r="A701" s="42">
        <v>686</v>
      </c>
      <c r="B701" s="43">
        <f t="shared" si="19"/>
        <v>1686</v>
      </c>
      <c r="C701" s="10">
        <f t="shared" si="20"/>
        <v>691</v>
      </c>
      <c r="D701" s="45">
        <f t="shared" si="21"/>
        <v>239076</v>
      </c>
    </row>
    <row r="702" spans="1:4" x14ac:dyDescent="0.3">
      <c r="A702" s="42">
        <v>687</v>
      </c>
      <c r="B702" s="43">
        <f t="shared" si="19"/>
        <v>1687</v>
      </c>
      <c r="C702" s="10">
        <f t="shared" si="20"/>
        <v>692</v>
      </c>
      <c r="D702" s="45">
        <f t="shared" si="21"/>
        <v>239768</v>
      </c>
    </row>
    <row r="703" spans="1:4" x14ac:dyDescent="0.3">
      <c r="A703" s="42">
        <v>688</v>
      </c>
      <c r="B703" s="43">
        <f t="shared" si="19"/>
        <v>1688</v>
      </c>
      <c r="C703" s="10">
        <f t="shared" si="20"/>
        <v>693</v>
      </c>
      <c r="D703" s="45">
        <f t="shared" si="21"/>
        <v>240461</v>
      </c>
    </row>
    <row r="704" spans="1:4" x14ac:dyDescent="0.3">
      <c r="A704" s="42">
        <v>689</v>
      </c>
      <c r="B704" s="43">
        <f t="shared" si="19"/>
        <v>1689</v>
      </c>
      <c r="C704" s="10">
        <f t="shared" si="20"/>
        <v>694</v>
      </c>
      <c r="D704" s="45">
        <f t="shared" si="21"/>
        <v>241155</v>
      </c>
    </row>
    <row r="705" spans="1:4" x14ac:dyDescent="0.3">
      <c r="A705" s="42">
        <v>690</v>
      </c>
      <c r="B705" s="43">
        <f t="shared" si="19"/>
        <v>1690</v>
      </c>
      <c r="C705" s="10">
        <f t="shared" si="20"/>
        <v>695</v>
      </c>
      <c r="D705" s="45">
        <f t="shared" si="21"/>
        <v>241850</v>
      </c>
    </row>
    <row r="706" spans="1:4" x14ac:dyDescent="0.3">
      <c r="A706" s="42">
        <v>691</v>
      </c>
      <c r="B706" s="43">
        <f t="shared" si="19"/>
        <v>1691</v>
      </c>
      <c r="C706" s="10">
        <f t="shared" si="20"/>
        <v>696</v>
      </c>
      <c r="D706" s="45">
        <f t="shared" si="21"/>
        <v>242546</v>
      </c>
    </row>
    <row r="707" spans="1:4" x14ac:dyDescent="0.3">
      <c r="A707" s="42">
        <v>692</v>
      </c>
      <c r="B707" s="43">
        <f t="shared" si="19"/>
        <v>1692</v>
      </c>
      <c r="C707" s="10">
        <f t="shared" si="20"/>
        <v>697</v>
      </c>
      <c r="D707" s="45">
        <f t="shared" si="21"/>
        <v>243243</v>
      </c>
    </row>
    <row r="708" spans="1:4" x14ac:dyDescent="0.3">
      <c r="A708" s="42">
        <v>693</v>
      </c>
      <c r="B708" s="43">
        <f t="shared" si="19"/>
        <v>1693</v>
      </c>
      <c r="C708" s="10">
        <f t="shared" si="20"/>
        <v>698</v>
      </c>
      <c r="D708" s="45">
        <f t="shared" si="21"/>
        <v>243941</v>
      </c>
    </row>
    <row r="709" spans="1:4" x14ac:dyDescent="0.3">
      <c r="A709" s="42">
        <v>694</v>
      </c>
      <c r="B709" s="43">
        <f t="shared" si="19"/>
        <v>1694</v>
      </c>
      <c r="C709" s="10">
        <f t="shared" si="20"/>
        <v>699</v>
      </c>
      <c r="D709" s="45">
        <f t="shared" si="21"/>
        <v>244640</v>
      </c>
    </row>
    <row r="710" spans="1:4" x14ac:dyDescent="0.3">
      <c r="A710" s="42">
        <v>695</v>
      </c>
      <c r="B710" s="43">
        <f t="shared" si="19"/>
        <v>1695</v>
      </c>
      <c r="C710" s="10">
        <f t="shared" si="20"/>
        <v>700</v>
      </c>
      <c r="D710" s="45">
        <f t="shared" si="21"/>
        <v>245340</v>
      </c>
    </row>
    <row r="711" spans="1:4" x14ac:dyDescent="0.3">
      <c r="A711" s="42">
        <v>696</v>
      </c>
      <c r="B711" s="43">
        <f t="shared" si="19"/>
        <v>1696</v>
      </c>
      <c r="C711" s="10">
        <f t="shared" si="20"/>
        <v>701</v>
      </c>
      <c r="D711" s="45">
        <f t="shared" si="21"/>
        <v>246041</v>
      </c>
    </row>
    <row r="712" spans="1:4" x14ac:dyDescent="0.3">
      <c r="A712" s="42">
        <v>697</v>
      </c>
      <c r="B712" s="43">
        <f t="shared" si="19"/>
        <v>1697</v>
      </c>
      <c r="C712" s="10">
        <f t="shared" si="20"/>
        <v>702</v>
      </c>
      <c r="D712" s="45">
        <f t="shared" si="21"/>
        <v>246743</v>
      </c>
    </row>
    <row r="713" spans="1:4" x14ac:dyDescent="0.3">
      <c r="A713" s="42">
        <v>698</v>
      </c>
      <c r="B713" s="43">
        <f t="shared" si="19"/>
        <v>1698</v>
      </c>
      <c r="C713" s="10">
        <f t="shared" si="20"/>
        <v>703</v>
      </c>
      <c r="D713" s="45">
        <f t="shared" si="21"/>
        <v>247446</v>
      </c>
    </row>
    <row r="714" spans="1:4" x14ac:dyDescent="0.3">
      <c r="A714" s="42">
        <v>699</v>
      </c>
      <c r="B714" s="43">
        <f t="shared" si="19"/>
        <v>1699</v>
      </c>
      <c r="C714" s="10">
        <f t="shared" si="20"/>
        <v>704</v>
      </c>
      <c r="D714" s="45">
        <f t="shared" si="21"/>
        <v>248150</v>
      </c>
    </row>
    <row r="715" spans="1:4" x14ac:dyDescent="0.3">
      <c r="A715" s="42">
        <v>700</v>
      </c>
      <c r="B715" s="43">
        <f t="shared" si="19"/>
        <v>1700</v>
      </c>
      <c r="C715" s="10">
        <f t="shared" si="20"/>
        <v>705</v>
      </c>
      <c r="D715" s="45">
        <f t="shared" si="21"/>
        <v>248855</v>
      </c>
    </row>
    <row r="716" spans="1:4" x14ac:dyDescent="0.3">
      <c r="A716" s="42">
        <v>701</v>
      </c>
      <c r="B716" s="43">
        <f t="shared" si="19"/>
        <v>1701</v>
      </c>
      <c r="C716" s="10">
        <f t="shared" si="20"/>
        <v>706</v>
      </c>
      <c r="D716" s="45">
        <f t="shared" si="21"/>
        <v>249561</v>
      </c>
    </row>
    <row r="717" spans="1:4" x14ac:dyDescent="0.3">
      <c r="A717" s="42">
        <v>702</v>
      </c>
      <c r="B717" s="43">
        <f t="shared" si="19"/>
        <v>1702</v>
      </c>
      <c r="C717" s="10">
        <f t="shared" si="20"/>
        <v>707</v>
      </c>
      <c r="D717" s="45">
        <f t="shared" si="21"/>
        <v>250268</v>
      </c>
    </row>
    <row r="718" spans="1:4" x14ac:dyDescent="0.3">
      <c r="A718" s="42">
        <v>703</v>
      </c>
      <c r="B718" s="43">
        <f t="shared" si="19"/>
        <v>1703</v>
      </c>
      <c r="C718" s="10">
        <f t="shared" si="20"/>
        <v>708</v>
      </c>
      <c r="D718" s="45">
        <f t="shared" si="21"/>
        <v>250976</v>
      </c>
    </row>
    <row r="719" spans="1:4" x14ac:dyDescent="0.3">
      <c r="A719" s="42">
        <v>704</v>
      </c>
      <c r="B719" s="43">
        <f t="shared" si="19"/>
        <v>1704</v>
      </c>
      <c r="C719" s="10">
        <f t="shared" si="20"/>
        <v>709</v>
      </c>
      <c r="D719" s="45">
        <f t="shared" si="21"/>
        <v>251685</v>
      </c>
    </row>
    <row r="720" spans="1:4" x14ac:dyDescent="0.3">
      <c r="A720" s="42">
        <v>705</v>
      </c>
      <c r="B720" s="43">
        <f t="shared" si="19"/>
        <v>1705</v>
      </c>
      <c r="C720" s="10">
        <f t="shared" si="20"/>
        <v>710</v>
      </c>
      <c r="D720" s="45">
        <f t="shared" si="21"/>
        <v>252395</v>
      </c>
    </row>
    <row r="721" spans="1:4" x14ac:dyDescent="0.3">
      <c r="A721" s="42">
        <v>706</v>
      </c>
      <c r="B721" s="43">
        <f t="shared" si="19"/>
        <v>1706</v>
      </c>
      <c r="C721" s="10">
        <f t="shared" si="20"/>
        <v>711</v>
      </c>
      <c r="D721" s="45">
        <f t="shared" si="21"/>
        <v>253106</v>
      </c>
    </row>
    <row r="722" spans="1:4" x14ac:dyDescent="0.3">
      <c r="A722" s="42">
        <v>707</v>
      </c>
      <c r="B722" s="43">
        <f t="shared" si="19"/>
        <v>1707</v>
      </c>
      <c r="C722" s="10">
        <f t="shared" si="20"/>
        <v>712</v>
      </c>
      <c r="D722" s="45">
        <f t="shared" si="21"/>
        <v>253818</v>
      </c>
    </row>
    <row r="723" spans="1:4" x14ac:dyDescent="0.3">
      <c r="A723" s="42">
        <v>708</v>
      </c>
      <c r="B723" s="43">
        <f t="shared" si="19"/>
        <v>1708</v>
      </c>
      <c r="C723" s="10">
        <f t="shared" si="20"/>
        <v>713</v>
      </c>
      <c r="D723" s="45">
        <f t="shared" si="21"/>
        <v>254531</v>
      </c>
    </row>
    <row r="724" spans="1:4" x14ac:dyDescent="0.3">
      <c r="A724" s="42">
        <v>709</v>
      </c>
      <c r="B724" s="43">
        <f t="shared" si="19"/>
        <v>1709</v>
      </c>
      <c r="C724" s="10">
        <f t="shared" si="20"/>
        <v>714</v>
      </c>
      <c r="D724" s="45">
        <f t="shared" si="21"/>
        <v>255245</v>
      </c>
    </row>
    <row r="725" spans="1:4" x14ac:dyDescent="0.3">
      <c r="A725" s="42">
        <v>710</v>
      </c>
      <c r="B725" s="43">
        <f t="shared" si="19"/>
        <v>1710</v>
      </c>
      <c r="C725" s="10">
        <f t="shared" si="20"/>
        <v>715</v>
      </c>
      <c r="D725" s="45">
        <f t="shared" si="21"/>
        <v>255960</v>
      </c>
    </row>
    <row r="726" spans="1:4" x14ac:dyDescent="0.3">
      <c r="A726" s="42">
        <v>711</v>
      </c>
      <c r="B726" s="43">
        <f t="shared" si="19"/>
        <v>1711</v>
      </c>
      <c r="C726" s="10">
        <f t="shared" si="20"/>
        <v>716</v>
      </c>
      <c r="D726" s="45">
        <f t="shared" si="21"/>
        <v>256676</v>
      </c>
    </row>
    <row r="727" spans="1:4" x14ac:dyDescent="0.3">
      <c r="A727" s="42">
        <v>712</v>
      </c>
      <c r="B727" s="43">
        <f t="shared" si="19"/>
        <v>1712</v>
      </c>
      <c r="C727" s="10">
        <f t="shared" si="20"/>
        <v>717</v>
      </c>
      <c r="D727" s="45">
        <f t="shared" si="21"/>
        <v>257393</v>
      </c>
    </row>
    <row r="728" spans="1:4" x14ac:dyDescent="0.3">
      <c r="A728" s="42">
        <v>713</v>
      </c>
      <c r="B728" s="43">
        <f t="shared" si="19"/>
        <v>1713</v>
      </c>
      <c r="C728" s="10">
        <f t="shared" si="20"/>
        <v>718</v>
      </c>
      <c r="D728" s="45">
        <f t="shared" si="21"/>
        <v>258111</v>
      </c>
    </row>
    <row r="729" spans="1:4" x14ac:dyDescent="0.3">
      <c r="A729" s="42">
        <v>714</v>
      </c>
      <c r="B729" s="43">
        <f t="shared" si="19"/>
        <v>1714</v>
      </c>
      <c r="C729" s="10">
        <f t="shared" si="20"/>
        <v>719</v>
      </c>
      <c r="D729" s="45">
        <f t="shared" si="21"/>
        <v>258830</v>
      </c>
    </row>
    <row r="730" spans="1:4" x14ac:dyDescent="0.3">
      <c r="A730" s="42">
        <v>715</v>
      </c>
      <c r="B730" s="43">
        <f t="shared" si="19"/>
        <v>1715</v>
      </c>
      <c r="C730" s="10">
        <f t="shared" si="20"/>
        <v>720</v>
      </c>
      <c r="D730" s="45">
        <f t="shared" si="21"/>
        <v>259550</v>
      </c>
    </row>
    <row r="731" spans="1:4" x14ac:dyDescent="0.3">
      <c r="A731" s="42">
        <v>716</v>
      </c>
      <c r="B731" s="43">
        <f t="shared" si="19"/>
        <v>1716</v>
      </c>
      <c r="C731" s="10">
        <f t="shared" si="20"/>
        <v>721</v>
      </c>
      <c r="D731" s="45">
        <f t="shared" si="21"/>
        <v>260271</v>
      </c>
    </row>
    <row r="732" spans="1:4" x14ac:dyDescent="0.3">
      <c r="A732" s="42">
        <v>717</v>
      </c>
      <c r="B732" s="43">
        <f t="shared" si="19"/>
        <v>1717</v>
      </c>
      <c r="C732" s="10">
        <f t="shared" si="20"/>
        <v>722</v>
      </c>
      <c r="D732" s="45">
        <f t="shared" si="21"/>
        <v>260993</v>
      </c>
    </row>
    <row r="733" spans="1:4" x14ac:dyDescent="0.3">
      <c r="A733" s="42">
        <v>718</v>
      </c>
      <c r="B733" s="43">
        <f t="shared" si="19"/>
        <v>1718</v>
      </c>
      <c r="C733" s="10">
        <f t="shared" si="20"/>
        <v>723</v>
      </c>
      <c r="D733" s="45">
        <f t="shared" si="21"/>
        <v>261716</v>
      </c>
    </row>
    <row r="734" spans="1:4" x14ac:dyDescent="0.3">
      <c r="A734" s="42">
        <v>719</v>
      </c>
      <c r="B734" s="43">
        <f t="shared" si="19"/>
        <v>1719</v>
      </c>
      <c r="C734" s="10">
        <f t="shared" si="20"/>
        <v>724</v>
      </c>
      <c r="D734" s="45">
        <f t="shared" si="21"/>
        <v>262440</v>
      </c>
    </row>
    <row r="735" spans="1:4" x14ac:dyDescent="0.3">
      <c r="A735" s="42">
        <v>720</v>
      </c>
      <c r="B735" s="43">
        <f t="shared" si="19"/>
        <v>1720</v>
      </c>
      <c r="C735" s="10">
        <f t="shared" si="20"/>
        <v>725</v>
      </c>
      <c r="D735" s="45">
        <f t="shared" si="21"/>
        <v>263165</v>
      </c>
    </row>
    <row r="736" spans="1:4" x14ac:dyDescent="0.3">
      <c r="A736" s="42">
        <v>721</v>
      </c>
      <c r="B736" s="43">
        <f t="shared" si="19"/>
        <v>1721</v>
      </c>
      <c r="C736" s="10">
        <f t="shared" si="20"/>
        <v>726</v>
      </c>
      <c r="D736" s="45">
        <f t="shared" si="21"/>
        <v>263891</v>
      </c>
    </row>
    <row r="737" spans="1:4" x14ac:dyDescent="0.3">
      <c r="A737" s="42">
        <v>722</v>
      </c>
      <c r="B737" s="43">
        <f t="shared" si="19"/>
        <v>1722</v>
      </c>
      <c r="C737" s="10">
        <f t="shared" si="20"/>
        <v>727</v>
      </c>
      <c r="D737" s="45">
        <f t="shared" si="21"/>
        <v>264618</v>
      </c>
    </row>
    <row r="738" spans="1:4" x14ac:dyDescent="0.3">
      <c r="A738" s="42">
        <v>723</v>
      </c>
      <c r="B738" s="43">
        <f t="shared" si="19"/>
        <v>1723</v>
      </c>
      <c r="C738" s="10">
        <f t="shared" si="20"/>
        <v>728</v>
      </c>
      <c r="D738" s="45">
        <f t="shared" si="21"/>
        <v>265346</v>
      </c>
    </row>
    <row r="739" spans="1:4" x14ac:dyDescent="0.3">
      <c r="A739" s="42">
        <v>724</v>
      </c>
      <c r="B739" s="43">
        <f t="shared" si="19"/>
        <v>1724</v>
      </c>
      <c r="C739" s="10">
        <f t="shared" si="20"/>
        <v>729</v>
      </c>
      <c r="D739" s="45">
        <f t="shared" si="21"/>
        <v>266075</v>
      </c>
    </row>
    <row r="740" spans="1:4" x14ac:dyDescent="0.3">
      <c r="A740" s="42">
        <v>725</v>
      </c>
      <c r="B740" s="43">
        <f t="shared" si="19"/>
        <v>1725</v>
      </c>
      <c r="C740" s="10">
        <f t="shared" si="20"/>
        <v>730</v>
      </c>
      <c r="D740" s="45">
        <f t="shared" si="21"/>
        <v>266805</v>
      </c>
    </row>
    <row r="741" spans="1:4" x14ac:dyDescent="0.3">
      <c r="A741" s="42">
        <v>726</v>
      </c>
      <c r="B741" s="43">
        <f t="shared" si="19"/>
        <v>1726</v>
      </c>
      <c r="C741" s="10">
        <f t="shared" si="20"/>
        <v>731</v>
      </c>
      <c r="D741" s="45">
        <f t="shared" si="21"/>
        <v>267536</v>
      </c>
    </row>
    <row r="742" spans="1:4" x14ac:dyDescent="0.3">
      <c r="A742" s="42">
        <v>727</v>
      </c>
      <c r="B742" s="43">
        <f t="shared" ref="B742:B805" si="22">B741+R$8</f>
        <v>1727</v>
      </c>
      <c r="C742" s="10">
        <f t="shared" ref="C742:C805" si="23">C741+R$7</f>
        <v>732</v>
      </c>
      <c r="D742" s="45">
        <f t="shared" ref="D742:D805" si="24">D741+C742</f>
        <v>268268</v>
      </c>
    </row>
    <row r="743" spans="1:4" x14ac:dyDescent="0.3">
      <c r="A743" s="42">
        <v>728</v>
      </c>
      <c r="B743" s="43">
        <f t="shared" si="22"/>
        <v>1728</v>
      </c>
      <c r="C743" s="10">
        <f t="shared" si="23"/>
        <v>733</v>
      </c>
      <c r="D743" s="45">
        <f t="shared" si="24"/>
        <v>269001</v>
      </c>
    </row>
    <row r="744" spans="1:4" x14ac:dyDescent="0.3">
      <c r="A744" s="42">
        <v>729</v>
      </c>
      <c r="B744" s="43">
        <f t="shared" si="22"/>
        <v>1729</v>
      </c>
      <c r="C744" s="10">
        <f t="shared" si="23"/>
        <v>734</v>
      </c>
      <c r="D744" s="45">
        <f t="shared" si="24"/>
        <v>269735</v>
      </c>
    </row>
    <row r="745" spans="1:4" x14ac:dyDescent="0.3">
      <c r="A745" s="42">
        <v>730</v>
      </c>
      <c r="B745" s="43">
        <f t="shared" si="22"/>
        <v>1730</v>
      </c>
      <c r="C745" s="10">
        <f t="shared" si="23"/>
        <v>735</v>
      </c>
      <c r="D745" s="45">
        <f t="shared" si="24"/>
        <v>270470</v>
      </c>
    </row>
    <row r="746" spans="1:4" x14ac:dyDescent="0.3">
      <c r="A746" s="42">
        <v>731</v>
      </c>
      <c r="B746" s="43">
        <f t="shared" si="22"/>
        <v>1731</v>
      </c>
      <c r="C746" s="10">
        <f t="shared" si="23"/>
        <v>736</v>
      </c>
      <c r="D746" s="45">
        <f t="shared" si="24"/>
        <v>271206</v>
      </c>
    </row>
    <row r="747" spans="1:4" x14ac:dyDescent="0.3">
      <c r="A747" s="42">
        <v>732</v>
      </c>
      <c r="B747" s="43">
        <f t="shared" si="22"/>
        <v>1732</v>
      </c>
      <c r="C747" s="10">
        <f t="shared" si="23"/>
        <v>737</v>
      </c>
      <c r="D747" s="45">
        <f t="shared" si="24"/>
        <v>271943</v>
      </c>
    </row>
    <row r="748" spans="1:4" x14ac:dyDescent="0.3">
      <c r="A748" s="42">
        <v>733</v>
      </c>
      <c r="B748" s="43">
        <f t="shared" si="22"/>
        <v>1733</v>
      </c>
      <c r="C748" s="10">
        <f t="shared" si="23"/>
        <v>738</v>
      </c>
      <c r="D748" s="45">
        <f t="shared" si="24"/>
        <v>272681</v>
      </c>
    </row>
    <row r="749" spans="1:4" x14ac:dyDescent="0.3">
      <c r="A749" s="42">
        <v>734</v>
      </c>
      <c r="B749" s="43">
        <f t="shared" si="22"/>
        <v>1734</v>
      </c>
      <c r="C749" s="10">
        <f t="shared" si="23"/>
        <v>739</v>
      </c>
      <c r="D749" s="45">
        <f t="shared" si="24"/>
        <v>273420</v>
      </c>
    </row>
    <row r="750" spans="1:4" x14ac:dyDescent="0.3">
      <c r="A750" s="42">
        <v>735</v>
      </c>
      <c r="B750" s="43">
        <f t="shared" si="22"/>
        <v>1735</v>
      </c>
      <c r="C750" s="10">
        <f t="shared" si="23"/>
        <v>740</v>
      </c>
      <c r="D750" s="45">
        <f t="shared" si="24"/>
        <v>274160</v>
      </c>
    </row>
    <row r="751" spans="1:4" x14ac:dyDescent="0.3">
      <c r="A751" s="42">
        <v>736</v>
      </c>
      <c r="B751" s="43">
        <f t="shared" si="22"/>
        <v>1736</v>
      </c>
      <c r="C751" s="10">
        <f t="shared" si="23"/>
        <v>741</v>
      </c>
      <c r="D751" s="45">
        <f t="shared" si="24"/>
        <v>274901</v>
      </c>
    </row>
    <row r="752" spans="1:4" x14ac:dyDescent="0.3">
      <c r="A752" s="42">
        <v>737</v>
      </c>
      <c r="B752" s="43">
        <f t="shared" si="22"/>
        <v>1737</v>
      </c>
      <c r="C752" s="10">
        <f t="shared" si="23"/>
        <v>742</v>
      </c>
      <c r="D752" s="45">
        <f t="shared" si="24"/>
        <v>275643</v>
      </c>
    </row>
    <row r="753" spans="1:4" x14ac:dyDescent="0.3">
      <c r="A753" s="42">
        <v>738</v>
      </c>
      <c r="B753" s="43">
        <f t="shared" si="22"/>
        <v>1738</v>
      </c>
      <c r="C753" s="10">
        <f t="shared" si="23"/>
        <v>743</v>
      </c>
      <c r="D753" s="45">
        <f t="shared" si="24"/>
        <v>276386</v>
      </c>
    </row>
    <row r="754" spans="1:4" x14ac:dyDescent="0.3">
      <c r="A754" s="42">
        <v>739</v>
      </c>
      <c r="B754" s="43">
        <f t="shared" si="22"/>
        <v>1739</v>
      </c>
      <c r="C754" s="10">
        <f t="shared" si="23"/>
        <v>744</v>
      </c>
      <c r="D754" s="45">
        <f t="shared" si="24"/>
        <v>277130</v>
      </c>
    </row>
    <row r="755" spans="1:4" x14ac:dyDescent="0.3">
      <c r="A755" s="42">
        <v>740</v>
      </c>
      <c r="B755" s="43">
        <f t="shared" si="22"/>
        <v>1740</v>
      </c>
      <c r="C755" s="10">
        <f t="shared" si="23"/>
        <v>745</v>
      </c>
      <c r="D755" s="45">
        <f t="shared" si="24"/>
        <v>277875</v>
      </c>
    </row>
    <row r="756" spans="1:4" x14ac:dyDescent="0.3">
      <c r="A756" s="42">
        <v>741</v>
      </c>
      <c r="B756" s="43">
        <f t="shared" si="22"/>
        <v>1741</v>
      </c>
      <c r="C756" s="10">
        <f t="shared" si="23"/>
        <v>746</v>
      </c>
      <c r="D756" s="45">
        <f t="shared" si="24"/>
        <v>278621</v>
      </c>
    </row>
    <row r="757" spans="1:4" x14ac:dyDescent="0.3">
      <c r="A757" s="42">
        <v>742</v>
      </c>
      <c r="B757" s="43">
        <f t="shared" si="22"/>
        <v>1742</v>
      </c>
      <c r="C757" s="10">
        <f t="shared" si="23"/>
        <v>747</v>
      </c>
      <c r="D757" s="45">
        <f t="shared" si="24"/>
        <v>279368</v>
      </c>
    </row>
    <row r="758" spans="1:4" x14ac:dyDescent="0.3">
      <c r="A758" s="42">
        <v>743</v>
      </c>
      <c r="B758" s="43">
        <f t="shared" si="22"/>
        <v>1743</v>
      </c>
      <c r="C758" s="10">
        <f t="shared" si="23"/>
        <v>748</v>
      </c>
      <c r="D758" s="45">
        <f t="shared" si="24"/>
        <v>280116</v>
      </c>
    </row>
    <row r="759" spans="1:4" x14ac:dyDescent="0.3">
      <c r="A759" s="42">
        <v>744</v>
      </c>
      <c r="B759" s="43">
        <f t="shared" si="22"/>
        <v>1744</v>
      </c>
      <c r="C759" s="10">
        <f t="shared" si="23"/>
        <v>749</v>
      </c>
      <c r="D759" s="45">
        <f t="shared" si="24"/>
        <v>280865</v>
      </c>
    </row>
    <row r="760" spans="1:4" x14ac:dyDescent="0.3">
      <c r="A760" s="42">
        <v>745</v>
      </c>
      <c r="B760" s="43">
        <f t="shared" si="22"/>
        <v>1745</v>
      </c>
      <c r="C760" s="10">
        <f t="shared" si="23"/>
        <v>750</v>
      </c>
      <c r="D760" s="45">
        <f t="shared" si="24"/>
        <v>281615</v>
      </c>
    </row>
    <row r="761" spans="1:4" x14ac:dyDescent="0.3">
      <c r="A761" s="42">
        <v>746</v>
      </c>
      <c r="B761" s="43">
        <f t="shared" si="22"/>
        <v>1746</v>
      </c>
      <c r="C761" s="10">
        <f t="shared" si="23"/>
        <v>751</v>
      </c>
      <c r="D761" s="45">
        <f t="shared" si="24"/>
        <v>282366</v>
      </c>
    </row>
    <row r="762" spans="1:4" x14ac:dyDescent="0.3">
      <c r="A762" s="42">
        <v>747</v>
      </c>
      <c r="B762" s="43">
        <f t="shared" si="22"/>
        <v>1747</v>
      </c>
      <c r="C762" s="10">
        <f t="shared" si="23"/>
        <v>752</v>
      </c>
      <c r="D762" s="45">
        <f t="shared" si="24"/>
        <v>283118</v>
      </c>
    </row>
    <row r="763" spans="1:4" x14ac:dyDescent="0.3">
      <c r="A763" s="42">
        <v>748</v>
      </c>
      <c r="B763" s="43">
        <f t="shared" si="22"/>
        <v>1748</v>
      </c>
      <c r="C763" s="10">
        <f t="shared" si="23"/>
        <v>753</v>
      </c>
      <c r="D763" s="45">
        <f t="shared" si="24"/>
        <v>283871</v>
      </c>
    </row>
    <row r="764" spans="1:4" x14ac:dyDescent="0.3">
      <c r="A764" s="42">
        <v>749</v>
      </c>
      <c r="B764" s="43">
        <f t="shared" si="22"/>
        <v>1749</v>
      </c>
      <c r="C764" s="10">
        <f t="shared" si="23"/>
        <v>754</v>
      </c>
      <c r="D764" s="45">
        <f t="shared" si="24"/>
        <v>284625</v>
      </c>
    </row>
    <row r="765" spans="1:4" x14ac:dyDescent="0.3">
      <c r="A765" s="42">
        <v>750</v>
      </c>
      <c r="B765" s="43">
        <f t="shared" si="22"/>
        <v>1750</v>
      </c>
      <c r="C765" s="10">
        <f t="shared" si="23"/>
        <v>755</v>
      </c>
      <c r="D765" s="45">
        <f t="shared" si="24"/>
        <v>285380</v>
      </c>
    </row>
    <row r="766" spans="1:4" x14ac:dyDescent="0.3">
      <c r="A766" s="42">
        <v>751</v>
      </c>
      <c r="B766" s="43">
        <f t="shared" si="22"/>
        <v>1751</v>
      </c>
      <c r="C766" s="10">
        <f t="shared" si="23"/>
        <v>756</v>
      </c>
      <c r="D766" s="45">
        <f t="shared" si="24"/>
        <v>286136</v>
      </c>
    </row>
    <row r="767" spans="1:4" x14ac:dyDescent="0.3">
      <c r="A767" s="42">
        <v>752</v>
      </c>
      <c r="B767" s="43">
        <f t="shared" si="22"/>
        <v>1752</v>
      </c>
      <c r="C767" s="10">
        <f t="shared" si="23"/>
        <v>757</v>
      </c>
      <c r="D767" s="45">
        <f t="shared" si="24"/>
        <v>286893</v>
      </c>
    </row>
    <row r="768" spans="1:4" x14ac:dyDescent="0.3">
      <c r="A768" s="42">
        <v>753</v>
      </c>
      <c r="B768" s="43">
        <f t="shared" si="22"/>
        <v>1753</v>
      </c>
      <c r="C768" s="10">
        <f t="shared" si="23"/>
        <v>758</v>
      </c>
      <c r="D768" s="45">
        <f t="shared" si="24"/>
        <v>287651</v>
      </c>
    </row>
    <row r="769" spans="1:4" x14ac:dyDescent="0.3">
      <c r="A769" s="42">
        <v>754</v>
      </c>
      <c r="B769" s="43">
        <f t="shared" si="22"/>
        <v>1754</v>
      </c>
      <c r="C769" s="10">
        <f t="shared" si="23"/>
        <v>759</v>
      </c>
      <c r="D769" s="45">
        <f t="shared" si="24"/>
        <v>288410</v>
      </c>
    </row>
    <row r="770" spans="1:4" x14ac:dyDescent="0.3">
      <c r="A770" s="42">
        <v>755</v>
      </c>
      <c r="B770" s="43">
        <f t="shared" si="22"/>
        <v>1755</v>
      </c>
      <c r="C770" s="10">
        <f t="shared" si="23"/>
        <v>760</v>
      </c>
      <c r="D770" s="45">
        <f t="shared" si="24"/>
        <v>289170</v>
      </c>
    </row>
    <row r="771" spans="1:4" x14ac:dyDescent="0.3">
      <c r="A771" s="42">
        <v>756</v>
      </c>
      <c r="B771" s="43">
        <f t="shared" si="22"/>
        <v>1756</v>
      </c>
      <c r="C771" s="10">
        <f t="shared" si="23"/>
        <v>761</v>
      </c>
      <c r="D771" s="45">
        <f t="shared" si="24"/>
        <v>289931</v>
      </c>
    </row>
    <row r="772" spans="1:4" x14ac:dyDescent="0.3">
      <c r="A772" s="42">
        <v>757</v>
      </c>
      <c r="B772" s="43">
        <f t="shared" si="22"/>
        <v>1757</v>
      </c>
      <c r="C772" s="10">
        <f t="shared" si="23"/>
        <v>762</v>
      </c>
      <c r="D772" s="45">
        <f t="shared" si="24"/>
        <v>290693</v>
      </c>
    </row>
    <row r="773" spans="1:4" x14ac:dyDescent="0.3">
      <c r="A773" s="42">
        <v>758</v>
      </c>
      <c r="B773" s="43">
        <f t="shared" si="22"/>
        <v>1758</v>
      </c>
      <c r="C773" s="10">
        <f t="shared" si="23"/>
        <v>763</v>
      </c>
      <c r="D773" s="45">
        <f t="shared" si="24"/>
        <v>291456</v>
      </c>
    </row>
    <row r="774" spans="1:4" x14ac:dyDescent="0.3">
      <c r="A774" s="42">
        <v>759</v>
      </c>
      <c r="B774" s="43">
        <f t="shared" si="22"/>
        <v>1759</v>
      </c>
      <c r="C774" s="10">
        <f t="shared" si="23"/>
        <v>764</v>
      </c>
      <c r="D774" s="45">
        <f t="shared" si="24"/>
        <v>292220</v>
      </c>
    </row>
    <row r="775" spans="1:4" x14ac:dyDescent="0.3">
      <c r="A775" s="42">
        <v>760</v>
      </c>
      <c r="B775" s="43">
        <f t="shared" si="22"/>
        <v>1760</v>
      </c>
      <c r="C775" s="10">
        <f t="shared" si="23"/>
        <v>765</v>
      </c>
      <c r="D775" s="45">
        <f t="shared" si="24"/>
        <v>292985</v>
      </c>
    </row>
    <row r="776" spans="1:4" x14ac:dyDescent="0.3">
      <c r="A776" s="42">
        <v>761</v>
      </c>
      <c r="B776" s="43">
        <f t="shared" si="22"/>
        <v>1761</v>
      </c>
      <c r="C776" s="10">
        <f t="shared" si="23"/>
        <v>766</v>
      </c>
      <c r="D776" s="45">
        <f t="shared" si="24"/>
        <v>293751</v>
      </c>
    </row>
    <row r="777" spans="1:4" x14ac:dyDescent="0.3">
      <c r="A777" s="42">
        <v>762</v>
      </c>
      <c r="B777" s="43">
        <f t="shared" si="22"/>
        <v>1762</v>
      </c>
      <c r="C777" s="10">
        <f t="shared" si="23"/>
        <v>767</v>
      </c>
      <c r="D777" s="45">
        <f t="shared" si="24"/>
        <v>294518</v>
      </c>
    </row>
    <row r="778" spans="1:4" x14ac:dyDescent="0.3">
      <c r="A778" s="42">
        <v>763</v>
      </c>
      <c r="B778" s="43">
        <f t="shared" si="22"/>
        <v>1763</v>
      </c>
      <c r="C778" s="10">
        <f t="shared" si="23"/>
        <v>768</v>
      </c>
      <c r="D778" s="45">
        <f t="shared" si="24"/>
        <v>295286</v>
      </c>
    </row>
    <row r="779" spans="1:4" x14ac:dyDescent="0.3">
      <c r="A779" s="42">
        <v>764</v>
      </c>
      <c r="B779" s="43">
        <f t="shared" si="22"/>
        <v>1764</v>
      </c>
      <c r="C779" s="10">
        <f t="shared" si="23"/>
        <v>769</v>
      </c>
      <c r="D779" s="45">
        <f t="shared" si="24"/>
        <v>296055</v>
      </c>
    </row>
    <row r="780" spans="1:4" x14ac:dyDescent="0.3">
      <c r="A780" s="42">
        <v>765</v>
      </c>
      <c r="B780" s="43">
        <f t="shared" si="22"/>
        <v>1765</v>
      </c>
      <c r="C780" s="10">
        <f t="shared" si="23"/>
        <v>770</v>
      </c>
      <c r="D780" s="45">
        <f t="shared" si="24"/>
        <v>296825</v>
      </c>
    </row>
    <row r="781" spans="1:4" x14ac:dyDescent="0.3">
      <c r="A781" s="42">
        <v>766</v>
      </c>
      <c r="B781" s="43">
        <f t="shared" si="22"/>
        <v>1766</v>
      </c>
      <c r="C781" s="10">
        <f t="shared" si="23"/>
        <v>771</v>
      </c>
      <c r="D781" s="45">
        <f t="shared" si="24"/>
        <v>297596</v>
      </c>
    </row>
    <row r="782" spans="1:4" x14ac:dyDescent="0.3">
      <c r="A782" s="42">
        <v>767</v>
      </c>
      <c r="B782" s="43">
        <f t="shared" si="22"/>
        <v>1767</v>
      </c>
      <c r="C782" s="10">
        <f t="shared" si="23"/>
        <v>772</v>
      </c>
      <c r="D782" s="45">
        <f t="shared" si="24"/>
        <v>298368</v>
      </c>
    </row>
    <row r="783" spans="1:4" x14ac:dyDescent="0.3">
      <c r="A783" s="42">
        <v>768</v>
      </c>
      <c r="B783" s="43">
        <f t="shared" si="22"/>
        <v>1768</v>
      </c>
      <c r="C783" s="10">
        <f t="shared" si="23"/>
        <v>773</v>
      </c>
      <c r="D783" s="45">
        <f t="shared" si="24"/>
        <v>299141</v>
      </c>
    </row>
    <row r="784" spans="1:4" x14ac:dyDescent="0.3">
      <c r="A784" s="42">
        <v>769</v>
      </c>
      <c r="B784" s="43">
        <f t="shared" si="22"/>
        <v>1769</v>
      </c>
      <c r="C784" s="10">
        <f t="shared" si="23"/>
        <v>774</v>
      </c>
      <c r="D784" s="45">
        <f t="shared" si="24"/>
        <v>299915</v>
      </c>
    </row>
    <row r="785" spans="1:4" x14ac:dyDescent="0.3">
      <c r="A785" s="42">
        <v>770</v>
      </c>
      <c r="B785" s="43">
        <f t="shared" si="22"/>
        <v>1770</v>
      </c>
      <c r="C785" s="10">
        <f t="shared" si="23"/>
        <v>775</v>
      </c>
      <c r="D785" s="45">
        <f t="shared" si="24"/>
        <v>300690</v>
      </c>
    </row>
    <row r="786" spans="1:4" x14ac:dyDescent="0.3">
      <c r="A786" s="42">
        <v>771</v>
      </c>
      <c r="B786" s="43">
        <f t="shared" si="22"/>
        <v>1771</v>
      </c>
      <c r="C786" s="10">
        <f t="shared" si="23"/>
        <v>776</v>
      </c>
      <c r="D786" s="45">
        <f t="shared" si="24"/>
        <v>301466</v>
      </c>
    </row>
    <row r="787" spans="1:4" x14ac:dyDescent="0.3">
      <c r="A787" s="42">
        <v>772</v>
      </c>
      <c r="B787" s="43">
        <f t="shared" si="22"/>
        <v>1772</v>
      </c>
      <c r="C787" s="10">
        <f t="shared" si="23"/>
        <v>777</v>
      </c>
      <c r="D787" s="45">
        <f t="shared" si="24"/>
        <v>302243</v>
      </c>
    </row>
    <row r="788" spans="1:4" x14ac:dyDescent="0.3">
      <c r="A788" s="42">
        <v>773</v>
      </c>
      <c r="B788" s="43">
        <f t="shared" si="22"/>
        <v>1773</v>
      </c>
      <c r="C788" s="10">
        <f t="shared" si="23"/>
        <v>778</v>
      </c>
      <c r="D788" s="45">
        <f t="shared" si="24"/>
        <v>303021</v>
      </c>
    </row>
    <row r="789" spans="1:4" x14ac:dyDescent="0.3">
      <c r="A789" s="42">
        <v>774</v>
      </c>
      <c r="B789" s="43">
        <f t="shared" si="22"/>
        <v>1774</v>
      </c>
      <c r="C789" s="10">
        <f t="shared" si="23"/>
        <v>779</v>
      </c>
      <c r="D789" s="45">
        <f t="shared" si="24"/>
        <v>303800</v>
      </c>
    </row>
    <row r="790" spans="1:4" x14ac:dyDescent="0.3">
      <c r="A790" s="42">
        <v>775</v>
      </c>
      <c r="B790" s="43">
        <f t="shared" si="22"/>
        <v>1775</v>
      </c>
      <c r="C790" s="10">
        <f t="shared" si="23"/>
        <v>780</v>
      </c>
      <c r="D790" s="45">
        <f t="shared" si="24"/>
        <v>304580</v>
      </c>
    </row>
    <row r="791" spans="1:4" x14ac:dyDescent="0.3">
      <c r="A791" s="42">
        <v>776</v>
      </c>
      <c r="B791" s="43">
        <f t="shared" si="22"/>
        <v>1776</v>
      </c>
      <c r="C791" s="10">
        <f t="shared" si="23"/>
        <v>781</v>
      </c>
      <c r="D791" s="45">
        <f t="shared" si="24"/>
        <v>305361</v>
      </c>
    </row>
    <row r="792" spans="1:4" x14ac:dyDescent="0.3">
      <c r="A792" s="42">
        <v>777</v>
      </c>
      <c r="B792" s="43">
        <f t="shared" si="22"/>
        <v>1777</v>
      </c>
      <c r="C792" s="10">
        <f t="shared" si="23"/>
        <v>782</v>
      </c>
      <c r="D792" s="45">
        <f t="shared" si="24"/>
        <v>306143</v>
      </c>
    </row>
    <row r="793" spans="1:4" x14ac:dyDescent="0.3">
      <c r="A793" s="42">
        <v>778</v>
      </c>
      <c r="B793" s="43">
        <f t="shared" si="22"/>
        <v>1778</v>
      </c>
      <c r="C793" s="10">
        <f t="shared" si="23"/>
        <v>783</v>
      </c>
      <c r="D793" s="45">
        <f t="shared" si="24"/>
        <v>306926</v>
      </c>
    </row>
    <row r="794" spans="1:4" x14ac:dyDescent="0.3">
      <c r="A794" s="42">
        <v>779</v>
      </c>
      <c r="B794" s="43">
        <f t="shared" si="22"/>
        <v>1779</v>
      </c>
      <c r="C794" s="10">
        <f t="shared" si="23"/>
        <v>784</v>
      </c>
      <c r="D794" s="45">
        <f t="shared" si="24"/>
        <v>307710</v>
      </c>
    </row>
    <row r="795" spans="1:4" x14ac:dyDescent="0.3">
      <c r="A795" s="42">
        <v>780</v>
      </c>
      <c r="B795" s="43">
        <f t="shared" si="22"/>
        <v>1780</v>
      </c>
      <c r="C795" s="10">
        <f t="shared" si="23"/>
        <v>785</v>
      </c>
      <c r="D795" s="45">
        <f t="shared" si="24"/>
        <v>308495</v>
      </c>
    </row>
    <row r="796" spans="1:4" x14ac:dyDescent="0.3">
      <c r="A796" s="42">
        <v>781</v>
      </c>
      <c r="B796" s="43">
        <f t="shared" si="22"/>
        <v>1781</v>
      </c>
      <c r="C796" s="10">
        <f t="shared" si="23"/>
        <v>786</v>
      </c>
      <c r="D796" s="45">
        <f t="shared" si="24"/>
        <v>309281</v>
      </c>
    </row>
    <row r="797" spans="1:4" x14ac:dyDescent="0.3">
      <c r="A797" s="42">
        <v>782</v>
      </c>
      <c r="B797" s="43">
        <f t="shared" si="22"/>
        <v>1782</v>
      </c>
      <c r="C797" s="10">
        <f t="shared" si="23"/>
        <v>787</v>
      </c>
      <c r="D797" s="45">
        <f t="shared" si="24"/>
        <v>310068</v>
      </c>
    </row>
    <row r="798" spans="1:4" x14ac:dyDescent="0.3">
      <c r="A798" s="42">
        <v>783</v>
      </c>
      <c r="B798" s="43">
        <f t="shared" si="22"/>
        <v>1783</v>
      </c>
      <c r="C798" s="10">
        <f t="shared" si="23"/>
        <v>788</v>
      </c>
      <c r="D798" s="45">
        <f t="shared" si="24"/>
        <v>310856</v>
      </c>
    </row>
    <row r="799" spans="1:4" x14ac:dyDescent="0.3">
      <c r="A799" s="42">
        <v>784</v>
      </c>
      <c r="B799" s="43">
        <f t="shared" si="22"/>
        <v>1784</v>
      </c>
      <c r="C799" s="10">
        <f t="shared" si="23"/>
        <v>789</v>
      </c>
      <c r="D799" s="45">
        <f t="shared" si="24"/>
        <v>311645</v>
      </c>
    </row>
    <row r="800" spans="1:4" x14ac:dyDescent="0.3">
      <c r="A800" s="42">
        <v>785</v>
      </c>
      <c r="B800" s="43">
        <f t="shared" si="22"/>
        <v>1785</v>
      </c>
      <c r="C800" s="10">
        <f t="shared" si="23"/>
        <v>790</v>
      </c>
      <c r="D800" s="45">
        <f t="shared" si="24"/>
        <v>312435</v>
      </c>
    </row>
    <row r="801" spans="1:4" x14ac:dyDescent="0.3">
      <c r="A801" s="42">
        <v>786</v>
      </c>
      <c r="B801" s="43">
        <f t="shared" si="22"/>
        <v>1786</v>
      </c>
      <c r="C801" s="10">
        <f t="shared" si="23"/>
        <v>791</v>
      </c>
      <c r="D801" s="45">
        <f t="shared" si="24"/>
        <v>313226</v>
      </c>
    </row>
    <row r="802" spans="1:4" x14ac:dyDescent="0.3">
      <c r="A802" s="42">
        <v>787</v>
      </c>
      <c r="B802" s="43">
        <f t="shared" si="22"/>
        <v>1787</v>
      </c>
      <c r="C802" s="10">
        <f t="shared" si="23"/>
        <v>792</v>
      </c>
      <c r="D802" s="45">
        <f t="shared" si="24"/>
        <v>314018</v>
      </c>
    </row>
    <row r="803" spans="1:4" x14ac:dyDescent="0.3">
      <c r="A803" s="42">
        <v>788</v>
      </c>
      <c r="B803" s="43">
        <f t="shared" si="22"/>
        <v>1788</v>
      </c>
      <c r="C803" s="10">
        <f t="shared" si="23"/>
        <v>793</v>
      </c>
      <c r="D803" s="45">
        <f t="shared" si="24"/>
        <v>314811</v>
      </c>
    </row>
    <row r="804" spans="1:4" x14ac:dyDescent="0.3">
      <c r="A804" s="42">
        <v>789</v>
      </c>
      <c r="B804" s="43">
        <f t="shared" si="22"/>
        <v>1789</v>
      </c>
      <c r="C804" s="10">
        <f t="shared" si="23"/>
        <v>794</v>
      </c>
      <c r="D804" s="45">
        <f t="shared" si="24"/>
        <v>315605</v>
      </c>
    </row>
    <row r="805" spans="1:4" x14ac:dyDescent="0.3">
      <c r="A805" s="42">
        <v>790</v>
      </c>
      <c r="B805" s="43">
        <f t="shared" si="22"/>
        <v>1790</v>
      </c>
      <c r="C805" s="10">
        <f t="shared" si="23"/>
        <v>795</v>
      </c>
      <c r="D805" s="45">
        <f t="shared" si="24"/>
        <v>316400</v>
      </c>
    </row>
    <row r="806" spans="1:4" x14ac:dyDescent="0.3">
      <c r="A806" s="42">
        <v>791</v>
      </c>
      <c r="B806" s="43">
        <f t="shared" ref="B806:B869" si="25">B805+R$8</f>
        <v>1791</v>
      </c>
      <c r="C806" s="10">
        <f t="shared" ref="C806:C869" si="26">C805+R$7</f>
        <v>796</v>
      </c>
      <c r="D806" s="45">
        <f t="shared" ref="D806:D869" si="27">D805+C806</f>
        <v>317196</v>
      </c>
    </row>
    <row r="807" spans="1:4" x14ac:dyDescent="0.3">
      <c r="A807" s="42">
        <v>792</v>
      </c>
      <c r="B807" s="43">
        <f t="shared" si="25"/>
        <v>1792</v>
      </c>
      <c r="C807" s="10">
        <f t="shared" si="26"/>
        <v>797</v>
      </c>
      <c r="D807" s="45">
        <f t="shared" si="27"/>
        <v>317993</v>
      </c>
    </row>
    <row r="808" spans="1:4" x14ac:dyDescent="0.3">
      <c r="A808" s="42">
        <v>793</v>
      </c>
      <c r="B808" s="43">
        <f t="shared" si="25"/>
        <v>1793</v>
      </c>
      <c r="C808" s="10">
        <f t="shared" si="26"/>
        <v>798</v>
      </c>
      <c r="D808" s="45">
        <f t="shared" si="27"/>
        <v>318791</v>
      </c>
    </row>
    <row r="809" spans="1:4" x14ac:dyDescent="0.3">
      <c r="A809" s="42">
        <v>794</v>
      </c>
      <c r="B809" s="43">
        <f t="shared" si="25"/>
        <v>1794</v>
      </c>
      <c r="C809" s="10">
        <f t="shared" si="26"/>
        <v>799</v>
      </c>
      <c r="D809" s="45">
        <f t="shared" si="27"/>
        <v>319590</v>
      </c>
    </row>
    <row r="810" spans="1:4" x14ac:dyDescent="0.3">
      <c r="A810" s="42">
        <v>795</v>
      </c>
      <c r="B810" s="43">
        <f t="shared" si="25"/>
        <v>1795</v>
      </c>
      <c r="C810" s="10">
        <f t="shared" si="26"/>
        <v>800</v>
      </c>
      <c r="D810" s="45">
        <f t="shared" si="27"/>
        <v>320390</v>
      </c>
    </row>
    <row r="811" spans="1:4" x14ac:dyDescent="0.3">
      <c r="A811" s="42">
        <v>796</v>
      </c>
      <c r="B811" s="43">
        <f t="shared" si="25"/>
        <v>1796</v>
      </c>
      <c r="C811" s="10">
        <f t="shared" si="26"/>
        <v>801</v>
      </c>
      <c r="D811" s="45">
        <f t="shared" si="27"/>
        <v>321191</v>
      </c>
    </row>
    <row r="812" spans="1:4" x14ac:dyDescent="0.3">
      <c r="A812" s="42">
        <v>797</v>
      </c>
      <c r="B812" s="43">
        <f t="shared" si="25"/>
        <v>1797</v>
      </c>
      <c r="C812" s="10">
        <f t="shared" si="26"/>
        <v>802</v>
      </c>
      <c r="D812" s="45">
        <f t="shared" si="27"/>
        <v>321993</v>
      </c>
    </row>
    <row r="813" spans="1:4" x14ac:dyDescent="0.3">
      <c r="A813" s="42">
        <v>798</v>
      </c>
      <c r="B813" s="43">
        <f t="shared" si="25"/>
        <v>1798</v>
      </c>
      <c r="C813" s="10">
        <f t="shared" si="26"/>
        <v>803</v>
      </c>
      <c r="D813" s="45">
        <f t="shared" si="27"/>
        <v>322796</v>
      </c>
    </row>
    <row r="814" spans="1:4" x14ac:dyDescent="0.3">
      <c r="A814" s="42">
        <v>799</v>
      </c>
      <c r="B814" s="43">
        <f t="shared" si="25"/>
        <v>1799</v>
      </c>
      <c r="C814" s="10">
        <f t="shared" si="26"/>
        <v>804</v>
      </c>
      <c r="D814" s="45">
        <f t="shared" si="27"/>
        <v>323600</v>
      </c>
    </row>
    <row r="815" spans="1:4" x14ac:dyDescent="0.3">
      <c r="A815" s="42">
        <v>800</v>
      </c>
      <c r="B815" s="43">
        <f t="shared" si="25"/>
        <v>1800</v>
      </c>
      <c r="C815" s="10">
        <f t="shared" si="26"/>
        <v>805</v>
      </c>
      <c r="D815" s="45">
        <f t="shared" si="27"/>
        <v>324405</v>
      </c>
    </row>
    <row r="816" spans="1:4" x14ac:dyDescent="0.3">
      <c r="A816" s="42">
        <v>801</v>
      </c>
      <c r="B816" s="43">
        <f t="shared" si="25"/>
        <v>1801</v>
      </c>
      <c r="C816" s="10">
        <f t="shared" si="26"/>
        <v>806</v>
      </c>
      <c r="D816" s="45">
        <f t="shared" si="27"/>
        <v>325211</v>
      </c>
    </row>
    <row r="817" spans="1:4" x14ac:dyDescent="0.3">
      <c r="A817" s="42">
        <v>802</v>
      </c>
      <c r="B817" s="43">
        <f t="shared" si="25"/>
        <v>1802</v>
      </c>
      <c r="C817" s="10">
        <f t="shared" si="26"/>
        <v>807</v>
      </c>
      <c r="D817" s="45">
        <f t="shared" si="27"/>
        <v>326018</v>
      </c>
    </row>
    <row r="818" spans="1:4" x14ac:dyDescent="0.3">
      <c r="A818" s="42">
        <v>803</v>
      </c>
      <c r="B818" s="43">
        <f t="shared" si="25"/>
        <v>1803</v>
      </c>
      <c r="C818" s="10">
        <f t="shared" si="26"/>
        <v>808</v>
      </c>
      <c r="D818" s="45">
        <f t="shared" si="27"/>
        <v>326826</v>
      </c>
    </row>
    <row r="819" spans="1:4" x14ac:dyDescent="0.3">
      <c r="A819" s="42">
        <v>804</v>
      </c>
      <c r="B819" s="43">
        <f t="shared" si="25"/>
        <v>1804</v>
      </c>
      <c r="C819" s="10">
        <f t="shared" si="26"/>
        <v>809</v>
      </c>
      <c r="D819" s="45">
        <f t="shared" si="27"/>
        <v>327635</v>
      </c>
    </row>
    <row r="820" spans="1:4" x14ac:dyDescent="0.3">
      <c r="A820" s="42">
        <v>805</v>
      </c>
      <c r="B820" s="43">
        <f t="shared" si="25"/>
        <v>1805</v>
      </c>
      <c r="C820" s="10">
        <f t="shared" si="26"/>
        <v>810</v>
      </c>
      <c r="D820" s="45">
        <f t="shared" si="27"/>
        <v>328445</v>
      </c>
    </row>
    <row r="821" spans="1:4" x14ac:dyDescent="0.3">
      <c r="A821" s="42">
        <v>806</v>
      </c>
      <c r="B821" s="43">
        <f t="shared" si="25"/>
        <v>1806</v>
      </c>
      <c r="C821" s="10">
        <f t="shared" si="26"/>
        <v>811</v>
      </c>
      <c r="D821" s="45">
        <f t="shared" si="27"/>
        <v>329256</v>
      </c>
    </row>
    <row r="822" spans="1:4" x14ac:dyDescent="0.3">
      <c r="A822" s="42">
        <v>807</v>
      </c>
      <c r="B822" s="43">
        <f t="shared" si="25"/>
        <v>1807</v>
      </c>
      <c r="C822" s="10">
        <f t="shared" si="26"/>
        <v>812</v>
      </c>
      <c r="D822" s="45">
        <f t="shared" si="27"/>
        <v>330068</v>
      </c>
    </row>
    <row r="823" spans="1:4" x14ac:dyDescent="0.3">
      <c r="A823" s="42">
        <v>808</v>
      </c>
      <c r="B823" s="43">
        <f t="shared" si="25"/>
        <v>1808</v>
      </c>
      <c r="C823" s="10">
        <f t="shared" si="26"/>
        <v>813</v>
      </c>
      <c r="D823" s="45">
        <f t="shared" si="27"/>
        <v>330881</v>
      </c>
    </row>
    <row r="824" spans="1:4" x14ac:dyDescent="0.3">
      <c r="A824" s="42">
        <v>809</v>
      </c>
      <c r="B824" s="43">
        <f t="shared" si="25"/>
        <v>1809</v>
      </c>
      <c r="C824" s="10">
        <f t="shared" si="26"/>
        <v>814</v>
      </c>
      <c r="D824" s="45">
        <f t="shared" si="27"/>
        <v>331695</v>
      </c>
    </row>
    <row r="825" spans="1:4" x14ac:dyDescent="0.3">
      <c r="A825" s="42">
        <v>810</v>
      </c>
      <c r="B825" s="43">
        <f t="shared" si="25"/>
        <v>1810</v>
      </c>
      <c r="C825" s="10">
        <f t="shared" si="26"/>
        <v>815</v>
      </c>
      <c r="D825" s="45">
        <f t="shared" si="27"/>
        <v>332510</v>
      </c>
    </row>
    <row r="826" spans="1:4" x14ac:dyDescent="0.3">
      <c r="A826" s="42">
        <v>811</v>
      </c>
      <c r="B826" s="43">
        <f t="shared" si="25"/>
        <v>1811</v>
      </c>
      <c r="C826" s="10">
        <f t="shared" si="26"/>
        <v>816</v>
      </c>
      <c r="D826" s="45">
        <f t="shared" si="27"/>
        <v>333326</v>
      </c>
    </row>
    <row r="827" spans="1:4" x14ac:dyDescent="0.3">
      <c r="A827" s="42">
        <v>812</v>
      </c>
      <c r="B827" s="43">
        <f t="shared" si="25"/>
        <v>1812</v>
      </c>
      <c r="C827" s="10">
        <f t="shared" si="26"/>
        <v>817</v>
      </c>
      <c r="D827" s="45">
        <f t="shared" si="27"/>
        <v>334143</v>
      </c>
    </row>
    <row r="828" spans="1:4" x14ac:dyDescent="0.3">
      <c r="A828" s="42">
        <v>813</v>
      </c>
      <c r="B828" s="43">
        <f t="shared" si="25"/>
        <v>1813</v>
      </c>
      <c r="C828" s="10">
        <f t="shared" si="26"/>
        <v>818</v>
      </c>
      <c r="D828" s="45">
        <f t="shared" si="27"/>
        <v>334961</v>
      </c>
    </row>
    <row r="829" spans="1:4" x14ac:dyDescent="0.3">
      <c r="A829" s="42">
        <v>814</v>
      </c>
      <c r="B829" s="43">
        <f t="shared" si="25"/>
        <v>1814</v>
      </c>
      <c r="C829" s="10">
        <f t="shared" si="26"/>
        <v>819</v>
      </c>
      <c r="D829" s="45">
        <f t="shared" si="27"/>
        <v>335780</v>
      </c>
    </row>
    <row r="830" spans="1:4" x14ac:dyDescent="0.3">
      <c r="A830" s="42">
        <v>815</v>
      </c>
      <c r="B830" s="43">
        <f t="shared" si="25"/>
        <v>1815</v>
      </c>
      <c r="C830" s="10">
        <f t="shared" si="26"/>
        <v>820</v>
      </c>
      <c r="D830" s="45">
        <f t="shared" si="27"/>
        <v>336600</v>
      </c>
    </row>
    <row r="831" spans="1:4" x14ac:dyDescent="0.3">
      <c r="A831" s="42">
        <v>816</v>
      </c>
      <c r="B831" s="43">
        <f t="shared" si="25"/>
        <v>1816</v>
      </c>
      <c r="C831" s="10">
        <f t="shared" si="26"/>
        <v>821</v>
      </c>
      <c r="D831" s="45">
        <f t="shared" si="27"/>
        <v>337421</v>
      </c>
    </row>
    <row r="832" spans="1:4" x14ac:dyDescent="0.3">
      <c r="A832" s="42">
        <v>817</v>
      </c>
      <c r="B832" s="43">
        <f t="shared" si="25"/>
        <v>1817</v>
      </c>
      <c r="C832" s="10">
        <f t="shared" si="26"/>
        <v>822</v>
      </c>
      <c r="D832" s="45">
        <f t="shared" si="27"/>
        <v>338243</v>
      </c>
    </row>
    <row r="833" spans="1:4" x14ac:dyDescent="0.3">
      <c r="A833" s="42">
        <v>818</v>
      </c>
      <c r="B833" s="43">
        <f t="shared" si="25"/>
        <v>1818</v>
      </c>
      <c r="C833" s="10">
        <f t="shared" si="26"/>
        <v>823</v>
      </c>
      <c r="D833" s="45">
        <f t="shared" si="27"/>
        <v>339066</v>
      </c>
    </row>
    <row r="834" spans="1:4" x14ac:dyDescent="0.3">
      <c r="A834" s="42">
        <v>819</v>
      </c>
      <c r="B834" s="43">
        <f t="shared" si="25"/>
        <v>1819</v>
      </c>
      <c r="C834" s="10">
        <f t="shared" si="26"/>
        <v>824</v>
      </c>
      <c r="D834" s="45">
        <f t="shared" si="27"/>
        <v>339890</v>
      </c>
    </row>
    <row r="835" spans="1:4" x14ac:dyDescent="0.3">
      <c r="A835" s="42">
        <v>820</v>
      </c>
      <c r="B835" s="43">
        <f t="shared" si="25"/>
        <v>1820</v>
      </c>
      <c r="C835" s="10">
        <f t="shared" si="26"/>
        <v>825</v>
      </c>
      <c r="D835" s="45">
        <f t="shared" si="27"/>
        <v>340715</v>
      </c>
    </row>
    <row r="836" spans="1:4" x14ac:dyDescent="0.3">
      <c r="A836" s="42">
        <v>821</v>
      </c>
      <c r="B836" s="43">
        <f t="shared" si="25"/>
        <v>1821</v>
      </c>
      <c r="C836" s="10">
        <f t="shared" si="26"/>
        <v>826</v>
      </c>
      <c r="D836" s="45">
        <f t="shared" si="27"/>
        <v>341541</v>
      </c>
    </row>
    <row r="837" spans="1:4" x14ac:dyDescent="0.3">
      <c r="A837" s="42">
        <v>822</v>
      </c>
      <c r="B837" s="43">
        <f t="shared" si="25"/>
        <v>1822</v>
      </c>
      <c r="C837" s="10">
        <f t="shared" si="26"/>
        <v>827</v>
      </c>
      <c r="D837" s="45">
        <f t="shared" si="27"/>
        <v>342368</v>
      </c>
    </row>
    <row r="838" spans="1:4" x14ac:dyDescent="0.3">
      <c r="A838" s="42">
        <v>823</v>
      </c>
      <c r="B838" s="43">
        <f t="shared" si="25"/>
        <v>1823</v>
      </c>
      <c r="C838" s="10">
        <f t="shared" si="26"/>
        <v>828</v>
      </c>
      <c r="D838" s="45">
        <f t="shared" si="27"/>
        <v>343196</v>
      </c>
    </row>
    <row r="839" spans="1:4" x14ac:dyDescent="0.3">
      <c r="A839" s="42">
        <v>824</v>
      </c>
      <c r="B839" s="43">
        <f t="shared" si="25"/>
        <v>1824</v>
      </c>
      <c r="C839" s="10">
        <f t="shared" si="26"/>
        <v>829</v>
      </c>
      <c r="D839" s="45">
        <f t="shared" si="27"/>
        <v>344025</v>
      </c>
    </row>
    <row r="840" spans="1:4" x14ac:dyDescent="0.3">
      <c r="A840" s="42">
        <v>825</v>
      </c>
      <c r="B840" s="43">
        <f t="shared" si="25"/>
        <v>1825</v>
      </c>
      <c r="C840" s="10">
        <f t="shared" si="26"/>
        <v>830</v>
      </c>
      <c r="D840" s="45">
        <f t="shared" si="27"/>
        <v>344855</v>
      </c>
    </row>
    <row r="841" spans="1:4" x14ac:dyDescent="0.3">
      <c r="A841" s="42">
        <v>826</v>
      </c>
      <c r="B841" s="43">
        <f t="shared" si="25"/>
        <v>1826</v>
      </c>
      <c r="C841" s="10">
        <f t="shared" si="26"/>
        <v>831</v>
      </c>
      <c r="D841" s="45">
        <f t="shared" si="27"/>
        <v>345686</v>
      </c>
    </row>
    <row r="842" spans="1:4" x14ac:dyDescent="0.3">
      <c r="A842" s="42">
        <v>827</v>
      </c>
      <c r="B842" s="43">
        <f t="shared" si="25"/>
        <v>1827</v>
      </c>
      <c r="C842" s="10">
        <f t="shared" si="26"/>
        <v>832</v>
      </c>
      <c r="D842" s="45">
        <f t="shared" si="27"/>
        <v>346518</v>
      </c>
    </row>
    <row r="843" spans="1:4" x14ac:dyDescent="0.3">
      <c r="A843" s="42">
        <v>828</v>
      </c>
      <c r="B843" s="43">
        <f t="shared" si="25"/>
        <v>1828</v>
      </c>
      <c r="C843" s="10">
        <f t="shared" si="26"/>
        <v>833</v>
      </c>
      <c r="D843" s="45">
        <f t="shared" si="27"/>
        <v>347351</v>
      </c>
    </row>
    <row r="844" spans="1:4" x14ac:dyDescent="0.3">
      <c r="A844" s="42">
        <v>829</v>
      </c>
      <c r="B844" s="43">
        <f t="shared" si="25"/>
        <v>1829</v>
      </c>
      <c r="C844" s="10">
        <f t="shared" si="26"/>
        <v>834</v>
      </c>
      <c r="D844" s="45">
        <f t="shared" si="27"/>
        <v>348185</v>
      </c>
    </row>
    <row r="845" spans="1:4" x14ac:dyDescent="0.3">
      <c r="A845" s="42">
        <v>830</v>
      </c>
      <c r="B845" s="43">
        <f t="shared" si="25"/>
        <v>1830</v>
      </c>
      <c r="C845" s="10">
        <f t="shared" si="26"/>
        <v>835</v>
      </c>
      <c r="D845" s="45">
        <f t="shared" si="27"/>
        <v>349020</v>
      </c>
    </row>
    <row r="846" spans="1:4" x14ac:dyDescent="0.3">
      <c r="A846" s="42">
        <v>831</v>
      </c>
      <c r="B846" s="43">
        <f t="shared" si="25"/>
        <v>1831</v>
      </c>
      <c r="C846" s="10">
        <f t="shared" si="26"/>
        <v>836</v>
      </c>
      <c r="D846" s="45">
        <f t="shared" si="27"/>
        <v>349856</v>
      </c>
    </row>
    <row r="847" spans="1:4" x14ac:dyDescent="0.3">
      <c r="A847" s="42">
        <v>832</v>
      </c>
      <c r="B847" s="43">
        <f t="shared" si="25"/>
        <v>1832</v>
      </c>
      <c r="C847" s="10">
        <f t="shared" si="26"/>
        <v>837</v>
      </c>
      <c r="D847" s="45">
        <f t="shared" si="27"/>
        <v>350693</v>
      </c>
    </row>
    <row r="848" spans="1:4" x14ac:dyDescent="0.3">
      <c r="A848" s="42">
        <v>833</v>
      </c>
      <c r="B848" s="43">
        <f t="shared" si="25"/>
        <v>1833</v>
      </c>
      <c r="C848" s="10">
        <f t="shared" si="26"/>
        <v>838</v>
      </c>
      <c r="D848" s="45">
        <f t="shared" si="27"/>
        <v>351531</v>
      </c>
    </row>
    <row r="849" spans="1:4" x14ac:dyDescent="0.3">
      <c r="A849" s="42">
        <v>834</v>
      </c>
      <c r="B849" s="43">
        <f t="shared" si="25"/>
        <v>1834</v>
      </c>
      <c r="C849" s="10">
        <f t="shared" si="26"/>
        <v>839</v>
      </c>
      <c r="D849" s="45">
        <f t="shared" si="27"/>
        <v>352370</v>
      </c>
    </row>
    <row r="850" spans="1:4" x14ac:dyDescent="0.3">
      <c r="A850" s="42">
        <v>835</v>
      </c>
      <c r="B850" s="43">
        <f t="shared" si="25"/>
        <v>1835</v>
      </c>
      <c r="C850" s="10">
        <f t="shared" si="26"/>
        <v>840</v>
      </c>
      <c r="D850" s="45">
        <f t="shared" si="27"/>
        <v>353210</v>
      </c>
    </row>
    <row r="851" spans="1:4" x14ac:dyDescent="0.3">
      <c r="A851" s="42">
        <v>836</v>
      </c>
      <c r="B851" s="43">
        <f t="shared" si="25"/>
        <v>1836</v>
      </c>
      <c r="C851" s="10">
        <f t="shared" si="26"/>
        <v>841</v>
      </c>
      <c r="D851" s="45">
        <f t="shared" si="27"/>
        <v>354051</v>
      </c>
    </row>
    <row r="852" spans="1:4" x14ac:dyDescent="0.3">
      <c r="A852" s="42">
        <v>837</v>
      </c>
      <c r="B852" s="43">
        <f t="shared" si="25"/>
        <v>1837</v>
      </c>
      <c r="C852" s="10">
        <f t="shared" si="26"/>
        <v>842</v>
      </c>
      <c r="D852" s="45">
        <f t="shared" si="27"/>
        <v>354893</v>
      </c>
    </row>
    <row r="853" spans="1:4" x14ac:dyDescent="0.3">
      <c r="A853" s="42">
        <v>838</v>
      </c>
      <c r="B853" s="43">
        <f t="shared" si="25"/>
        <v>1838</v>
      </c>
      <c r="C853" s="10">
        <f t="shared" si="26"/>
        <v>843</v>
      </c>
      <c r="D853" s="45">
        <f t="shared" si="27"/>
        <v>355736</v>
      </c>
    </row>
    <row r="854" spans="1:4" x14ac:dyDescent="0.3">
      <c r="A854" s="42">
        <v>839</v>
      </c>
      <c r="B854" s="43">
        <f t="shared" si="25"/>
        <v>1839</v>
      </c>
      <c r="C854" s="10">
        <f t="shared" si="26"/>
        <v>844</v>
      </c>
      <c r="D854" s="45">
        <f t="shared" si="27"/>
        <v>356580</v>
      </c>
    </row>
    <row r="855" spans="1:4" x14ac:dyDescent="0.3">
      <c r="A855" s="42">
        <v>840</v>
      </c>
      <c r="B855" s="43">
        <f t="shared" si="25"/>
        <v>1840</v>
      </c>
      <c r="C855" s="10">
        <f t="shared" si="26"/>
        <v>845</v>
      </c>
      <c r="D855" s="45">
        <f t="shared" si="27"/>
        <v>357425</v>
      </c>
    </row>
    <row r="856" spans="1:4" x14ac:dyDescent="0.3">
      <c r="A856" s="42">
        <v>841</v>
      </c>
      <c r="B856" s="43">
        <f t="shared" si="25"/>
        <v>1841</v>
      </c>
      <c r="C856" s="10">
        <f t="shared" si="26"/>
        <v>846</v>
      </c>
      <c r="D856" s="45">
        <f t="shared" si="27"/>
        <v>358271</v>
      </c>
    </row>
    <row r="857" spans="1:4" x14ac:dyDescent="0.3">
      <c r="A857" s="42">
        <v>842</v>
      </c>
      <c r="B857" s="43">
        <f t="shared" si="25"/>
        <v>1842</v>
      </c>
      <c r="C857" s="10">
        <f t="shared" si="26"/>
        <v>847</v>
      </c>
      <c r="D857" s="45">
        <f t="shared" si="27"/>
        <v>359118</v>
      </c>
    </row>
    <row r="858" spans="1:4" x14ac:dyDescent="0.3">
      <c r="A858" s="42">
        <v>843</v>
      </c>
      <c r="B858" s="43">
        <f t="shared" si="25"/>
        <v>1843</v>
      </c>
      <c r="C858" s="10">
        <f t="shared" si="26"/>
        <v>848</v>
      </c>
      <c r="D858" s="45">
        <f t="shared" si="27"/>
        <v>359966</v>
      </c>
    </row>
    <row r="859" spans="1:4" x14ac:dyDescent="0.3">
      <c r="A859" s="42">
        <v>844</v>
      </c>
      <c r="B859" s="43">
        <f t="shared" si="25"/>
        <v>1844</v>
      </c>
      <c r="C859" s="10">
        <f t="shared" si="26"/>
        <v>849</v>
      </c>
      <c r="D859" s="45">
        <f t="shared" si="27"/>
        <v>360815</v>
      </c>
    </row>
    <row r="860" spans="1:4" x14ac:dyDescent="0.3">
      <c r="A860" s="42">
        <v>845</v>
      </c>
      <c r="B860" s="43">
        <f t="shared" si="25"/>
        <v>1845</v>
      </c>
      <c r="C860" s="10">
        <f t="shared" si="26"/>
        <v>850</v>
      </c>
      <c r="D860" s="45">
        <f t="shared" si="27"/>
        <v>361665</v>
      </c>
    </row>
    <row r="861" spans="1:4" x14ac:dyDescent="0.3">
      <c r="A861" s="42">
        <v>846</v>
      </c>
      <c r="B861" s="43">
        <f t="shared" si="25"/>
        <v>1846</v>
      </c>
      <c r="C861" s="10">
        <f t="shared" si="26"/>
        <v>851</v>
      </c>
      <c r="D861" s="45">
        <f t="shared" si="27"/>
        <v>362516</v>
      </c>
    </row>
    <row r="862" spans="1:4" x14ac:dyDescent="0.3">
      <c r="A862" s="42">
        <v>847</v>
      </c>
      <c r="B862" s="43">
        <f t="shared" si="25"/>
        <v>1847</v>
      </c>
      <c r="C862" s="10">
        <f t="shared" si="26"/>
        <v>852</v>
      </c>
      <c r="D862" s="45">
        <f t="shared" si="27"/>
        <v>363368</v>
      </c>
    </row>
    <row r="863" spans="1:4" x14ac:dyDescent="0.3">
      <c r="A863" s="42">
        <v>848</v>
      </c>
      <c r="B863" s="43">
        <f t="shared" si="25"/>
        <v>1848</v>
      </c>
      <c r="C863" s="10">
        <f t="shared" si="26"/>
        <v>853</v>
      </c>
      <c r="D863" s="45">
        <f t="shared" si="27"/>
        <v>364221</v>
      </c>
    </row>
    <row r="864" spans="1:4" x14ac:dyDescent="0.3">
      <c r="A864" s="42">
        <v>849</v>
      </c>
      <c r="B864" s="43">
        <f t="shared" si="25"/>
        <v>1849</v>
      </c>
      <c r="C864" s="10">
        <f t="shared" si="26"/>
        <v>854</v>
      </c>
      <c r="D864" s="45">
        <f t="shared" si="27"/>
        <v>365075</v>
      </c>
    </row>
    <row r="865" spans="1:4" x14ac:dyDescent="0.3">
      <c r="A865" s="42">
        <v>850</v>
      </c>
      <c r="B865" s="43">
        <f t="shared" si="25"/>
        <v>1850</v>
      </c>
      <c r="C865" s="10">
        <f t="shared" si="26"/>
        <v>855</v>
      </c>
      <c r="D865" s="45">
        <f t="shared" si="27"/>
        <v>365930</v>
      </c>
    </row>
    <row r="866" spans="1:4" x14ac:dyDescent="0.3">
      <c r="A866" s="42">
        <v>851</v>
      </c>
      <c r="B866" s="43">
        <f t="shared" si="25"/>
        <v>1851</v>
      </c>
      <c r="C866" s="10">
        <f t="shared" si="26"/>
        <v>856</v>
      </c>
      <c r="D866" s="45">
        <f t="shared" si="27"/>
        <v>366786</v>
      </c>
    </row>
    <row r="867" spans="1:4" x14ac:dyDescent="0.3">
      <c r="A867" s="42">
        <v>852</v>
      </c>
      <c r="B867" s="43">
        <f t="shared" si="25"/>
        <v>1852</v>
      </c>
      <c r="C867" s="10">
        <f t="shared" si="26"/>
        <v>857</v>
      </c>
      <c r="D867" s="45">
        <f t="shared" si="27"/>
        <v>367643</v>
      </c>
    </row>
    <row r="868" spans="1:4" x14ac:dyDescent="0.3">
      <c r="A868" s="42">
        <v>853</v>
      </c>
      <c r="B868" s="43">
        <f t="shared" si="25"/>
        <v>1853</v>
      </c>
      <c r="C868" s="10">
        <f t="shared" si="26"/>
        <v>858</v>
      </c>
      <c r="D868" s="45">
        <f t="shared" si="27"/>
        <v>368501</v>
      </c>
    </row>
    <row r="869" spans="1:4" x14ac:dyDescent="0.3">
      <c r="A869" s="42">
        <v>854</v>
      </c>
      <c r="B869" s="43">
        <f t="shared" si="25"/>
        <v>1854</v>
      </c>
      <c r="C869" s="10">
        <f t="shared" si="26"/>
        <v>859</v>
      </c>
      <c r="D869" s="45">
        <f t="shared" si="27"/>
        <v>369360</v>
      </c>
    </row>
    <row r="870" spans="1:4" x14ac:dyDescent="0.3">
      <c r="A870" s="42">
        <v>855</v>
      </c>
      <c r="B870" s="43">
        <f t="shared" ref="B870:B933" si="28">B869+R$8</f>
        <v>1855</v>
      </c>
      <c r="C870" s="10">
        <f t="shared" ref="C870:C933" si="29">C869+R$7</f>
        <v>860</v>
      </c>
      <c r="D870" s="45">
        <f t="shared" ref="D870:D933" si="30">D869+C870</f>
        <v>370220</v>
      </c>
    </row>
    <row r="871" spans="1:4" x14ac:dyDescent="0.3">
      <c r="A871" s="42">
        <v>856</v>
      </c>
      <c r="B871" s="43">
        <f t="shared" si="28"/>
        <v>1856</v>
      </c>
      <c r="C871" s="10">
        <f t="shared" si="29"/>
        <v>861</v>
      </c>
      <c r="D871" s="45">
        <f t="shared" si="30"/>
        <v>371081</v>
      </c>
    </row>
    <row r="872" spans="1:4" x14ac:dyDescent="0.3">
      <c r="A872" s="42">
        <v>857</v>
      </c>
      <c r="B872" s="43">
        <f t="shared" si="28"/>
        <v>1857</v>
      </c>
      <c r="C872" s="10">
        <f t="shared" si="29"/>
        <v>862</v>
      </c>
      <c r="D872" s="45">
        <f t="shared" si="30"/>
        <v>371943</v>
      </c>
    </row>
    <row r="873" spans="1:4" x14ac:dyDescent="0.3">
      <c r="A873" s="42">
        <v>858</v>
      </c>
      <c r="B873" s="43">
        <f t="shared" si="28"/>
        <v>1858</v>
      </c>
      <c r="C873" s="10">
        <f t="shared" si="29"/>
        <v>863</v>
      </c>
      <c r="D873" s="45">
        <f t="shared" si="30"/>
        <v>372806</v>
      </c>
    </row>
    <row r="874" spans="1:4" x14ac:dyDescent="0.3">
      <c r="A874" s="42">
        <v>859</v>
      </c>
      <c r="B874" s="43">
        <f t="shared" si="28"/>
        <v>1859</v>
      </c>
      <c r="C874" s="10">
        <f t="shared" si="29"/>
        <v>864</v>
      </c>
      <c r="D874" s="45">
        <f t="shared" si="30"/>
        <v>373670</v>
      </c>
    </row>
    <row r="875" spans="1:4" x14ac:dyDescent="0.3">
      <c r="A875" s="42">
        <v>860</v>
      </c>
      <c r="B875" s="43">
        <f t="shared" si="28"/>
        <v>1860</v>
      </c>
      <c r="C875" s="10">
        <f t="shared" si="29"/>
        <v>865</v>
      </c>
      <c r="D875" s="45">
        <f t="shared" si="30"/>
        <v>374535</v>
      </c>
    </row>
    <row r="876" spans="1:4" x14ac:dyDescent="0.3">
      <c r="A876" s="42">
        <v>861</v>
      </c>
      <c r="B876" s="43">
        <f t="shared" si="28"/>
        <v>1861</v>
      </c>
      <c r="C876" s="10">
        <f t="shared" si="29"/>
        <v>866</v>
      </c>
      <c r="D876" s="45">
        <f t="shared" si="30"/>
        <v>375401</v>
      </c>
    </row>
    <row r="877" spans="1:4" x14ac:dyDescent="0.3">
      <c r="A877" s="42">
        <v>862</v>
      </c>
      <c r="B877" s="43">
        <f t="shared" si="28"/>
        <v>1862</v>
      </c>
      <c r="C877" s="10">
        <f t="shared" si="29"/>
        <v>867</v>
      </c>
      <c r="D877" s="45">
        <f t="shared" si="30"/>
        <v>376268</v>
      </c>
    </row>
    <row r="878" spans="1:4" x14ac:dyDescent="0.3">
      <c r="A878" s="42">
        <v>863</v>
      </c>
      <c r="B878" s="43">
        <f t="shared" si="28"/>
        <v>1863</v>
      </c>
      <c r="C878" s="10">
        <f t="shared" si="29"/>
        <v>868</v>
      </c>
      <c r="D878" s="45">
        <f t="shared" si="30"/>
        <v>377136</v>
      </c>
    </row>
    <row r="879" spans="1:4" x14ac:dyDescent="0.3">
      <c r="A879" s="42">
        <v>864</v>
      </c>
      <c r="B879" s="43">
        <f t="shared" si="28"/>
        <v>1864</v>
      </c>
      <c r="C879" s="10">
        <f t="shared" si="29"/>
        <v>869</v>
      </c>
      <c r="D879" s="45">
        <f t="shared" si="30"/>
        <v>378005</v>
      </c>
    </row>
    <row r="880" spans="1:4" x14ac:dyDescent="0.3">
      <c r="A880" s="42">
        <v>865</v>
      </c>
      <c r="B880" s="43">
        <f t="shared" si="28"/>
        <v>1865</v>
      </c>
      <c r="C880" s="10">
        <f t="shared" si="29"/>
        <v>870</v>
      </c>
      <c r="D880" s="45">
        <f t="shared" si="30"/>
        <v>378875</v>
      </c>
    </row>
    <row r="881" spans="1:4" x14ac:dyDescent="0.3">
      <c r="A881" s="42">
        <v>866</v>
      </c>
      <c r="B881" s="43">
        <f t="shared" si="28"/>
        <v>1866</v>
      </c>
      <c r="C881" s="10">
        <f t="shared" si="29"/>
        <v>871</v>
      </c>
      <c r="D881" s="45">
        <f t="shared" si="30"/>
        <v>379746</v>
      </c>
    </row>
    <row r="882" spans="1:4" x14ac:dyDescent="0.3">
      <c r="A882" s="42">
        <v>867</v>
      </c>
      <c r="B882" s="43">
        <f t="shared" si="28"/>
        <v>1867</v>
      </c>
      <c r="C882" s="10">
        <f t="shared" si="29"/>
        <v>872</v>
      </c>
      <c r="D882" s="45">
        <f t="shared" si="30"/>
        <v>380618</v>
      </c>
    </row>
    <row r="883" spans="1:4" x14ac:dyDescent="0.3">
      <c r="A883" s="42">
        <v>868</v>
      </c>
      <c r="B883" s="43">
        <f t="shared" si="28"/>
        <v>1868</v>
      </c>
      <c r="C883" s="10">
        <f t="shared" si="29"/>
        <v>873</v>
      </c>
      <c r="D883" s="45">
        <f t="shared" si="30"/>
        <v>381491</v>
      </c>
    </row>
    <row r="884" spans="1:4" x14ac:dyDescent="0.3">
      <c r="A884" s="42">
        <v>869</v>
      </c>
      <c r="B884" s="43">
        <f t="shared" si="28"/>
        <v>1869</v>
      </c>
      <c r="C884" s="10">
        <f t="shared" si="29"/>
        <v>874</v>
      </c>
      <c r="D884" s="45">
        <f t="shared" si="30"/>
        <v>382365</v>
      </c>
    </row>
    <row r="885" spans="1:4" x14ac:dyDescent="0.3">
      <c r="A885" s="42">
        <v>870</v>
      </c>
      <c r="B885" s="43">
        <f t="shared" si="28"/>
        <v>1870</v>
      </c>
      <c r="C885" s="10">
        <f t="shared" si="29"/>
        <v>875</v>
      </c>
      <c r="D885" s="45">
        <f t="shared" si="30"/>
        <v>383240</v>
      </c>
    </row>
    <row r="886" spans="1:4" x14ac:dyDescent="0.3">
      <c r="A886" s="42">
        <v>871</v>
      </c>
      <c r="B886" s="43">
        <f t="shared" si="28"/>
        <v>1871</v>
      </c>
      <c r="C886" s="10">
        <f t="shared" si="29"/>
        <v>876</v>
      </c>
      <c r="D886" s="45">
        <f t="shared" si="30"/>
        <v>384116</v>
      </c>
    </row>
    <row r="887" spans="1:4" x14ac:dyDescent="0.3">
      <c r="A887" s="42">
        <v>872</v>
      </c>
      <c r="B887" s="43">
        <f t="shared" si="28"/>
        <v>1872</v>
      </c>
      <c r="C887" s="10">
        <f t="shared" si="29"/>
        <v>877</v>
      </c>
      <c r="D887" s="45">
        <f t="shared" si="30"/>
        <v>384993</v>
      </c>
    </row>
    <row r="888" spans="1:4" x14ac:dyDescent="0.3">
      <c r="A888" s="42">
        <v>873</v>
      </c>
      <c r="B888" s="43">
        <f t="shared" si="28"/>
        <v>1873</v>
      </c>
      <c r="C888" s="10">
        <f t="shared" si="29"/>
        <v>878</v>
      </c>
      <c r="D888" s="45">
        <f t="shared" si="30"/>
        <v>385871</v>
      </c>
    </row>
    <row r="889" spans="1:4" x14ac:dyDescent="0.3">
      <c r="A889" s="42">
        <v>874</v>
      </c>
      <c r="B889" s="43">
        <f t="shared" si="28"/>
        <v>1874</v>
      </c>
      <c r="C889" s="10">
        <f t="shared" si="29"/>
        <v>879</v>
      </c>
      <c r="D889" s="45">
        <f t="shared" si="30"/>
        <v>386750</v>
      </c>
    </row>
    <row r="890" spans="1:4" x14ac:dyDescent="0.3">
      <c r="A890" s="42">
        <v>875</v>
      </c>
      <c r="B890" s="43">
        <f t="shared" si="28"/>
        <v>1875</v>
      </c>
      <c r="C890" s="10">
        <f t="shared" si="29"/>
        <v>880</v>
      </c>
      <c r="D890" s="45">
        <f t="shared" si="30"/>
        <v>387630</v>
      </c>
    </row>
    <row r="891" spans="1:4" x14ac:dyDescent="0.3">
      <c r="A891" s="42">
        <v>876</v>
      </c>
      <c r="B891" s="43">
        <f t="shared" si="28"/>
        <v>1876</v>
      </c>
      <c r="C891" s="10">
        <f t="shared" si="29"/>
        <v>881</v>
      </c>
      <c r="D891" s="45">
        <f t="shared" si="30"/>
        <v>388511</v>
      </c>
    </row>
    <row r="892" spans="1:4" x14ac:dyDescent="0.3">
      <c r="A892" s="42">
        <v>877</v>
      </c>
      <c r="B892" s="43">
        <f t="shared" si="28"/>
        <v>1877</v>
      </c>
      <c r="C892" s="10">
        <f t="shared" si="29"/>
        <v>882</v>
      </c>
      <c r="D892" s="45">
        <f t="shared" si="30"/>
        <v>389393</v>
      </c>
    </row>
    <row r="893" spans="1:4" x14ac:dyDescent="0.3">
      <c r="A893" s="42">
        <v>878</v>
      </c>
      <c r="B893" s="43">
        <f t="shared" si="28"/>
        <v>1878</v>
      </c>
      <c r="C893" s="10">
        <f t="shared" si="29"/>
        <v>883</v>
      </c>
      <c r="D893" s="45">
        <f t="shared" si="30"/>
        <v>390276</v>
      </c>
    </row>
    <row r="894" spans="1:4" x14ac:dyDescent="0.3">
      <c r="A894" s="42">
        <v>879</v>
      </c>
      <c r="B894" s="43">
        <f t="shared" si="28"/>
        <v>1879</v>
      </c>
      <c r="C894" s="10">
        <f t="shared" si="29"/>
        <v>884</v>
      </c>
      <c r="D894" s="45">
        <f t="shared" si="30"/>
        <v>391160</v>
      </c>
    </row>
    <row r="895" spans="1:4" x14ac:dyDescent="0.3">
      <c r="A895" s="42">
        <v>880</v>
      </c>
      <c r="B895" s="43">
        <f t="shared" si="28"/>
        <v>1880</v>
      </c>
      <c r="C895" s="10">
        <f t="shared" si="29"/>
        <v>885</v>
      </c>
      <c r="D895" s="45">
        <f t="shared" si="30"/>
        <v>392045</v>
      </c>
    </row>
    <row r="896" spans="1:4" x14ac:dyDescent="0.3">
      <c r="A896" s="42">
        <v>881</v>
      </c>
      <c r="B896" s="43">
        <f t="shared" si="28"/>
        <v>1881</v>
      </c>
      <c r="C896" s="10">
        <f t="shared" si="29"/>
        <v>886</v>
      </c>
      <c r="D896" s="45">
        <f t="shared" si="30"/>
        <v>392931</v>
      </c>
    </row>
    <row r="897" spans="1:4" x14ac:dyDescent="0.3">
      <c r="A897" s="42">
        <v>882</v>
      </c>
      <c r="B897" s="43">
        <f t="shared" si="28"/>
        <v>1882</v>
      </c>
      <c r="C897" s="10">
        <f t="shared" si="29"/>
        <v>887</v>
      </c>
      <c r="D897" s="45">
        <f t="shared" si="30"/>
        <v>393818</v>
      </c>
    </row>
    <row r="898" spans="1:4" x14ac:dyDescent="0.3">
      <c r="A898" s="42">
        <v>883</v>
      </c>
      <c r="B898" s="43">
        <f t="shared" si="28"/>
        <v>1883</v>
      </c>
      <c r="C898" s="10">
        <f t="shared" si="29"/>
        <v>888</v>
      </c>
      <c r="D898" s="45">
        <f t="shared" si="30"/>
        <v>394706</v>
      </c>
    </row>
    <row r="899" spans="1:4" x14ac:dyDescent="0.3">
      <c r="A899" s="42">
        <v>884</v>
      </c>
      <c r="B899" s="43">
        <f t="shared" si="28"/>
        <v>1884</v>
      </c>
      <c r="C899" s="10">
        <f t="shared" si="29"/>
        <v>889</v>
      </c>
      <c r="D899" s="45">
        <f t="shared" si="30"/>
        <v>395595</v>
      </c>
    </row>
    <row r="900" spans="1:4" x14ac:dyDescent="0.3">
      <c r="A900" s="42">
        <v>885</v>
      </c>
      <c r="B900" s="43">
        <f t="shared" si="28"/>
        <v>1885</v>
      </c>
      <c r="C900" s="10">
        <f t="shared" si="29"/>
        <v>890</v>
      </c>
      <c r="D900" s="45">
        <f t="shared" si="30"/>
        <v>396485</v>
      </c>
    </row>
    <row r="901" spans="1:4" x14ac:dyDescent="0.3">
      <c r="A901" s="42">
        <v>886</v>
      </c>
      <c r="B901" s="43">
        <f t="shared" si="28"/>
        <v>1886</v>
      </c>
      <c r="C901" s="10">
        <f t="shared" si="29"/>
        <v>891</v>
      </c>
      <c r="D901" s="45">
        <f t="shared" si="30"/>
        <v>397376</v>
      </c>
    </row>
    <row r="902" spans="1:4" x14ac:dyDescent="0.3">
      <c r="A902" s="42">
        <v>887</v>
      </c>
      <c r="B902" s="43">
        <f t="shared" si="28"/>
        <v>1887</v>
      </c>
      <c r="C902" s="10">
        <f t="shared" si="29"/>
        <v>892</v>
      </c>
      <c r="D902" s="45">
        <f t="shared" si="30"/>
        <v>398268</v>
      </c>
    </row>
    <row r="903" spans="1:4" x14ac:dyDescent="0.3">
      <c r="A903" s="42">
        <v>888</v>
      </c>
      <c r="B903" s="43">
        <f t="shared" si="28"/>
        <v>1888</v>
      </c>
      <c r="C903" s="10">
        <f t="shared" si="29"/>
        <v>893</v>
      </c>
      <c r="D903" s="45">
        <f t="shared" si="30"/>
        <v>399161</v>
      </c>
    </row>
    <row r="904" spans="1:4" x14ac:dyDescent="0.3">
      <c r="A904" s="42">
        <v>889</v>
      </c>
      <c r="B904" s="43">
        <f t="shared" si="28"/>
        <v>1889</v>
      </c>
      <c r="C904" s="10">
        <f t="shared" si="29"/>
        <v>894</v>
      </c>
      <c r="D904" s="45">
        <f t="shared" si="30"/>
        <v>400055</v>
      </c>
    </row>
    <row r="905" spans="1:4" x14ac:dyDescent="0.3">
      <c r="A905" s="42">
        <v>890</v>
      </c>
      <c r="B905" s="43">
        <f t="shared" si="28"/>
        <v>1890</v>
      </c>
      <c r="C905" s="10">
        <f t="shared" si="29"/>
        <v>895</v>
      </c>
      <c r="D905" s="45">
        <f t="shared" si="30"/>
        <v>400950</v>
      </c>
    </row>
    <row r="906" spans="1:4" x14ac:dyDescent="0.3">
      <c r="A906" s="42">
        <v>891</v>
      </c>
      <c r="B906" s="43">
        <f t="shared" si="28"/>
        <v>1891</v>
      </c>
      <c r="C906" s="10">
        <f t="shared" si="29"/>
        <v>896</v>
      </c>
      <c r="D906" s="45">
        <f t="shared" si="30"/>
        <v>401846</v>
      </c>
    </row>
    <row r="907" spans="1:4" x14ac:dyDescent="0.3">
      <c r="A907" s="42">
        <v>892</v>
      </c>
      <c r="B907" s="43">
        <f t="shared" si="28"/>
        <v>1892</v>
      </c>
      <c r="C907" s="10">
        <f t="shared" si="29"/>
        <v>897</v>
      </c>
      <c r="D907" s="45">
        <f t="shared" si="30"/>
        <v>402743</v>
      </c>
    </row>
    <row r="908" spans="1:4" x14ac:dyDescent="0.3">
      <c r="A908" s="42">
        <v>893</v>
      </c>
      <c r="B908" s="43">
        <f t="shared" si="28"/>
        <v>1893</v>
      </c>
      <c r="C908" s="10">
        <f t="shared" si="29"/>
        <v>898</v>
      </c>
      <c r="D908" s="45">
        <f t="shared" si="30"/>
        <v>403641</v>
      </c>
    </row>
    <row r="909" spans="1:4" x14ac:dyDescent="0.3">
      <c r="A909" s="42">
        <v>894</v>
      </c>
      <c r="B909" s="43">
        <f t="shared" si="28"/>
        <v>1894</v>
      </c>
      <c r="C909" s="10">
        <f t="shared" si="29"/>
        <v>899</v>
      </c>
      <c r="D909" s="45">
        <f t="shared" si="30"/>
        <v>404540</v>
      </c>
    </row>
    <row r="910" spans="1:4" x14ac:dyDescent="0.3">
      <c r="A910" s="42">
        <v>895</v>
      </c>
      <c r="B910" s="43">
        <f t="shared" si="28"/>
        <v>1895</v>
      </c>
      <c r="C910" s="10">
        <f t="shared" si="29"/>
        <v>900</v>
      </c>
      <c r="D910" s="45">
        <f t="shared" si="30"/>
        <v>405440</v>
      </c>
    </row>
    <row r="911" spans="1:4" x14ac:dyDescent="0.3">
      <c r="A911" s="42">
        <v>896</v>
      </c>
      <c r="B911" s="43">
        <f t="shared" si="28"/>
        <v>1896</v>
      </c>
      <c r="C911" s="10">
        <f t="shared" si="29"/>
        <v>901</v>
      </c>
      <c r="D911" s="45">
        <f t="shared" si="30"/>
        <v>406341</v>
      </c>
    </row>
    <row r="912" spans="1:4" x14ac:dyDescent="0.3">
      <c r="A912" s="42">
        <v>897</v>
      </c>
      <c r="B912" s="43">
        <f t="shared" si="28"/>
        <v>1897</v>
      </c>
      <c r="C912" s="10">
        <f t="shared" si="29"/>
        <v>902</v>
      </c>
      <c r="D912" s="45">
        <f t="shared" si="30"/>
        <v>407243</v>
      </c>
    </row>
    <row r="913" spans="1:4" x14ac:dyDescent="0.3">
      <c r="A913" s="42">
        <v>898</v>
      </c>
      <c r="B913" s="43">
        <f t="shared" si="28"/>
        <v>1898</v>
      </c>
      <c r="C913" s="10">
        <f t="shared" si="29"/>
        <v>903</v>
      </c>
      <c r="D913" s="45">
        <f t="shared" si="30"/>
        <v>408146</v>
      </c>
    </row>
    <row r="914" spans="1:4" x14ac:dyDescent="0.3">
      <c r="A914" s="42">
        <v>899</v>
      </c>
      <c r="B914" s="43">
        <f t="shared" si="28"/>
        <v>1899</v>
      </c>
      <c r="C914" s="10">
        <f t="shared" si="29"/>
        <v>904</v>
      </c>
      <c r="D914" s="45">
        <f t="shared" si="30"/>
        <v>409050</v>
      </c>
    </row>
    <row r="915" spans="1:4" x14ac:dyDescent="0.3">
      <c r="A915" s="42">
        <v>900</v>
      </c>
      <c r="B915" s="43">
        <f t="shared" si="28"/>
        <v>1900</v>
      </c>
      <c r="C915" s="10">
        <f t="shared" si="29"/>
        <v>905</v>
      </c>
      <c r="D915" s="45">
        <f t="shared" si="30"/>
        <v>409955</v>
      </c>
    </row>
    <row r="916" spans="1:4" x14ac:dyDescent="0.3">
      <c r="A916" s="42">
        <v>901</v>
      </c>
      <c r="B916" s="43">
        <f t="shared" si="28"/>
        <v>1901</v>
      </c>
      <c r="C916" s="10">
        <f t="shared" si="29"/>
        <v>906</v>
      </c>
      <c r="D916" s="45">
        <f t="shared" si="30"/>
        <v>410861</v>
      </c>
    </row>
    <row r="917" spans="1:4" x14ac:dyDescent="0.3">
      <c r="A917" s="42">
        <v>902</v>
      </c>
      <c r="B917" s="43">
        <f t="shared" si="28"/>
        <v>1902</v>
      </c>
      <c r="C917" s="10">
        <f t="shared" si="29"/>
        <v>907</v>
      </c>
      <c r="D917" s="45">
        <f t="shared" si="30"/>
        <v>411768</v>
      </c>
    </row>
    <row r="918" spans="1:4" x14ac:dyDescent="0.3">
      <c r="A918" s="42">
        <v>903</v>
      </c>
      <c r="B918" s="43">
        <f t="shared" si="28"/>
        <v>1903</v>
      </c>
      <c r="C918" s="10">
        <f t="shared" si="29"/>
        <v>908</v>
      </c>
      <c r="D918" s="45">
        <f t="shared" si="30"/>
        <v>412676</v>
      </c>
    </row>
    <row r="919" spans="1:4" x14ac:dyDescent="0.3">
      <c r="A919" s="42">
        <v>904</v>
      </c>
      <c r="B919" s="43">
        <f t="shared" si="28"/>
        <v>1904</v>
      </c>
      <c r="C919" s="10">
        <f t="shared" si="29"/>
        <v>909</v>
      </c>
      <c r="D919" s="45">
        <f t="shared" si="30"/>
        <v>413585</v>
      </c>
    </row>
    <row r="920" spans="1:4" x14ac:dyDescent="0.3">
      <c r="A920" s="42">
        <v>905</v>
      </c>
      <c r="B920" s="43">
        <f t="shared" si="28"/>
        <v>1905</v>
      </c>
      <c r="C920" s="10">
        <f t="shared" si="29"/>
        <v>910</v>
      </c>
      <c r="D920" s="45">
        <f t="shared" si="30"/>
        <v>414495</v>
      </c>
    </row>
    <row r="921" spans="1:4" x14ac:dyDescent="0.3">
      <c r="A921" s="42">
        <v>906</v>
      </c>
      <c r="B921" s="43">
        <f t="shared" si="28"/>
        <v>1906</v>
      </c>
      <c r="C921" s="10">
        <f t="shared" si="29"/>
        <v>911</v>
      </c>
      <c r="D921" s="45">
        <f t="shared" si="30"/>
        <v>415406</v>
      </c>
    </row>
    <row r="922" spans="1:4" x14ac:dyDescent="0.3">
      <c r="A922" s="42">
        <v>907</v>
      </c>
      <c r="B922" s="43">
        <f t="shared" si="28"/>
        <v>1907</v>
      </c>
      <c r="C922" s="10">
        <f t="shared" si="29"/>
        <v>912</v>
      </c>
      <c r="D922" s="45">
        <f t="shared" si="30"/>
        <v>416318</v>
      </c>
    </row>
    <row r="923" spans="1:4" x14ac:dyDescent="0.3">
      <c r="A923" s="42">
        <v>908</v>
      </c>
      <c r="B923" s="43">
        <f t="shared" si="28"/>
        <v>1908</v>
      </c>
      <c r="C923" s="10">
        <f t="shared" si="29"/>
        <v>913</v>
      </c>
      <c r="D923" s="45">
        <f t="shared" si="30"/>
        <v>417231</v>
      </c>
    </row>
    <row r="924" spans="1:4" x14ac:dyDescent="0.3">
      <c r="A924" s="42">
        <v>909</v>
      </c>
      <c r="B924" s="43">
        <f t="shared" si="28"/>
        <v>1909</v>
      </c>
      <c r="C924" s="10">
        <f t="shared" si="29"/>
        <v>914</v>
      </c>
      <c r="D924" s="45">
        <f t="shared" si="30"/>
        <v>418145</v>
      </c>
    </row>
    <row r="925" spans="1:4" x14ac:dyDescent="0.3">
      <c r="A925" s="42">
        <v>910</v>
      </c>
      <c r="B925" s="43">
        <f t="shared" si="28"/>
        <v>1910</v>
      </c>
      <c r="C925" s="10">
        <f t="shared" si="29"/>
        <v>915</v>
      </c>
      <c r="D925" s="45">
        <f t="shared" si="30"/>
        <v>419060</v>
      </c>
    </row>
    <row r="926" spans="1:4" x14ac:dyDescent="0.3">
      <c r="A926" s="42">
        <v>911</v>
      </c>
      <c r="B926" s="43">
        <f t="shared" si="28"/>
        <v>1911</v>
      </c>
      <c r="C926" s="10">
        <f t="shared" si="29"/>
        <v>916</v>
      </c>
      <c r="D926" s="45">
        <f t="shared" si="30"/>
        <v>419976</v>
      </c>
    </row>
    <row r="927" spans="1:4" x14ac:dyDescent="0.3">
      <c r="A927" s="42">
        <v>912</v>
      </c>
      <c r="B927" s="43">
        <f t="shared" si="28"/>
        <v>1912</v>
      </c>
      <c r="C927" s="10">
        <f t="shared" si="29"/>
        <v>917</v>
      </c>
      <c r="D927" s="45">
        <f t="shared" si="30"/>
        <v>420893</v>
      </c>
    </row>
    <row r="928" spans="1:4" x14ac:dyDescent="0.3">
      <c r="A928" s="42">
        <v>913</v>
      </c>
      <c r="B928" s="43">
        <f t="shared" si="28"/>
        <v>1913</v>
      </c>
      <c r="C928" s="10">
        <f t="shared" si="29"/>
        <v>918</v>
      </c>
      <c r="D928" s="45">
        <f t="shared" si="30"/>
        <v>421811</v>
      </c>
    </row>
    <row r="929" spans="1:4" x14ac:dyDescent="0.3">
      <c r="A929" s="42">
        <v>914</v>
      </c>
      <c r="B929" s="43">
        <f t="shared" si="28"/>
        <v>1914</v>
      </c>
      <c r="C929" s="10">
        <f t="shared" si="29"/>
        <v>919</v>
      </c>
      <c r="D929" s="45">
        <f t="shared" si="30"/>
        <v>422730</v>
      </c>
    </row>
    <row r="930" spans="1:4" x14ac:dyDescent="0.3">
      <c r="A930" s="42">
        <v>915</v>
      </c>
      <c r="B930" s="43">
        <f t="shared" si="28"/>
        <v>1915</v>
      </c>
      <c r="C930" s="10">
        <f t="shared" si="29"/>
        <v>920</v>
      </c>
      <c r="D930" s="45">
        <f t="shared" si="30"/>
        <v>423650</v>
      </c>
    </row>
    <row r="931" spans="1:4" x14ac:dyDescent="0.3">
      <c r="A931" s="42">
        <v>916</v>
      </c>
      <c r="B931" s="43">
        <f t="shared" si="28"/>
        <v>1916</v>
      </c>
      <c r="C931" s="10">
        <f t="shared" si="29"/>
        <v>921</v>
      </c>
      <c r="D931" s="45">
        <f t="shared" si="30"/>
        <v>424571</v>
      </c>
    </row>
    <row r="932" spans="1:4" x14ac:dyDescent="0.3">
      <c r="A932" s="42">
        <v>917</v>
      </c>
      <c r="B932" s="43">
        <f t="shared" si="28"/>
        <v>1917</v>
      </c>
      <c r="C932" s="10">
        <f t="shared" si="29"/>
        <v>922</v>
      </c>
      <c r="D932" s="45">
        <f t="shared" si="30"/>
        <v>425493</v>
      </c>
    </row>
    <row r="933" spans="1:4" x14ac:dyDescent="0.3">
      <c r="A933" s="42">
        <v>918</v>
      </c>
      <c r="B933" s="43">
        <f t="shared" si="28"/>
        <v>1918</v>
      </c>
      <c r="C933" s="10">
        <f t="shared" si="29"/>
        <v>923</v>
      </c>
      <c r="D933" s="45">
        <f t="shared" si="30"/>
        <v>426416</v>
      </c>
    </row>
    <row r="934" spans="1:4" x14ac:dyDescent="0.3">
      <c r="A934" s="42">
        <v>919</v>
      </c>
      <c r="B934" s="43">
        <f t="shared" ref="B934:B997" si="31">B933+R$8</f>
        <v>1919</v>
      </c>
      <c r="C934" s="10">
        <f t="shared" ref="C934:C997" si="32">C933+R$7</f>
        <v>924</v>
      </c>
      <c r="D934" s="45">
        <f t="shared" ref="D934:D997" si="33">D933+C934</f>
        <v>427340</v>
      </c>
    </row>
    <row r="935" spans="1:4" x14ac:dyDescent="0.3">
      <c r="A935" s="42">
        <v>920</v>
      </c>
      <c r="B935" s="43">
        <f t="shared" si="31"/>
        <v>1920</v>
      </c>
      <c r="C935" s="10">
        <f t="shared" si="32"/>
        <v>925</v>
      </c>
      <c r="D935" s="45">
        <f t="shared" si="33"/>
        <v>428265</v>
      </c>
    </row>
    <row r="936" spans="1:4" x14ac:dyDescent="0.3">
      <c r="A936" s="42">
        <v>921</v>
      </c>
      <c r="B936" s="43">
        <f t="shared" si="31"/>
        <v>1921</v>
      </c>
      <c r="C936" s="10">
        <f t="shared" si="32"/>
        <v>926</v>
      </c>
      <c r="D936" s="45">
        <f t="shared" si="33"/>
        <v>429191</v>
      </c>
    </row>
    <row r="937" spans="1:4" x14ac:dyDescent="0.3">
      <c r="A937" s="42">
        <v>922</v>
      </c>
      <c r="B937" s="43">
        <f t="shared" si="31"/>
        <v>1922</v>
      </c>
      <c r="C937" s="10">
        <f t="shared" si="32"/>
        <v>927</v>
      </c>
      <c r="D937" s="45">
        <f t="shared" si="33"/>
        <v>430118</v>
      </c>
    </row>
    <row r="938" spans="1:4" x14ac:dyDescent="0.3">
      <c r="A938" s="42">
        <v>923</v>
      </c>
      <c r="B938" s="43">
        <f t="shared" si="31"/>
        <v>1923</v>
      </c>
      <c r="C938" s="10">
        <f t="shared" si="32"/>
        <v>928</v>
      </c>
      <c r="D938" s="45">
        <f t="shared" si="33"/>
        <v>431046</v>
      </c>
    </row>
    <row r="939" spans="1:4" x14ac:dyDescent="0.3">
      <c r="A939" s="42">
        <v>924</v>
      </c>
      <c r="B939" s="43">
        <f t="shared" si="31"/>
        <v>1924</v>
      </c>
      <c r="C939" s="10">
        <f t="shared" si="32"/>
        <v>929</v>
      </c>
      <c r="D939" s="45">
        <f t="shared" si="33"/>
        <v>431975</v>
      </c>
    </row>
    <row r="940" spans="1:4" x14ac:dyDescent="0.3">
      <c r="A940" s="42">
        <v>925</v>
      </c>
      <c r="B940" s="43">
        <f t="shared" si="31"/>
        <v>1925</v>
      </c>
      <c r="C940" s="10">
        <f t="shared" si="32"/>
        <v>930</v>
      </c>
      <c r="D940" s="45">
        <f t="shared" si="33"/>
        <v>432905</v>
      </c>
    </row>
    <row r="941" spans="1:4" x14ac:dyDescent="0.3">
      <c r="A941" s="42">
        <v>926</v>
      </c>
      <c r="B941" s="43">
        <f t="shared" si="31"/>
        <v>1926</v>
      </c>
      <c r="C941" s="10">
        <f t="shared" si="32"/>
        <v>931</v>
      </c>
      <c r="D941" s="45">
        <f t="shared" si="33"/>
        <v>433836</v>
      </c>
    </row>
    <row r="942" spans="1:4" x14ac:dyDescent="0.3">
      <c r="A942" s="42">
        <v>927</v>
      </c>
      <c r="B942" s="43">
        <f t="shared" si="31"/>
        <v>1927</v>
      </c>
      <c r="C942" s="10">
        <f t="shared" si="32"/>
        <v>932</v>
      </c>
      <c r="D942" s="45">
        <f t="shared" si="33"/>
        <v>434768</v>
      </c>
    </row>
    <row r="943" spans="1:4" x14ac:dyDescent="0.3">
      <c r="A943" s="42">
        <v>928</v>
      </c>
      <c r="B943" s="43">
        <f t="shared" si="31"/>
        <v>1928</v>
      </c>
      <c r="C943" s="10">
        <f t="shared" si="32"/>
        <v>933</v>
      </c>
      <c r="D943" s="45">
        <f t="shared" si="33"/>
        <v>435701</v>
      </c>
    </row>
    <row r="944" spans="1:4" x14ac:dyDescent="0.3">
      <c r="A944" s="42">
        <v>929</v>
      </c>
      <c r="B944" s="43">
        <f t="shared" si="31"/>
        <v>1929</v>
      </c>
      <c r="C944" s="10">
        <f t="shared" si="32"/>
        <v>934</v>
      </c>
      <c r="D944" s="45">
        <f t="shared" si="33"/>
        <v>436635</v>
      </c>
    </row>
    <row r="945" spans="1:4" x14ac:dyDescent="0.3">
      <c r="A945" s="42">
        <v>930</v>
      </c>
      <c r="B945" s="43">
        <f t="shared" si="31"/>
        <v>1930</v>
      </c>
      <c r="C945" s="10">
        <f t="shared" si="32"/>
        <v>935</v>
      </c>
      <c r="D945" s="45">
        <f t="shared" si="33"/>
        <v>437570</v>
      </c>
    </row>
    <row r="946" spans="1:4" x14ac:dyDescent="0.3">
      <c r="A946" s="42">
        <v>931</v>
      </c>
      <c r="B946" s="43">
        <f t="shared" si="31"/>
        <v>1931</v>
      </c>
      <c r="C946" s="10">
        <f t="shared" si="32"/>
        <v>936</v>
      </c>
      <c r="D946" s="45">
        <f t="shared" si="33"/>
        <v>438506</v>
      </c>
    </row>
    <row r="947" spans="1:4" x14ac:dyDescent="0.3">
      <c r="A947" s="42">
        <v>932</v>
      </c>
      <c r="B947" s="43">
        <f t="shared" si="31"/>
        <v>1932</v>
      </c>
      <c r="C947" s="10">
        <f t="shared" si="32"/>
        <v>937</v>
      </c>
      <c r="D947" s="45">
        <f t="shared" si="33"/>
        <v>439443</v>
      </c>
    </row>
    <row r="948" spans="1:4" x14ac:dyDescent="0.3">
      <c r="A948" s="42">
        <v>933</v>
      </c>
      <c r="B948" s="43">
        <f t="shared" si="31"/>
        <v>1933</v>
      </c>
      <c r="C948" s="10">
        <f t="shared" si="32"/>
        <v>938</v>
      </c>
      <c r="D948" s="45">
        <f t="shared" si="33"/>
        <v>440381</v>
      </c>
    </row>
    <row r="949" spans="1:4" x14ac:dyDescent="0.3">
      <c r="A949" s="42">
        <v>934</v>
      </c>
      <c r="B949" s="43">
        <f t="shared" si="31"/>
        <v>1934</v>
      </c>
      <c r="C949" s="10">
        <f t="shared" si="32"/>
        <v>939</v>
      </c>
      <c r="D949" s="45">
        <f t="shared" si="33"/>
        <v>441320</v>
      </c>
    </row>
    <row r="950" spans="1:4" x14ac:dyDescent="0.3">
      <c r="A950" s="42">
        <v>935</v>
      </c>
      <c r="B950" s="43">
        <f t="shared" si="31"/>
        <v>1935</v>
      </c>
      <c r="C950" s="10">
        <f t="shared" si="32"/>
        <v>940</v>
      </c>
      <c r="D950" s="45">
        <f t="shared" si="33"/>
        <v>442260</v>
      </c>
    </row>
    <row r="951" spans="1:4" x14ac:dyDescent="0.3">
      <c r="A951" s="42">
        <v>936</v>
      </c>
      <c r="B951" s="43">
        <f t="shared" si="31"/>
        <v>1936</v>
      </c>
      <c r="C951" s="10">
        <f t="shared" si="32"/>
        <v>941</v>
      </c>
      <c r="D951" s="45">
        <f t="shared" si="33"/>
        <v>443201</v>
      </c>
    </row>
    <row r="952" spans="1:4" x14ac:dyDescent="0.3">
      <c r="A952" s="42">
        <v>937</v>
      </c>
      <c r="B952" s="43">
        <f t="shared" si="31"/>
        <v>1937</v>
      </c>
      <c r="C952" s="10">
        <f t="shared" si="32"/>
        <v>942</v>
      </c>
      <c r="D952" s="45">
        <f t="shared" si="33"/>
        <v>444143</v>
      </c>
    </row>
    <row r="953" spans="1:4" x14ac:dyDescent="0.3">
      <c r="A953" s="42">
        <v>938</v>
      </c>
      <c r="B953" s="43">
        <f t="shared" si="31"/>
        <v>1938</v>
      </c>
      <c r="C953" s="10">
        <f t="shared" si="32"/>
        <v>943</v>
      </c>
      <c r="D953" s="45">
        <f t="shared" si="33"/>
        <v>445086</v>
      </c>
    </row>
    <row r="954" spans="1:4" x14ac:dyDescent="0.3">
      <c r="A954" s="42">
        <v>939</v>
      </c>
      <c r="B954" s="43">
        <f t="shared" si="31"/>
        <v>1939</v>
      </c>
      <c r="C954" s="10">
        <f t="shared" si="32"/>
        <v>944</v>
      </c>
      <c r="D954" s="45">
        <f t="shared" si="33"/>
        <v>446030</v>
      </c>
    </row>
    <row r="955" spans="1:4" x14ac:dyDescent="0.3">
      <c r="A955" s="42">
        <v>940</v>
      </c>
      <c r="B955" s="43">
        <f t="shared" si="31"/>
        <v>1940</v>
      </c>
      <c r="C955" s="10">
        <f t="shared" si="32"/>
        <v>945</v>
      </c>
      <c r="D955" s="45">
        <f t="shared" si="33"/>
        <v>446975</v>
      </c>
    </row>
    <row r="956" spans="1:4" x14ac:dyDescent="0.3">
      <c r="A956" s="42">
        <v>941</v>
      </c>
      <c r="B956" s="43">
        <f t="shared" si="31"/>
        <v>1941</v>
      </c>
      <c r="C956" s="10">
        <f t="shared" si="32"/>
        <v>946</v>
      </c>
      <c r="D956" s="45">
        <f t="shared" si="33"/>
        <v>447921</v>
      </c>
    </row>
    <row r="957" spans="1:4" x14ac:dyDescent="0.3">
      <c r="A957" s="42">
        <v>942</v>
      </c>
      <c r="B957" s="43">
        <f t="shared" si="31"/>
        <v>1942</v>
      </c>
      <c r="C957" s="10">
        <f t="shared" si="32"/>
        <v>947</v>
      </c>
      <c r="D957" s="45">
        <f t="shared" si="33"/>
        <v>448868</v>
      </c>
    </row>
    <row r="958" spans="1:4" x14ac:dyDescent="0.3">
      <c r="A958" s="42">
        <v>943</v>
      </c>
      <c r="B958" s="43">
        <f t="shared" si="31"/>
        <v>1943</v>
      </c>
      <c r="C958" s="10">
        <f t="shared" si="32"/>
        <v>948</v>
      </c>
      <c r="D958" s="45">
        <f t="shared" si="33"/>
        <v>449816</v>
      </c>
    </row>
    <row r="959" spans="1:4" x14ac:dyDescent="0.3">
      <c r="A959" s="42">
        <v>944</v>
      </c>
      <c r="B959" s="43">
        <f t="shared" si="31"/>
        <v>1944</v>
      </c>
      <c r="C959" s="10">
        <f t="shared" si="32"/>
        <v>949</v>
      </c>
      <c r="D959" s="45">
        <f t="shared" si="33"/>
        <v>450765</v>
      </c>
    </row>
    <row r="960" spans="1:4" x14ac:dyDescent="0.3">
      <c r="A960" s="42">
        <v>945</v>
      </c>
      <c r="B960" s="43">
        <f t="shared" si="31"/>
        <v>1945</v>
      </c>
      <c r="C960" s="10">
        <f t="shared" si="32"/>
        <v>950</v>
      </c>
      <c r="D960" s="45">
        <f t="shared" si="33"/>
        <v>451715</v>
      </c>
    </row>
    <row r="961" spans="1:4" x14ac:dyDescent="0.3">
      <c r="A961" s="42">
        <v>946</v>
      </c>
      <c r="B961" s="43">
        <f t="shared" si="31"/>
        <v>1946</v>
      </c>
      <c r="C961" s="10">
        <f t="shared" si="32"/>
        <v>951</v>
      </c>
      <c r="D961" s="45">
        <f t="shared" si="33"/>
        <v>452666</v>
      </c>
    </row>
    <row r="962" spans="1:4" x14ac:dyDescent="0.3">
      <c r="A962" s="42">
        <v>947</v>
      </c>
      <c r="B962" s="43">
        <f t="shared" si="31"/>
        <v>1947</v>
      </c>
      <c r="C962" s="10">
        <f t="shared" si="32"/>
        <v>952</v>
      </c>
      <c r="D962" s="45">
        <f t="shared" si="33"/>
        <v>453618</v>
      </c>
    </row>
    <row r="963" spans="1:4" x14ac:dyDescent="0.3">
      <c r="A963" s="42">
        <v>948</v>
      </c>
      <c r="B963" s="43">
        <f t="shared" si="31"/>
        <v>1948</v>
      </c>
      <c r="C963" s="10">
        <f t="shared" si="32"/>
        <v>953</v>
      </c>
      <c r="D963" s="45">
        <f t="shared" si="33"/>
        <v>454571</v>
      </c>
    </row>
    <row r="964" spans="1:4" x14ac:dyDescent="0.3">
      <c r="A964" s="42">
        <v>949</v>
      </c>
      <c r="B964" s="43">
        <f t="shared" si="31"/>
        <v>1949</v>
      </c>
      <c r="C964" s="10">
        <f t="shared" si="32"/>
        <v>954</v>
      </c>
      <c r="D964" s="45">
        <f t="shared" si="33"/>
        <v>455525</v>
      </c>
    </row>
    <row r="965" spans="1:4" x14ac:dyDescent="0.3">
      <c r="A965" s="42">
        <v>950</v>
      </c>
      <c r="B965" s="43">
        <f t="shared" si="31"/>
        <v>1950</v>
      </c>
      <c r="C965" s="10">
        <f t="shared" si="32"/>
        <v>955</v>
      </c>
      <c r="D965" s="45">
        <f t="shared" si="33"/>
        <v>456480</v>
      </c>
    </row>
    <row r="966" spans="1:4" x14ac:dyDescent="0.3">
      <c r="A966" s="42">
        <v>951</v>
      </c>
      <c r="B966" s="43">
        <f t="shared" si="31"/>
        <v>1951</v>
      </c>
      <c r="C966" s="10">
        <f t="shared" si="32"/>
        <v>956</v>
      </c>
      <c r="D966" s="45">
        <f t="shared" si="33"/>
        <v>457436</v>
      </c>
    </row>
    <row r="967" spans="1:4" x14ac:dyDescent="0.3">
      <c r="A967" s="42">
        <v>952</v>
      </c>
      <c r="B967" s="43">
        <f t="shared" si="31"/>
        <v>1952</v>
      </c>
      <c r="C967" s="10">
        <f t="shared" si="32"/>
        <v>957</v>
      </c>
      <c r="D967" s="45">
        <f t="shared" si="33"/>
        <v>458393</v>
      </c>
    </row>
    <row r="968" spans="1:4" x14ac:dyDescent="0.3">
      <c r="A968" s="42">
        <v>953</v>
      </c>
      <c r="B968" s="43">
        <f t="shared" si="31"/>
        <v>1953</v>
      </c>
      <c r="C968" s="10">
        <f t="shared" si="32"/>
        <v>958</v>
      </c>
      <c r="D968" s="45">
        <f t="shared" si="33"/>
        <v>459351</v>
      </c>
    </row>
    <row r="969" spans="1:4" x14ac:dyDescent="0.3">
      <c r="A969" s="42">
        <v>954</v>
      </c>
      <c r="B969" s="43">
        <f t="shared" si="31"/>
        <v>1954</v>
      </c>
      <c r="C969" s="10">
        <f t="shared" si="32"/>
        <v>959</v>
      </c>
      <c r="D969" s="45">
        <f t="shared" si="33"/>
        <v>460310</v>
      </c>
    </row>
    <row r="970" spans="1:4" x14ac:dyDescent="0.3">
      <c r="A970" s="42">
        <v>955</v>
      </c>
      <c r="B970" s="43">
        <f t="shared" si="31"/>
        <v>1955</v>
      </c>
      <c r="C970" s="10">
        <f t="shared" si="32"/>
        <v>960</v>
      </c>
      <c r="D970" s="45">
        <f t="shared" si="33"/>
        <v>461270</v>
      </c>
    </row>
    <row r="971" spans="1:4" x14ac:dyDescent="0.3">
      <c r="A971" s="42">
        <v>956</v>
      </c>
      <c r="B971" s="43">
        <f t="shared" si="31"/>
        <v>1956</v>
      </c>
      <c r="C971" s="10">
        <f t="shared" si="32"/>
        <v>961</v>
      </c>
      <c r="D971" s="45">
        <f t="shared" si="33"/>
        <v>462231</v>
      </c>
    </row>
    <row r="972" spans="1:4" x14ac:dyDescent="0.3">
      <c r="A972" s="42">
        <v>957</v>
      </c>
      <c r="B972" s="43">
        <f t="shared" si="31"/>
        <v>1957</v>
      </c>
      <c r="C972" s="10">
        <f t="shared" si="32"/>
        <v>962</v>
      </c>
      <c r="D972" s="45">
        <f t="shared" si="33"/>
        <v>463193</v>
      </c>
    </row>
    <row r="973" spans="1:4" x14ac:dyDescent="0.3">
      <c r="A973" s="42">
        <v>958</v>
      </c>
      <c r="B973" s="43">
        <f t="shared" si="31"/>
        <v>1958</v>
      </c>
      <c r="C973" s="10">
        <f t="shared" si="32"/>
        <v>963</v>
      </c>
      <c r="D973" s="45">
        <f t="shared" si="33"/>
        <v>464156</v>
      </c>
    </row>
    <row r="974" spans="1:4" x14ac:dyDescent="0.3">
      <c r="A974" s="42">
        <v>959</v>
      </c>
      <c r="B974" s="43">
        <f t="shared" si="31"/>
        <v>1959</v>
      </c>
      <c r="C974" s="10">
        <f t="shared" si="32"/>
        <v>964</v>
      </c>
      <c r="D974" s="45">
        <f t="shared" si="33"/>
        <v>465120</v>
      </c>
    </row>
    <row r="975" spans="1:4" x14ac:dyDescent="0.3">
      <c r="A975" s="42">
        <v>960</v>
      </c>
      <c r="B975" s="43">
        <f t="shared" si="31"/>
        <v>1960</v>
      </c>
      <c r="C975" s="10">
        <f t="shared" si="32"/>
        <v>965</v>
      </c>
      <c r="D975" s="45">
        <f t="shared" si="33"/>
        <v>466085</v>
      </c>
    </row>
    <row r="976" spans="1:4" x14ac:dyDescent="0.3">
      <c r="A976" s="42">
        <v>961</v>
      </c>
      <c r="B976" s="43">
        <f t="shared" si="31"/>
        <v>1961</v>
      </c>
      <c r="C976" s="10">
        <f t="shared" si="32"/>
        <v>966</v>
      </c>
      <c r="D976" s="45">
        <f t="shared" si="33"/>
        <v>467051</v>
      </c>
    </row>
    <row r="977" spans="1:4" x14ac:dyDescent="0.3">
      <c r="A977" s="42">
        <v>962</v>
      </c>
      <c r="B977" s="43">
        <f t="shared" si="31"/>
        <v>1962</v>
      </c>
      <c r="C977" s="10">
        <f t="shared" si="32"/>
        <v>967</v>
      </c>
      <c r="D977" s="45">
        <f t="shared" si="33"/>
        <v>468018</v>
      </c>
    </row>
    <row r="978" spans="1:4" x14ac:dyDescent="0.3">
      <c r="A978" s="42">
        <v>963</v>
      </c>
      <c r="B978" s="43">
        <f t="shared" si="31"/>
        <v>1963</v>
      </c>
      <c r="C978" s="10">
        <f t="shared" si="32"/>
        <v>968</v>
      </c>
      <c r="D978" s="45">
        <f t="shared" si="33"/>
        <v>468986</v>
      </c>
    </row>
    <row r="979" spans="1:4" x14ac:dyDescent="0.3">
      <c r="A979" s="42">
        <v>964</v>
      </c>
      <c r="B979" s="43">
        <f t="shared" si="31"/>
        <v>1964</v>
      </c>
      <c r="C979" s="10">
        <f t="shared" si="32"/>
        <v>969</v>
      </c>
      <c r="D979" s="45">
        <f t="shared" si="33"/>
        <v>469955</v>
      </c>
    </row>
    <row r="980" spans="1:4" x14ac:dyDescent="0.3">
      <c r="A980" s="42">
        <v>965</v>
      </c>
      <c r="B980" s="43">
        <f t="shared" si="31"/>
        <v>1965</v>
      </c>
      <c r="C980" s="10">
        <f t="shared" si="32"/>
        <v>970</v>
      </c>
      <c r="D980" s="45">
        <f t="shared" si="33"/>
        <v>470925</v>
      </c>
    </row>
    <row r="981" spans="1:4" x14ac:dyDescent="0.3">
      <c r="A981" s="42">
        <v>966</v>
      </c>
      <c r="B981" s="43">
        <f t="shared" si="31"/>
        <v>1966</v>
      </c>
      <c r="C981" s="10">
        <f t="shared" si="32"/>
        <v>971</v>
      </c>
      <c r="D981" s="45">
        <f t="shared" si="33"/>
        <v>471896</v>
      </c>
    </row>
    <row r="982" spans="1:4" x14ac:dyDescent="0.3">
      <c r="A982" s="42">
        <v>967</v>
      </c>
      <c r="B982" s="43">
        <f t="shared" si="31"/>
        <v>1967</v>
      </c>
      <c r="C982" s="10">
        <f t="shared" si="32"/>
        <v>972</v>
      </c>
      <c r="D982" s="45">
        <f t="shared" si="33"/>
        <v>472868</v>
      </c>
    </row>
    <row r="983" spans="1:4" x14ac:dyDescent="0.3">
      <c r="A983" s="42">
        <v>968</v>
      </c>
      <c r="B983" s="43">
        <f t="shared" si="31"/>
        <v>1968</v>
      </c>
      <c r="C983" s="10">
        <f t="shared" si="32"/>
        <v>973</v>
      </c>
      <c r="D983" s="45">
        <f t="shared" si="33"/>
        <v>473841</v>
      </c>
    </row>
    <row r="984" spans="1:4" x14ac:dyDescent="0.3">
      <c r="A984" s="42">
        <v>969</v>
      </c>
      <c r="B984" s="43">
        <f t="shared" si="31"/>
        <v>1969</v>
      </c>
      <c r="C984" s="10">
        <f t="shared" si="32"/>
        <v>974</v>
      </c>
      <c r="D984" s="45">
        <f t="shared" si="33"/>
        <v>474815</v>
      </c>
    </row>
    <row r="985" spans="1:4" x14ac:dyDescent="0.3">
      <c r="A985" s="42">
        <v>970</v>
      </c>
      <c r="B985" s="43">
        <f t="shared" si="31"/>
        <v>1970</v>
      </c>
      <c r="C985" s="10">
        <f t="shared" si="32"/>
        <v>975</v>
      </c>
      <c r="D985" s="45">
        <f t="shared" si="33"/>
        <v>475790</v>
      </c>
    </row>
    <row r="986" spans="1:4" x14ac:dyDescent="0.3">
      <c r="A986" s="42">
        <v>971</v>
      </c>
      <c r="B986" s="43">
        <f t="shared" si="31"/>
        <v>1971</v>
      </c>
      <c r="C986" s="10">
        <f t="shared" si="32"/>
        <v>976</v>
      </c>
      <c r="D986" s="45">
        <f t="shared" si="33"/>
        <v>476766</v>
      </c>
    </row>
    <row r="987" spans="1:4" x14ac:dyDescent="0.3">
      <c r="A987" s="42">
        <v>972</v>
      </c>
      <c r="B987" s="43">
        <f t="shared" si="31"/>
        <v>1972</v>
      </c>
      <c r="C987" s="10">
        <f t="shared" si="32"/>
        <v>977</v>
      </c>
      <c r="D987" s="45">
        <f t="shared" si="33"/>
        <v>477743</v>
      </c>
    </row>
    <row r="988" spans="1:4" x14ac:dyDescent="0.3">
      <c r="A988" s="42">
        <v>973</v>
      </c>
      <c r="B988" s="43">
        <f t="shared" si="31"/>
        <v>1973</v>
      </c>
      <c r="C988" s="10">
        <f t="shared" si="32"/>
        <v>978</v>
      </c>
      <c r="D988" s="45">
        <f t="shared" si="33"/>
        <v>478721</v>
      </c>
    </row>
    <row r="989" spans="1:4" x14ac:dyDescent="0.3">
      <c r="A989" s="42">
        <v>974</v>
      </c>
      <c r="B989" s="43">
        <f t="shared" si="31"/>
        <v>1974</v>
      </c>
      <c r="C989" s="10">
        <f t="shared" si="32"/>
        <v>979</v>
      </c>
      <c r="D989" s="45">
        <f t="shared" si="33"/>
        <v>479700</v>
      </c>
    </row>
    <row r="990" spans="1:4" x14ac:dyDescent="0.3">
      <c r="A990" s="42">
        <v>975</v>
      </c>
      <c r="B990" s="43">
        <f t="shared" si="31"/>
        <v>1975</v>
      </c>
      <c r="C990" s="10">
        <f t="shared" si="32"/>
        <v>980</v>
      </c>
      <c r="D990" s="45">
        <f t="shared" si="33"/>
        <v>480680</v>
      </c>
    </row>
    <row r="991" spans="1:4" x14ac:dyDescent="0.3">
      <c r="A991" s="42">
        <v>976</v>
      </c>
      <c r="B991" s="43">
        <f t="shared" si="31"/>
        <v>1976</v>
      </c>
      <c r="C991" s="10">
        <f t="shared" si="32"/>
        <v>981</v>
      </c>
      <c r="D991" s="45">
        <f t="shared" si="33"/>
        <v>481661</v>
      </c>
    </row>
    <row r="992" spans="1:4" x14ac:dyDescent="0.3">
      <c r="A992" s="42">
        <v>977</v>
      </c>
      <c r="B992" s="43">
        <f t="shared" si="31"/>
        <v>1977</v>
      </c>
      <c r="C992" s="10">
        <f t="shared" si="32"/>
        <v>982</v>
      </c>
      <c r="D992" s="45">
        <f t="shared" si="33"/>
        <v>482643</v>
      </c>
    </row>
    <row r="993" spans="1:4" x14ac:dyDescent="0.3">
      <c r="A993" s="42">
        <v>978</v>
      </c>
      <c r="B993" s="43">
        <f t="shared" si="31"/>
        <v>1978</v>
      </c>
      <c r="C993" s="10">
        <f t="shared" si="32"/>
        <v>983</v>
      </c>
      <c r="D993" s="45">
        <f t="shared" si="33"/>
        <v>483626</v>
      </c>
    </row>
    <row r="994" spans="1:4" x14ac:dyDescent="0.3">
      <c r="A994" s="42">
        <v>979</v>
      </c>
      <c r="B994" s="43">
        <f t="shared" si="31"/>
        <v>1979</v>
      </c>
      <c r="C994" s="10">
        <f t="shared" si="32"/>
        <v>984</v>
      </c>
      <c r="D994" s="45">
        <f t="shared" si="33"/>
        <v>484610</v>
      </c>
    </row>
    <row r="995" spans="1:4" x14ac:dyDescent="0.3">
      <c r="A995" s="42">
        <v>980</v>
      </c>
      <c r="B995" s="43">
        <f t="shared" si="31"/>
        <v>1980</v>
      </c>
      <c r="C995" s="10">
        <f t="shared" si="32"/>
        <v>985</v>
      </c>
      <c r="D995" s="45">
        <f t="shared" si="33"/>
        <v>485595</v>
      </c>
    </row>
    <row r="996" spans="1:4" x14ac:dyDescent="0.3">
      <c r="A996" s="42">
        <v>981</v>
      </c>
      <c r="B996" s="43">
        <f t="shared" si="31"/>
        <v>1981</v>
      </c>
      <c r="C996" s="10">
        <f t="shared" si="32"/>
        <v>986</v>
      </c>
      <c r="D996" s="45">
        <f t="shared" si="33"/>
        <v>486581</v>
      </c>
    </row>
    <row r="997" spans="1:4" x14ac:dyDescent="0.3">
      <c r="A997" s="42">
        <v>982</v>
      </c>
      <c r="B997" s="43">
        <f t="shared" si="31"/>
        <v>1982</v>
      </c>
      <c r="C997" s="10">
        <f t="shared" si="32"/>
        <v>987</v>
      </c>
      <c r="D997" s="45">
        <f t="shared" si="33"/>
        <v>487568</v>
      </c>
    </row>
    <row r="998" spans="1:4" x14ac:dyDescent="0.3">
      <c r="A998" s="42">
        <v>983</v>
      </c>
      <c r="B998" s="43">
        <f t="shared" ref="B998:B1061" si="34">B997+R$8</f>
        <v>1983</v>
      </c>
      <c r="C998" s="10">
        <f t="shared" ref="C998:C1061" si="35">C997+R$7</f>
        <v>988</v>
      </c>
      <c r="D998" s="45">
        <f t="shared" ref="D998:D1061" si="36">D997+C998</f>
        <v>488556</v>
      </c>
    </row>
    <row r="999" spans="1:4" x14ac:dyDescent="0.3">
      <c r="A999" s="42">
        <v>984</v>
      </c>
      <c r="B999" s="43">
        <f t="shared" si="34"/>
        <v>1984</v>
      </c>
      <c r="C999" s="10">
        <f t="shared" si="35"/>
        <v>989</v>
      </c>
      <c r="D999" s="45">
        <f t="shared" si="36"/>
        <v>489545</v>
      </c>
    </row>
    <row r="1000" spans="1:4" x14ac:dyDescent="0.3">
      <c r="A1000" s="42">
        <v>985</v>
      </c>
      <c r="B1000" s="43">
        <f t="shared" si="34"/>
        <v>1985</v>
      </c>
      <c r="C1000" s="10">
        <f t="shared" si="35"/>
        <v>990</v>
      </c>
      <c r="D1000" s="45">
        <f t="shared" si="36"/>
        <v>490535</v>
      </c>
    </row>
    <row r="1001" spans="1:4" x14ac:dyDescent="0.3">
      <c r="A1001" s="42">
        <v>986</v>
      </c>
      <c r="B1001" s="43">
        <f t="shared" si="34"/>
        <v>1986</v>
      </c>
      <c r="C1001" s="10">
        <f t="shared" si="35"/>
        <v>991</v>
      </c>
      <c r="D1001" s="45">
        <f t="shared" si="36"/>
        <v>491526</v>
      </c>
    </row>
    <row r="1002" spans="1:4" x14ac:dyDescent="0.3">
      <c r="A1002" s="42">
        <v>987</v>
      </c>
      <c r="B1002" s="43">
        <f t="shared" si="34"/>
        <v>1987</v>
      </c>
      <c r="C1002" s="10">
        <f t="shared" si="35"/>
        <v>992</v>
      </c>
      <c r="D1002" s="45">
        <f t="shared" si="36"/>
        <v>492518</v>
      </c>
    </row>
    <row r="1003" spans="1:4" x14ac:dyDescent="0.3">
      <c r="A1003" s="42">
        <v>988</v>
      </c>
      <c r="B1003" s="43">
        <f t="shared" si="34"/>
        <v>1988</v>
      </c>
      <c r="C1003" s="10">
        <f t="shared" si="35"/>
        <v>993</v>
      </c>
      <c r="D1003" s="45">
        <f t="shared" si="36"/>
        <v>493511</v>
      </c>
    </row>
    <row r="1004" spans="1:4" x14ac:dyDescent="0.3">
      <c r="A1004" s="42">
        <v>989</v>
      </c>
      <c r="B1004" s="43">
        <f t="shared" si="34"/>
        <v>1989</v>
      </c>
      <c r="C1004" s="10">
        <f t="shared" si="35"/>
        <v>994</v>
      </c>
      <c r="D1004" s="45">
        <f t="shared" si="36"/>
        <v>494505</v>
      </c>
    </row>
    <row r="1005" spans="1:4" x14ac:dyDescent="0.3">
      <c r="A1005" s="42">
        <v>990</v>
      </c>
      <c r="B1005" s="43">
        <f t="shared" si="34"/>
        <v>1990</v>
      </c>
      <c r="C1005" s="10">
        <f t="shared" si="35"/>
        <v>995</v>
      </c>
      <c r="D1005" s="45">
        <f t="shared" si="36"/>
        <v>495500</v>
      </c>
    </row>
    <row r="1006" spans="1:4" x14ac:dyDescent="0.3">
      <c r="A1006" s="42">
        <v>991</v>
      </c>
      <c r="B1006" s="43">
        <f t="shared" si="34"/>
        <v>1991</v>
      </c>
      <c r="C1006" s="10">
        <f t="shared" si="35"/>
        <v>996</v>
      </c>
      <c r="D1006" s="45">
        <f t="shared" si="36"/>
        <v>496496</v>
      </c>
    </row>
    <row r="1007" spans="1:4" x14ac:dyDescent="0.3">
      <c r="A1007" s="42">
        <v>992</v>
      </c>
      <c r="B1007" s="43">
        <f t="shared" si="34"/>
        <v>1992</v>
      </c>
      <c r="C1007" s="10">
        <f t="shared" si="35"/>
        <v>997</v>
      </c>
      <c r="D1007" s="45">
        <f t="shared" si="36"/>
        <v>497493</v>
      </c>
    </row>
    <row r="1008" spans="1:4" x14ac:dyDescent="0.3">
      <c r="A1008" s="42">
        <v>993</v>
      </c>
      <c r="B1008" s="43">
        <f t="shared" si="34"/>
        <v>1993</v>
      </c>
      <c r="C1008" s="10">
        <f t="shared" si="35"/>
        <v>998</v>
      </c>
      <c r="D1008" s="45">
        <f t="shared" si="36"/>
        <v>498491</v>
      </c>
    </row>
    <row r="1009" spans="1:4" x14ac:dyDescent="0.3">
      <c r="A1009" s="42">
        <v>994</v>
      </c>
      <c r="B1009" s="43">
        <f t="shared" si="34"/>
        <v>1994</v>
      </c>
      <c r="C1009" s="10">
        <f t="shared" si="35"/>
        <v>999</v>
      </c>
      <c r="D1009" s="45">
        <f t="shared" si="36"/>
        <v>499490</v>
      </c>
    </row>
    <row r="1010" spans="1:4" x14ac:dyDescent="0.3">
      <c r="A1010" s="42">
        <v>995</v>
      </c>
      <c r="B1010" s="43">
        <f t="shared" si="34"/>
        <v>1995</v>
      </c>
      <c r="C1010" s="10">
        <f t="shared" si="35"/>
        <v>1000</v>
      </c>
      <c r="D1010" s="45">
        <f t="shared" si="36"/>
        <v>500490</v>
      </c>
    </row>
    <row r="1011" spans="1:4" x14ac:dyDescent="0.3">
      <c r="A1011" s="42">
        <v>996</v>
      </c>
      <c r="B1011" s="43">
        <f t="shared" si="34"/>
        <v>1996</v>
      </c>
      <c r="C1011" s="10">
        <f t="shared" si="35"/>
        <v>1001</v>
      </c>
      <c r="D1011" s="45">
        <f t="shared" si="36"/>
        <v>501491</v>
      </c>
    </row>
    <row r="1012" spans="1:4" x14ac:dyDescent="0.3">
      <c r="A1012" s="42">
        <v>997</v>
      </c>
      <c r="B1012" s="43">
        <f t="shared" si="34"/>
        <v>1997</v>
      </c>
      <c r="C1012" s="10">
        <f t="shared" si="35"/>
        <v>1002</v>
      </c>
      <c r="D1012" s="45">
        <f t="shared" si="36"/>
        <v>502493</v>
      </c>
    </row>
    <row r="1013" spans="1:4" x14ac:dyDescent="0.3">
      <c r="A1013" s="42">
        <v>998</v>
      </c>
      <c r="B1013" s="43">
        <f t="shared" si="34"/>
        <v>1998</v>
      </c>
      <c r="C1013" s="10">
        <f t="shared" si="35"/>
        <v>1003</v>
      </c>
      <c r="D1013" s="45">
        <f t="shared" si="36"/>
        <v>503496</v>
      </c>
    </row>
    <row r="1014" spans="1:4" x14ac:dyDescent="0.3">
      <c r="A1014" s="42">
        <v>999</v>
      </c>
      <c r="B1014" s="43">
        <f t="shared" si="34"/>
        <v>1999</v>
      </c>
      <c r="C1014" s="10">
        <f t="shared" si="35"/>
        <v>1004</v>
      </c>
      <c r="D1014" s="45">
        <f t="shared" si="36"/>
        <v>504500</v>
      </c>
    </row>
    <row r="1015" spans="1:4" x14ac:dyDescent="0.3">
      <c r="A1015" s="42">
        <v>1000</v>
      </c>
      <c r="B1015" s="43">
        <f t="shared" si="34"/>
        <v>2000</v>
      </c>
      <c r="C1015" s="10">
        <f t="shared" si="35"/>
        <v>1005</v>
      </c>
      <c r="D1015" s="45">
        <f t="shared" si="36"/>
        <v>505505</v>
      </c>
    </row>
    <row r="1016" spans="1:4" x14ac:dyDescent="0.3">
      <c r="A1016" s="42">
        <v>1001</v>
      </c>
      <c r="B1016" s="43">
        <f t="shared" si="34"/>
        <v>2001</v>
      </c>
      <c r="C1016" s="10">
        <f t="shared" si="35"/>
        <v>1006</v>
      </c>
      <c r="D1016" s="45">
        <f t="shared" si="36"/>
        <v>506511</v>
      </c>
    </row>
    <row r="1017" spans="1:4" x14ac:dyDescent="0.3">
      <c r="A1017" s="42">
        <v>1002</v>
      </c>
      <c r="B1017" s="43">
        <f t="shared" si="34"/>
        <v>2002</v>
      </c>
      <c r="C1017" s="10">
        <f t="shared" si="35"/>
        <v>1007</v>
      </c>
      <c r="D1017" s="45">
        <f t="shared" si="36"/>
        <v>507518</v>
      </c>
    </row>
    <row r="1018" spans="1:4" x14ac:dyDescent="0.3">
      <c r="A1018" s="42">
        <v>1003</v>
      </c>
      <c r="B1018" s="43">
        <f t="shared" si="34"/>
        <v>2003</v>
      </c>
      <c r="C1018" s="10">
        <f t="shared" si="35"/>
        <v>1008</v>
      </c>
      <c r="D1018" s="45">
        <f t="shared" si="36"/>
        <v>508526</v>
      </c>
    </row>
    <row r="1019" spans="1:4" x14ac:dyDescent="0.3">
      <c r="A1019" s="42">
        <v>1004</v>
      </c>
      <c r="B1019" s="43">
        <f t="shared" si="34"/>
        <v>2004</v>
      </c>
      <c r="C1019" s="10">
        <f t="shared" si="35"/>
        <v>1009</v>
      </c>
      <c r="D1019" s="45">
        <f t="shared" si="36"/>
        <v>509535</v>
      </c>
    </row>
    <row r="1020" spans="1:4" x14ac:dyDescent="0.3">
      <c r="A1020" s="42">
        <v>1005</v>
      </c>
      <c r="B1020" s="43">
        <f t="shared" si="34"/>
        <v>2005</v>
      </c>
      <c r="C1020" s="10">
        <f t="shared" si="35"/>
        <v>1010</v>
      </c>
      <c r="D1020" s="45">
        <f t="shared" si="36"/>
        <v>510545</v>
      </c>
    </row>
    <row r="1021" spans="1:4" x14ac:dyDescent="0.3">
      <c r="A1021" s="42">
        <v>1006</v>
      </c>
      <c r="B1021" s="43">
        <f t="shared" si="34"/>
        <v>2006</v>
      </c>
      <c r="C1021" s="10">
        <f t="shared" si="35"/>
        <v>1011</v>
      </c>
      <c r="D1021" s="45">
        <f t="shared" si="36"/>
        <v>511556</v>
      </c>
    </row>
    <row r="1022" spans="1:4" x14ac:dyDescent="0.3">
      <c r="A1022" s="42">
        <v>1007</v>
      </c>
      <c r="B1022" s="43">
        <f t="shared" si="34"/>
        <v>2007</v>
      </c>
      <c r="C1022" s="10">
        <f t="shared" si="35"/>
        <v>1012</v>
      </c>
      <c r="D1022" s="45">
        <f t="shared" si="36"/>
        <v>512568</v>
      </c>
    </row>
    <row r="1023" spans="1:4" x14ac:dyDescent="0.3">
      <c r="A1023" s="42">
        <v>1008</v>
      </c>
      <c r="B1023" s="43">
        <f t="shared" si="34"/>
        <v>2008</v>
      </c>
      <c r="C1023" s="10">
        <f t="shared" si="35"/>
        <v>1013</v>
      </c>
      <c r="D1023" s="45">
        <f t="shared" si="36"/>
        <v>513581</v>
      </c>
    </row>
    <row r="1024" spans="1:4" x14ac:dyDescent="0.3">
      <c r="A1024" s="42">
        <v>1009</v>
      </c>
      <c r="B1024" s="43">
        <f t="shared" si="34"/>
        <v>2009</v>
      </c>
      <c r="C1024" s="10">
        <f t="shared" si="35"/>
        <v>1014</v>
      </c>
      <c r="D1024" s="45">
        <f t="shared" si="36"/>
        <v>514595</v>
      </c>
    </row>
    <row r="1025" spans="1:4" x14ac:dyDescent="0.3">
      <c r="A1025" s="42">
        <v>1010</v>
      </c>
      <c r="B1025" s="43">
        <f t="shared" si="34"/>
        <v>2010</v>
      </c>
      <c r="C1025" s="10">
        <f t="shared" si="35"/>
        <v>1015</v>
      </c>
      <c r="D1025" s="45">
        <f t="shared" si="36"/>
        <v>515610</v>
      </c>
    </row>
    <row r="1026" spans="1:4" x14ac:dyDescent="0.3">
      <c r="A1026" s="42">
        <v>1011</v>
      </c>
      <c r="B1026" s="43">
        <f t="shared" si="34"/>
        <v>2011</v>
      </c>
      <c r="C1026" s="10">
        <f t="shared" si="35"/>
        <v>1016</v>
      </c>
      <c r="D1026" s="45">
        <f t="shared" si="36"/>
        <v>516626</v>
      </c>
    </row>
    <row r="1027" spans="1:4" x14ac:dyDescent="0.3">
      <c r="A1027" s="42">
        <v>1012</v>
      </c>
      <c r="B1027" s="43">
        <f t="shared" si="34"/>
        <v>2012</v>
      </c>
      <c r="C1027" s="10">
        <f t="shared" si="35"/>
        <v>1017</v>
      </c>
      <c r="D1027" s="45">
        <f t="shared" si="36"/>
        <v>517643</v>
      </c>
    </row>
    <row r="1028" spans="1:4" x14ac:dyDescent="0.3">
      <c r="A1028" s="42">
        <v>1013</v>
      </c>
      <c r="B1028" s="43">
        <f t="shared" si="34"/>
        <v>2013</v>
      </c>
      <c r="C1028" s="10">
        <f t="shared" si="35"/>
        <v>1018</v>
      </c>
      <c r="D1028" s="45">
        <f t="shared" si="36"/>
        <v>518661</v>
      </c>
    </row>
    <row r="1029" spans="1:4" x14ac:dyDescent="0.3">
      <c r="A1029" s="42">
        <v>1014</v>
      </c>
      <c r="B1029" s="43">
        <f t="shared" si="34"/>
        <v>2014</v>
      </c>
      <c r="C1029" s="10">
        <f t="shared" si="35"/>
        <v>1019</v>
      </c>
      <c r="D1029" s="45">
        <f t="shared" si="36"/>
        <v>519680</v>
      </c>
    </row>
    <row r="1030" spans="1:4" x14ac:dyDescent="0.3">
      <c r="A1030" s="42">
        <v>1015</v>
      </c>
      <c r="B1030" s="43">
        <f t="shared" si="34"/>
        <v>2015</v>
      </c>
      <c r="C1030" s="10">
        <f t="shared" si="35"/>
        <v>1020</v>
      </c>
      <c r="D1030" s="45">
        <f t="shared" si="36"/>
        <v>520700</v>
      </c>
    </row>
    <row r="1031" spans="1:4" x14ac:dyDescent="0.3">
      <c r="A1031" s="42">
        <v>1016</v>
      </c>
      <c r="B1031" s="43">
        <f t="shared" si="34"/>
        <v>2016</v>
      </c>
      <c r="C1031" s="10">
        <f t="shared" si="35"/>
        <v>1021</v>
      </c>
      <c r="D1031" s="45">
        <f t="shared" si="36"/>
        <v>521721</v>
      </c>
    </row>
    <row r="1032" spans="1:4" x14ac:dyDescent="0.3">
      <c r="A1032" s="42">
        <v>1017</v>
      </c>
      <c r="B1032" s="43">
        <f t="shared" si="34"/>
        <v>2017</v>
      </c>
      <c r="C1032" s="10">
        <f t="shared" si="35"/>
        <v>1022</v>
      </c>
      <c r="D1032" s="45">
        <f t="shared" si="36"/>
        <v>522743</v>
      </c>
    </row>
    <row r="1033" spans="1:4" x14ac:dyDescent="0.3">
      <c r="A1033" s="42">
        <v>1018</v>
      </c>
      <c r="B1033" s="43">
        <f t="shared" si="34"/>
        <v>2018</v>
      </c>
      <c r="C1033" s="10">
        <f t="shared" si="35"/>
        <v>1023</v>
      </c>
      <c r="D1033" s="45">
        <f t="shared" si="36"/>
        <v>523766</v>
      </c>
    </row>
    <row r="1034" spans="1:4" x14ac:dyDescent="0.3">
      <c r="A1034" s="42">
        <v>1019</v>
      </c>
      <c r="B1034" s="43">
        <f t="shared" si="34"/>
        <v>2019</v>
      </c>
      <c r="C1034" s="10">
        <f t="shared" si="35"/>
        <v>1024</v>
      </c>
      <c r="D1034" s="45">
        <f t="shared" si="36"/>
        <v>524790</v>
      </c>
    </row>
    <row r="1035" spans="1:4" x14ac:dyDescent="0.3">
      <c r="A1035" s="42">
        <v>1020</v>
      </c>
      <c r="B1035" s="43">
        <f t="shared" si="34"/>
        <v>2020</v>
      </c>
      <c r="C1035" s="10">
        <f t="shared" si="35"/>
        <v>1025</v>
      </c>
      <c r="D1035" s="45">
        <f t="shared" si="36"/>
        <v>525815</v>
      </c>
    </row>
    <row r="1036" spans="1:4" x14ac:dyDescent="0.3">
      <c r="A1036" s="42">
        <v>1021</v>
      </c>
      <c r="B1036" s="43">
        <f t="shared" si="34"/>
        <v>2021</v>
      </c>
      <c r="C1036" s="10">
        <f t="shared" si="35"/>
        <v>1026</v>
      </c>
      <c r="D1036" s="45">
        <f t="shared" si="36"/>
        <v>526841</v>
      </c>
    </row>
    <row r="1037" spans="1:4" x14ac:dyDescent="0.3">
      <c r="A1037" s="42">
        <v>1022</v>
      </c>
      <c r="B1037" s="43">
        <f t="shared" si="34"/>
        <v>2022</v>
      </c>
      <c r="C1037" s="10">
        <f t="shared" si="35"/>
        <v>1027</v>
      </c>
      <c r="D1037" s="45">
        <f t="shared" si="36"/>
        <v>527868</v>
      </c>
    </row>
    <row r="1038" spans="1:4" x14ac:dyDescent="0.3">
      <c r="A1038" s="42">
        <v>1023</v>
      </c>
      <c r="B1038" s="43">
        <f t="shared" si="34"/>
        <v>2023</v>
      </c>
      <c r="C1038" s="10">
        <f t="shared" si="35"/>
        <v>1028</v>
      </c>
      <c r="D1038" s="45">
        <f t="shared" si="36"/>
        <v>528896</v>
      </c>
    </row>
    <row r="1039" spans="1:4" x14ac:dyDescent="0.3">
      <c r="A1039" s="42">
        <v>1024</v>
      </c>
      <c r="B1039" s="43">
        <f t="shared" si="34"/>
        <v>2024</v>
      </c>
      <c r="C1039" s="10">
        <f t="shared" si="35"/>
        <v>1029</v>
      </c>
      <c r="D1039" s="45">
        <f t="shared" si="36"/>
        <v>529925</v>
      </c>
    </row>
    <row r="1040" spans="1:4" x14ac:dyDescent="0.3">
      <c r="A1040" s="42">
        <v>1025</v>
      </c>
      <c r="B1040" s="43">
        <f t="shared" si="34"/>
        <v>2025</v>
      </c>
      <c r="C1040" s="10">
        <f t="shared" si="35"/>
        <v>1030</v>
      </c>
      <c r="D1040" s="45">
        <f t="shared" si="36"/>
        <v>530955</v>
      </c>
    </row>
    <row r="1041" spans="1:4" x14ac:dyDescent="0.3">
      <c r="A1041" s="42">
        <v>1026</v>
      </c>
      <c r="B1041" s="43">
        <f t="shared" si="34"/>
        <v>2026</v>
      </c>
      <c r="C1041" s="10">
        <f t="shared" si="35"/>
        <v>1031</v>
      </c>
      <c r="D1041" s="45">
        <f t="shared" si="36"/>
        <v>531986</v>
      </c>
    </row>
    <row r="1042" spans="1:4" x14ac:dyDescent="0.3">
      <c r="A1042" s="42">
        <v>1027</v>
      </c>
      <c r="B1042" s="43">
        <f t="shared" si="34"/>
        <v>2027</v>
      </c>
      <c r="C1042" s="10">
        <f t="shared" si="35"/>
        <v>1032</v>
      </c>
      <c r="D1042" s="45">
        <f t="shared" si="36"/>
        <v>533018</v>
      </c>
    </row>
    <row r="1043" spans="1:4" x14ac:dyDescent="0.3">
      <c r="A1043" s="42">
        <v>1028</v>
      </c>
      <c r="B1043" s="43">
        <f t="shared" si="34"/>
        <v>2028</v>
      </c>
      <c r="C1043" s="10">
        <f t="shared" si="35"/>
        <v>1033</v>
      </c>
      <c r="D1043" s="45">
        <f t="shared" si="36"/>
        <v>534051</v>
      </c>
    </row>
    <row r="1044" spans="1:4" x14ac:dyDescent="0.3">
      <c r="A1044" s="42">
        <v>1029</v>
      </c>
      <c r="B1044" s="43">
        <f t="shared" si="34"/>
        <v>2029</v>
      </c>
      <c r="C1044" s="10">
        <f t="shared" si="35"/>
        <v>1034</v>
      </c>
      <c r="D1044" s="45">
        <f t="shared" si="36"/>
        <v>535085</v>
      </c>
    </row>
    <row r="1045" spans="1:4" x14ac:dyDescent="0.3">
      <c r="A1045" s="42">
        <v>1030</v>
      </c>
      <c r="B1045" s="43">
        <f t="shared" si="34"/>
        <v>2030</v>
      </c>
      <c r="C1045" s="10">
        <f t="shared" si="35"/>
        <v>1035</v>
      </c>
      <c r="D1045" s="45">
        <f t="shared" si="36"/>
        <v>536120</v>
      </c>
    </row>
    <row r="1046" spans="1:4" x14ac:dyDescent="0.3">
      <c r="A1046" s="42">
        <v>1031</v>
      </c>
      <c r="B1046" s="43">
        <f t="shared" si="34"/>
        <v>2031</v>
      </c>
      <c r="C1046" s="10">
        <f t="shared" si="35"/>
        <v>1036</v>
      </c>
      <c r="D1046" s="45">
        <f t="shared" si="36"/>
        <v>537156</v>
      </c>
    </row>
    <row r="1047" spans="1:4" x14ac:dyDescent="0.3">
      <c r="A1047" s="42">
        <v>1032</v>
      </c>
      <c r="B1047" s="43">
        <f t="shared" si="34"/>
        <v>2032</v>
      </c>
      <c r="C1047" s="10">
        <f t="shared" si="35"/>
        <v>1037</v>
      </c>
      <c r="D1047" s="45">
        <f t="shared" si="36"/>
        <v>538193</v>
      </c>
    </row>
    <row r="1048" spans="1:4" x14ac:dyDescent="0.3">
      <c r="A1048" s="42">
        <v>1033</v>
      </c>
      <c r="B1048" s="43">
        <f t="shared" si="34"/>
        <v>2033</v>
      </c>
      <c r="C1048" s="10">
        <f t="shared" si="35"/>
        <v>1038</v>
      </c>
      <c r="D1048" s="45">
        <f t="shared" si="36"/>
        <v>539231</v>
      </c>
    </row>
    <row r="1049" spans="1:4" x14ac:dyDescent="0.3">
      <c r="A1049" s="42">
        <v>1034</v>
      </c>
      <c r="B1049" s="43">
        <f t="shared" si="34"/>
        <v>2034</v>
      </c>
      <c r="C1049" s="10">
        <f t="shared" si="35"/>
        <v>1039</v>
      </c>
      <c r="D1049" s="45">
        <f t="shared" si="36"/>
        <v>540270</v>
      </c>
    </row>
    <row r="1050" spans="1:4" x14ac:dyDescent="0.3">
      <c r="A1050" s="42">
        <v>1035</v>
      </c>
      <c r="B1050" s="43">
        <f t="shared" si="34"/>
        <v>2035</v>
      </c>
      <c r="C1050" s="10">
        <f t="shared" si="35"/>
        <v>1040</v>
      </c>
      <c r="D1050" s="45">
        <f t="shared" si="36"/>
        <v>541310</v>
      </c>
    </row>
    <row r="1051" spans="1:4" x14ac:dyDescent="0.3">
      <c r="A1051" s="42">
        <v>1036</v>
      </c>
      <c r="B1051" s="43">
        <f t="shared" si="34"/>
        <v>2036</v>
      </c>
      <c r="C1051" s="10">
        <f t="shared" si="35"/>
        <v>1041</v>
      </c>
      <c r="D1051" s="45">
        <f t="shared" si="36"/>
        <v>542351</v>
      </c>
    </row>
    <row r="1052" spans="1:4" x14ac:dyDescent="0.3">
      <c r="A1052" s="42">
        <v>1037</v>
      </c>
      <c r="B1052" s="43">
        <f t="shared" si="34"/>
        <v>2037</v>
      </c>
      <c r="C1052" s="10">
        <f t="shared" si="35"/>
        <v>1042</v>
      </c>
      <c r="D1052" s="45">
        <f t="shared" si="36"/>
        <v>543393</v>
      </c>
    </row>
    <row r="1053" spans="1:4" x14ac:dyDescent="0.3">
      <c r="A1053" s="42">
        <v>1038</v>
      </c>
      <c r="B1053" s="43">
        <f t="shared" si="34"/>
        <v>2038</v>
      </c>
      <c r="C1053" s="10">
        <f t="shared" si="35"/>
        <v>1043</v>
      </c>
      <c r="D1053" s="45">
        <f t="shared" si="36"/>
        <v>544436</v>
      </c>
    </row>
    <row r="1054" spans="1:4" x14ac:dyDescent="0.3">
      <c r="A1054" s="42">
        <v>1039</v>
      </c>
      <c r="B1054" s="43">
        <f t="shared" si="34"/>
        <v>2039</v>
      </c>
      <c r="C1054" s="10">
        <f t="shared" si="35"/>
        <v>1044</v>
      </c>
      <c r="D1054" s="45">
        <f t="shared" si="36"/>
        <v>545480</v>
      </c>
    </row>
    <row r="1055" spans="1:4" x14ac:dyDescent="0.3">
      <c r="A1055" s="42">
        <v>1040</v>
      </c>
      <c r="B1055" s="43">
        <f t="shared" si="34"/>
        <v>2040</v>
      </c>
      <c r="C1055" s="10">
        <f t="shared" si="35"/>
        <v>1045</v>
      </c>
      <c r="D1055" s="45">
        <f t="shared" si="36"/>
        <v>546525</v>
      </c>
    </row>
    <row r="1056" spans="1:4" x14ac:dyDescent="0.3">
      <c r="A1056" s="42">
        <v>1041</v>
      </c>
      <c r="B1056" s="43">
        <f t="shared" si="34"/>
        <v>2041</v>
      </c>
      <c r="C1056" s="10">
        <f t="shared" si="35"/>
        <v>1046</v>
      </c>
      <c r="D1056" s="45">
        <f t="shared" si="36"/>
        <v>547571</v>
      </c>
    </row>
    <row r="1057" spans="1:4" x14ac:dyDescent="0.3">
      <c r="A1057" s="42">
        <v>1042</v>
      </c>
      <c r="B1057" s="43">
        <f t="shared" si="34"/>
        <v>2042</v>
      </c>
      <c r="C1057" s="10">
        <f t="shared" si="35"/>
        <v>1047</v>
      </c>
      <c r="D1057" s="45">
        <f t="shared" si="36"/>
        <v>548618</v>
      </c>
    </row>
    <row r="1058" spans="1:4" x14ac:dyDescent="0.3">
      <c r="A1058" s="42">
        <v>1043</v>
      </c>
      <c r="B1058" s="43">
        <f t="shared" si="34"/>
        <v>2043</v>
      </c>
      <c r="C1058" s="10">
        <f t="shared" si="35"/>
        <v>1048</v>
      </c>
      <c r="D1058" s="45">
        <f t="shared" si="36"/>
        <v>549666</v>
      </c>
    </row>
    <row r="1059" spans="1:4" x14ac:dyDescent="0.3">
      <c r="A1059" s="42">
        <v>1044</v>
      </c>
      <c r="B1059" s="43">
        <f t="shared" si="34"/>
        <v>2044</v>
      </c>
      <c r="C1059" s="10">
        <f t="shared" si="35"/>
        <v>1049</v>
      </c>
      <c r="D1059" s="45">
        <f t="shared" si="36"/>
        <v>550715</v>
      </c>
    </row>
    <row r="1060" spans="1:4" x14ac:dyDescent="0.3">
      <c r="A1060" s="42">
        <v>1045</v>
      </c>
      <c r="B1060" s="43">
        <f t="shared" si="34"/>
        <v>2045</v>
      </c>
      <c r="C1060" s="10">
        <f t="shared" si="35"/>
        <v>1050</v>
      </c>
      <c r="D1060" s="45">
        <f t="shared" si="36"/>
        <v>551765</v>
      </c>
    </row>
    <row r="1061" spans="1:4" x14ac:dyDescent="0.3">
      <c r="A1061" s="42">
        <v>1046</v>
      </c>
      <c r="B1061" s="43">
        <f t="shared" si="34"/>
        <v>2046</v>
      </c>
      <c r="C1061" s="10">
        <f t="shared" si="35"/>
        <v>1051</v>
      </c>
      <c r="D1061" s="45">
        <f t="shared" si="36"/>
        <v>552816</v>
      </c>
    </row>
    <row r="1062" spans="1:4" x14ac:dyDescent="0.3">
      <c r="A1062" s="42">
        <v>1047</v>
      </c>
      <c r="B1062" s="43">
        <f t="shared" ref="B1062:B1125" si="37">B1061+R$8</f>
        <v>2047</v>
      </c>
      <c r="C1062" s="10">
        <f t="shared" ref="C1062:C1125" si="38">C1061+R$7</f>
        <v>1052</v>
      </c>
      <c r="D1062" s="45">
        <f t="shared" ref="D1062:D1125" si="39">D1061+C1062</f>
        <v>553868</v>
      </c>
    </row>
    <row r="1063" spans="1:4" x14ac:dyDescent="0.3">
      <c r="A1063" s="42">
        <v>1048</v>
      </c>
      <c r="B1063" s="43">
        <f t="shared" si="37"/>
        <v>2048</v>
      </c>
      <c r="C1063" s="10">
        <f t="shared" si="38"/>
        <v>1053</v>
      </c>
      <c r="D1063" s="45">
        <f t="shared" si="39"/>
        <v>554921</v>
      </c>
    </row>
    <row r="1064" spans="1:4" x14ac:dyDescent="0.3">
      <c r="A1064" s="42">
        <v>1049</v>
      </c>
      <c r="B1064" s="43">
        <f t="shared" si="37"/>
        <v>2049</v>
      </c>
      <c r="C1064" s="10">
        <f t="shared" si="38"/>
        <v>1054</v>
      </c>
      <c r="D1064" s="45">
        <f t="shared" si="39"/>
        <v>555975</v>
      </c>
    </row>
    <row r="1065" spans="1:4" x14ac:dyDescent="0.3">
      <c r="A1065" s="42">
        <v>1050</v>
      </c>
      <c r="B1065" s="43">
        <f t="shared" si="37"/>
        <v>2050</v>
      </c>
      <c r="C1065" s="10">
        <f t="shared" si="38"/>
        <v>1055</v>
      </c>
      <c r="D1065" s="45">
        <f t="shared" si="39"/>
        <v>557030</v>
      </c>
    </row>
    <row r="1066" spans="1:4" x14ac:dyDescent="0.3">
      <c r="A1066" s="42">
        <v>1051</v>
      </c>
      <c r="B1066" s="43">
        <f t="shared" si="37"/>
        <v>2051</v>
      </c>
      <c r="C1066" s="10">
        <f t="shared" si="38"/>
        <v>1056</v>
      </c>
      <c r="D1066" s="45">
        <f t="shared" si="39"/>
        <v>558086</v>
      </c>
    </row>
    <row r="1067" spans="1:4" x14ac:dyDescent="0.3">
      <c r="A1067" s="42">
        <v>1052</v>
      </c>
      <c r="B1067" s="43">
        <f t="shared" si="37"/>
        <v>2052</v>
      </c>
      <c r="C1067" s="10">
        <f t="shared" si="38"/>
        <v>1057</v>
      </c>
      <c r="D1067" s="45">
        <f t="shared" si="39"/>
        <v>559143</v>
      </c>
    </row>
    <row r="1068" spans="1:4" x14ac:dyDescent="0.3">
      <c r="A1068" s="42">
        <v>1053</v>
      </c>
      <c r="B1068" s="43">
        <f t="shared" si="37"/>
        <v>2053</v>
      </c>
      <c r="C1068" s="10">
        <f t="shared" si="38"/>
        <v>1058</v>
      </c>
      <c r="D1068" s="45">
        <f t="shared" si="39"/>
        <v>560201</v>
      </c>
    </row>
    <row r="1069" spans="1:4" x14ac:dyDescent="0.3">
      <c r="A1069" s="42">
        <v>1054</v>
      </c>
      <c r="B1069" s="43">
        <f t="shared" si="37"/>
        <v>2054</v>
      </c>
      <c r="C1069" s="10">
        <f t="shared" si="38"/>
        <v>1059</v>
      </c>
      <c r="D1069" s="45">
        <f t="shared" si="39"/>
        <v>561260</v>
      </c>
    </row>
    <row r="1070" spans="1:4" x14ac:dyDescent="0.3">
      <c r="A1070" s="42">
        <v>1055</v>
      </c>
      <c r="B1070" s="43">
        <f t="shared" si="37"/>
        <v>2055</v>
      </c>
      <c r="C1070" s="10">
        <f t="shared" si="38"/>
        <v>1060</v>
      </c>
      <c r="D1070" s="45">
        <f t="shared" si="39"/>
        <v>562320</v>
      </c>
    </row>
    <row r="1071" spans="1:4" x14ac:dyDescent="0.3">
      <c r="A1071" s="42">
        <v>1056</v>
      </c>
      <c r="B1071" s="43">
        <f t="shared" si="37"/>
        <v>2056</v>
      </c>
      <c r="C1071" s="10">
        <f t="shared" si="38"/>
        <v>1061</v>
      </c>
      <c r="D1071" s="45">
        <f t="shared" si="39"/>
        <v>563381</v>
      </c>
    </row>
    <row r="1072" spans="1:4" x14ac:dyDescent="0.3">
      <c r="A1072" s="42">
        <v>1057</v>
      </c>
      <c r="B1072" s="43">
        <f t="shared" si="37"/>
        <v>2057</v>
      </c>
      <c r="C1072" s="10">
        <f t="shared" si="38"/>
        <v>1062</v>
      </c>
      <c r="D1072" s="45">
        <f t="shared" si="39"/>
        <v>564443</v>
      </c>
    </row>
    <row r="1073" spans="1:4" x14ac:dyDescent="0.3">
      <c r="A1073" s="42">
        <v>1058</v>
      </c>
      <c r="B1073" s="43">
        <f t="shared" si="37"/>
        <v>2058</v>
      </c>
      <c r="C1073" s="10">
        <f t="shared" si="38"/>
        <v>1063</v>
      </c>
      <c r="D1073" s="45">
        <f t="shared" si="39"/>
        <v>565506</v>
      </c>
    </row>
    <row r="1074" spans="1:4" x14ac:dyDescent="0.3">
      <c r="A1074" s="42">
        <v>1059</v>
      </c>
      <c r="B1074" s="43">
        <f t="shared" si="37"/>
        <v>2059</v>
      </c>
      <c r="C1074" s="10">
        <f t="shared" si="38"/>
        <v>1064</v>
      </c>
      <c r="D1074" s="45">
        <f t="shared" si="39"/>
        <v>566570</v>
      </c>
    </row>
    <row r="1075" spans="1:4" x14ac:dyDescent="0.3">
      <c r="A1075" s="42">
        <v>1060</v>
      </c>
      <c r="B1075" s="43">
        <f t="shared" si="37"/>
        <v>2060</v>
      </c>
      <c r="C1075" s="10">
        <f t="shared" si="38"/>
        <v>1065</v>
      </c>
      <c r="D1075" s="45">
        <f t="shared" si="39"/>
        <v>567635</v>
      </c>
    </row>
    <row r="1076" spans="1:4" x14ac:dyDescent="0.3">
      <c r="A1076" s="42">
        <v>1061</v>
      </c>
      <c r="B1076" s="43">
        <f t="shared" si="37"/>
        <v>2061</v>
      </c>
      <c r="C1076" s="10">
        <f t="shared" si="38"/>
        <v>1066</v>
      </c>
      <c r="D1076" s="45">
        <f t="shared" si="39"/>
        <v>568701</v>
      </c>
    </row>
    <row r="1077" spans="1:4" x14ac:dyDescent="0.3">
      <c r="A1077" s="42">
        <v>1062</v>
      </c>
      <c r="B1077" s="43">
        <f t="shared" si="37"/>
        <v>2062</v>
      </c>
      <c r="C1077" s="10">
        <f t="shared" si="38"/>
        <v>1067</v>
      </c>
      <c r="D1077" s="45">
        <f t="shared" si="39"/>
        <v>569768</v>
      </c>
    </row>
    <row r="1078" spans="1:4" x14ac:dyDescent="0.3">
      <c r="A1078" s="42">
        <v>1063</v>
      </c>
      <c r="B1078" s="43">
        <f t="shared" si="37"/>
        <v>2063</v>
      </c>
      <c r="C1078" s="10">
        <f t="shared" si="38"/>
        <v>1068</v>
      </c>
      <c r="D1078" s="45">
        <f t="shared" si="39"/>
        <v>570836</v>
      </c>
    </row>
    <row r="1079" spans="1:4" x14ac:dyDescent="0.3">
      <c r="A1079" s="42">
        <v>1064</v>
      </c>
      <c r="B1079" s="43">
        <f t="shared" si="37"/>
        <v>2064</v>
      </c>
      <c r="C1079" s="10">
        <f t="shared" si="38"/>
        <v>1069</v>
      </c>
      <c r="D1079" s="45">
        <f t="shared" si="39"/>
        <v>571905</v>
      </c>
    </row>
    <row r="1080" spans="1:4" x14ac:dyDescent="0.3">
      <c r="A1080" s="42">
        <v>1065</v>
      </c>
      <c r="B1080" s="43">
        <f t="shared" si="37"/>
        <v>2065</v>
      </c>
      <c r="C1080" s="10">
        <f t="shared" si="38"/>
        <v>1070</v>
      </c>
      <c r="D1080" s="45">
        <f t="shared" si="39"/>
        <v>572975</v>
      </c>
    </row>
    <row r="1081" spans="1:4" x14ac:dyDescent="0.3">
      <c r="A1081" s="42">
        <v>1066</v>
      </c>
      <c r="B1081" s="43">
        <f t="shared" si="37"/>
        <v>2066</v>
      </c>
      <c r="C1081" s="10">
        <f t="shared" si="38"/>
        <v>1071</v>
      </c>
      <c r="D1081" s="45">
        <f t="shared" si="39"/>
        <v>574046</v>
      </c>
    </row>
    <row r="1082" spans="1:4" x14ac:dyDescent="0.3">
      <c r="A1082" s="42">
        <v>1067</v>
      </c>
      <c r="B1082" s="43">
        <f t="shared" si="37"/>
        <v>2067</v>
      </c>
      <c r="C1082" s="10">
        <f t="shared" si="38"/>
        <v>1072</v>
      </c>
      <c r="D1082" s="45">
        <f t="shared" si="39"/>
        <v>575118</v>
      </c>
    </row>
    <row r="1083" spans="1:4" x14ac:dyDescent="0.3">
      <c r="A1083" s="42">
        <v>1068</v>
      </c>
      <c r="B1083" s="43">
        <f t="shared" si="37"/>
        <v>2068</v>
      </c>
      <c r="C1083" s="10">
        <f t="shared" si="38"/>
        <v>1073</v>
      </c>
      <c r="D1083" s="45">
        <f t="shared" si="39"/>
        <v>576191</v>
      </c>
    </row>
    <row r="1084" spans="1:4" x14ac:dyDescent="0.3">
      <c r="A1084" s="42">
        <v>1069</v>
      </c>
      <c r="B1084" s="43">
        <f t="shared" si="37"/>
        <v>2069</v>
      </c>
      <c r="C1084" s="10">
        <f t="shared" si="38"/>
        <v>1074</v>
      </c>
      <c r="D1084" s="45">
        <f t="shared" si="39"/>
        <v>577265</v>
      </c>
    </row>
    <row r="1085" spans="1:4" x14ac:dyDescent="0.3">
      <c r="A1085" s="42">
        <v>1070</v>
      </c>
      <c r="B1085" s="43">
        <f t="shared" si="37"/>
        <v>2070</v>
      </c>
      <c r="C1085" s="10">
        <f t="shared" si="38"/>
        <v>1075</v>
      </c>
      <c r="D1085" s="45">
        <f t="shared" si="39"/>
        <v>578340</v>
      </c>
    </row>
    <row r="1086" spans="1:4" x14ac:dyDescent="0.3">
      <c r="A1086" s="42">
        <v>1071</v>
      </c>
      <c r="B1086" s="43">
        <f t="shared" si="37"/>
        <v>2071</v>
      </c>
      <c r="C1086" s="10">
        <f t="shared" si="38"/>
        <v>1076</v>
      </c>
      <c r="D1086" s="45">
        <f t="shared" si="39"/>
        <v>579416</v>
      </c>
    </row>
    <row r="1087" spans="1:4" x14ac:dyDescent="0.3">
      <c r="A1087" s="42">
        <v>1072</v>
      </c>
      <c r="B1087" s="43">
        <f t="shared" si="37"/>
        <v>2072</v>
      </c>
      <c r="C1087" s="10">
        <f t="shared" si="38"/>
        <v>1077</v>
      </c>
      <c r="D1087" s="45">
        <f t="shared" si="39"/>
        <v>580493</v>
      </c>
    </row>
    <row r="1088" spans="1:4" x14ac:dyDescent="0.3">
      <c r="A1088" s="42">
        <v>1073</v>
      </c>
      <c r="B1088" s="43">
        <f t="shared" si="37"/>
        <v>2073</v>
      </c>
      <c r="C1088" s="10">
        <f t="shared" si="38"/>
        <v>1078</v>
      </c>
      <c r="D1088" s="45">
        <f t="shared" si="39"/>
        <v>581571</v>
      </c>
    </row>
    <row r="1089" spans="1:4" x14ac:dyDescent="0.3">
      <c r="A1089" s="42">
        <v>1074</v>
      </c>
      <c r="B1089" s="43">
        <f t="shared" si="37"/>
        <v>2074</v>
      </c>
      <c r="C1089" s="10">
        <f t="shared" si="38"/>
        <v>1079</v>
      </c>
      <c r="D1089" s="45">
        <f t="shared" si="39"/>
        <v>582650</v>
      </c>
    </row>
    <row r="1090" spans="1:4" x14ac:dyDescent="0.3">
      <c r="A1090" s="42">
        <v>1075</v>
      </c>
      <c r="B1090" s="43">
        <f t="shared" si="37"/>
        <v>2075</v>
      </c>
      <c r="C1090" s="10">
        <f t="shared" si="38"/>
        <v>1080</v>
      </c>
      <c r="D1090" s="45">
        <f t="shared" si="39"/>
        <v>583730</v>
      </c>
    </row>
    <row r="1091" spans="1:4" x14ac:dyDescent="0.3">
      <c r="A1091" s="42">
        <v>1076</v>
      </c>
      <c r="B1091" s="43">
        <f t="shared" si="37"/>
        <v>2076</v>
      </c>
      <c r="C1091" s="10">
        <f t="shared" si="38"/>
        <v>1081</v>
      </c>
      <c r="D1091" s="45">
        <f t="shared" si="39"/>
        <v>584811</v>
      </c>
    </row>
    <row r="1092" spans="1:4" x14ac:dyDescent="0.3">
      <c r="A1092" s="42">
        <v>1077</v>
      </c>
      <c r="B1092" s="43">
        <f t="shared" si="37"/>
        <v>2077</v>
      </c>
      <c r="C1092" s="10">
        <f t="shared" si="38"/>
        <v>1082</v>
      </c>
      <c r="D1092" s="45">
        <f t="shared" si="39"/>
        <v>585893</v>
      </c>
    </row>
    <row r="1093" spans="1:4" x14ac:dyDescent="0.3">
      <c r="A1093" s="42">
        <v>1078</v>
      </c>
      <c r="B1093" s="43">
        <f t="shared" si="37"/>
        <v>2078</v>
      </c>
      <c r="C1093" s="10">
        <f t="shared" si="38"/>
        <v>1083</v>
      </c>
      <c r="D1093" s="45">
        <f t="shared" si="39"/>
        <v>586976</v>
      </c>
    </row>
    <row r="1094" spans="1:4" x14ac:dyDescent="0.3">
      <c r="A1094" s="42">
        <v>1079</v>
      </c>
      <c r="B1094" s="43">
        <f t="shared" si="37"/>
        <v>2079</v>
      </c>
      <c r="C1094" s="10">
        <f t="shared" si="38"/>
        <v>1084</v>
      </c>
      <c r="D1094" s="45">
        <f t="shared" si="39"/>
        <v>588060</v>
      </c>
    </row>
    <row r="1095" spans="1:4" x14ac:dyDescent="0.3">
      <c r="A1095" s="42">
        <v>1080</v>
      </c>
      <c r="B1095" s="43">
        <f t="shared" si="37"/>
        <v>2080</v>
      </c>
      <c r="C1095" s="10">
        <f t="shared" si="38"/>
        <v>1085</v>
      </c>
      <c r="D1095" s="45">
        <f t="shared" si="39"/>
        <v>589145</v>
      </c>
    </row>
    <row r="1096" spans="1:4" x14ac:dyDescent="0.3">
      <c r="A1096" s="42">
        <v>1081</v>
      </c>
      <c r="B1096" s="43">
        <f t="shared" si="37"/>
        <v>2081</v>
      </c>
      <c r="C1096" s="10">
        <f t="shared" si="38"/>
        <v>1086</v>
      </c>
      <c r="D1096" s="45">
        <f t="shared" si="39"/>
        <v>590231</v>
      </c>
    </row>
    <row r="1097" spans="1:4" x14ac:dyDescent="0.3">
      <c r="A1097" s="42">
        <v>1082</v>
      </c>
      <c r="B1097" s="43">
        <f t="shared" si="37"/>
        <v>2082</v>
      </c>
      <c r="C1097" s="10">
        <f t="shared" si="38"/>
        <v>1087</v>
      </c>
      <c r="D1097" s="45">
        <f t="shared" si="39"/>
        <v>591318</v>
      </c>
    </row>
    <row r="1098" spans="1:4" x14ac:dyDescent="0.3">
      <c r="A1098" s="42">
        <v>1083</v>
      </c>
      <c r="B1098" s="43">
        <f t="shared" si="37"/>
        <v>2083</v>
      </c>
      <c r="C1098" s="10">
        <f t="shared" si="38"/>
        <v>1088</v>
      </c>
      <c r="D1098" s="45">
        <f t="shared" si="39"/>
        <v>592406</v>
      </c>
    </row>
    <row r="1099" spans="1:4" x14ac:dyDescent="0.3">
      <c r="A1099" s="42">
        <v>1084</v>
      </c>
      <c r="B1099" s="43">
        <f t="shared" si="37"/>
        <v>2084</v>
      </c>
      <c r="C1099" s="10">
        <f t="shared" si="38"/>
        <v>1089</v>
      </c>
      <c r="D1099" s="45">
        <f t="shared" si="39"/>
        <v>593495</v>
      </c>
    </row>
    <row r="1100" spans="1:4" x14ac:dyDescent="0.3">
      <c r="A1100" s="42">
        <v>1085</v>
      </c>
      <c r="B1100" s="43">
        <f t="shared" si="37"/>
        <v>2085</v>
      </c>
      <c r="C1100" s="10">
        <f t="shared" si="38"/>
        <v>1090</v>
      </c>
      <c r="D1100" s="45">
        <f t="shared" si="39"/>
        <v>594585</v>
      </c>
    </row>
    <row r="1101" spans="1:4" x14ac:dyDescent="0.3">
      <c r="A1101" s="42">
        <v>1086</v>
      </c>
      <c r="B1101" s="43">
        <f t="shared" si="37"/>
        <v>2086</v>
      </c>
      <c r="C1101" s="10">
        <f t="shared" si="38"/>
        <v>1091</v>
      </c>
      <c r="D1101" s="45">
        <f t="shared" si="39"/>
        <v>595676</v>
      </c>
    </row>
    <row r="1102" spans="1:4" x14ac:dyDescent="0.3">
      <c r="A1102" s="42">
        <v>1087</v>
      </c>
      <c r="B1102" s="43">
        <f t="shared" si="37"/>
        <v>2087</v>
      </c>
      <c r="C1102" s="10">
        <f t="shared" si="38"/>
        <v>1092</v>
      </c>
      <c r="D1102" s="45">
        <f t="shared" si="39"/>
        <v>596768</v>
      </c>
    </row>
    <row r="1103" spans="1:4" x14ac:dyDescent="0.3">
      <c r="A1103" s="42">
        <v>1088</v>
      </c>
      <c r="B1103" s="43">
        <f t="shared" si="37"/>
        <v>2088</v>
      </c>
      <c r="C1103" s="10">
        <f t="shared" si="38"/>
        <v>1093</v>
      </c>
      <c r="D1103" s="45">
        <f t="shared" si="39"/>
        <v>597861</v>
      </c>
    </row>
    <row r="1104" spans="1:4" x14ac:dyDescent="0.3">
      <c r="A1104" s="42">
        <v>1089</v>
      </c>
      <c r="B1104" s="43">
        <f t="shared" si="37"/>
        <v>2089</v>
      </c>
      <c r="C1104" s="10">
        <f t="shared" si="38"/>
        <v>1094</v>
      </c>
      <c r="D1104" s="45">
        <f t="shared" si="39"/>
        <v>598955</v>
      </c>
    </row>
    <row r="1105" spans="1:4" x14ac:dyDescent="0.3">
      <c r="A1105" s="42">
        <v>1090</v>
      </c>
      <c r="B1105" s="43">
        <f t="shared" si="37"/>
        <v>2090</v>
      </c>
      <c r="C1105" s="10">
        <f t="shared" si="38"/>
        <v>1095</v>
      </c>
      <c r="D1105" s="45">
        <f t="shared" si="39"/>
        <v>600050</v>
      </c>
    </row>
    <row r="1106" spans="1:4" x14ac:dyDescent="0.3">
      <c r="A1106" s="42">
        <v>1091</v>
      </c>
      <c r="B1106" s="43">
        <f t="shared" si="37"/>
        <v>2091</v>
      </c>
      <c r="C1106" s="10">
        <f t="shared" si="38"/>
        <v>1096</v>
      </c>
      <c r="D1106" s="45">
        <f t="shared" si="39"/>
        <v>601146</v>
      </c>
    </row>
    <row r="1107" spans="1:4" x14ac:dyDescent="0.3">
      <c r="A1107" s="42">
        <v>1092</v>
      </c>
      <c r="B1107" s="43">
        <f t="shared" si="37"/>
        <v>2092</v>
      </c>
      <c r="C1107" s="10">
        <f t="shared" si="38"/>
        <v>1097</v>
      </c>
      <c r="D1107" s="45">
        <f t="shared" si="39"/>
        <v>602243</v>
      </c>
    </row>
    <row r="1108" spans="1:4" x14ac:dyDescent="0.3">
      <c r="A1108" s="42">
        <v>1093</v>
      </c>
      <c r="B1108" s="43">
        <f t="shared" si="37"/>
        <v>2093</v>
      </c>
      <c r="C1108" s="10">
        <f t="shared" si="38"/>
        <v>1098</v>
      </c>
      <c r="D1108" s="45">
        <f t="shared" si="39"/>
        <v>603341</v>
      </c>
    </row>
    <row r="1109" spans="1:4" x14ac:dyDescent="0.3">
      <c r="A1109" s="42">
        <v>1094</v>
      </c>
      <c r="B1109" s="43">
        <f t="shared" si="37"/>
        <v>2094</v>
      </c>
      <c r="C1109" s="10">
        <f t="shared" si="38"/>
        <v>1099</v>
      </c>
      <c r="D1109" s="45">
        <f t="shared" si="39"/>
        <v>604440</v>
      </c>
    </row>
    <row r="1110" spans="1:4" x14ac:dyDescent="0.3">
      <c r="A1110" s="42">
        <v>1095</v>
      </c>
      <c r="B1110" s="43">
        <f t="shared" si="37"/>
        <v>2095</v>
      </c>
      <c r="C1110" s="10">
        <f t="shared" si="38"/>
        <v>1100</v>
      </c>
      <c r="D1110" s="45">
        <f t="shared" si="39"/>
        <v>605540</v>
      </c>
    </row>
    <row r="1111" spans="1:4" x14ac:dyDescent="0.3">
      <c r="A1111" s="42">
        <v>1096</v>
      </c>
      <c r="B1111" s="43">
        <f t="shared" si="37"/>
        <v>2096</v>
      </c>
      <c r="C1111" s="10">
        <f t="shared" si="38"/>
        <v>1101</v>
      </c>
      <c r="D1111" s="45">
        <f t="shared" si="39"/>
        <v>606641</v>
      </c>
    </row>
    <row r="1112" spans="1:4" x14ac:dyDescent="0.3">
      <c r="A1112" s="42">
        <v>1097</v>
      </c>
      <c r="B1112" s="43">
        <f t="shared" si="37"/>
        <v>2097</v>
      </c>
      <c r="C1112" s="10">
        <f t="shared" si="38"/>
        <v>1102</v>
      </c>
      <c r="D1112" s="45">
        <f t="shared" si="39"/>
        <v>607743</v>
      </c>
    </row>
    <row r="1113" spans="1:4" x14ac:dyDescent="0.3">
      <c r="A1113" s="42">
        <v>1098</v>
      </c>
      <c r="B1113" s="43">
        <f t="shared" si="37"/>
        <v>2098</v>
      </c>
      <c r="C1113" s="10">
        <f t="shared" si="38"/>
        <v>1103</v>
      </c>
      <c r="D1113" s="45">
        <f t="shared" si="39"/>
        <v>608846</v>
      </c>
    </row>
    <row r="1114" spans="1:4" x14ac:dyDescent="0.3">
      <c r="A1114" s="42">
        <v>1099</v>
      </c>
      <c r="B1114" s="43">
        <f t="shared" si="37"/>
        <v>2099</v>
      </c>
      <c r="C1114" s="10">
        <f t="shared" si="38"/>
        <v>1104</v>
      </c>
      <c r="D1114" s="45">
        <f t="shared" si="39"/>
        <v>609950</v>
      </c>
    </row>
    <row r="1115" spans="1:4" x14ac:dyDescent="0.3">
      <c r="A1115" s="42">
        <v>1100</v>
      </c>
      <c r="B1115" s="43">
        <f t="shared" si="37"/>
        <v>2100</v>
      </c>
      <c r="C1115" s="10">
        <f t="shared" si="38"/>
        <v>1105</v>
      </c>
      <c r="D1115" s="45">
        <f t="shared" si="39"/>
        <v>611055</v>
      </c>
    </row>
    <row r="1116" spans="1:4" x14ac:dyDescent="0.3">
      <c r="A1116" s="42">
        <v>1101</v>
      </c>
      <c r="B1116" s="43">
        <f t="shared" si="37"/>
        <v>2101</v>
      </c>
      <c r="C1116" s="10">
        <f t="shared" si="38"/>
        <v>1106</v>
      </c>
      <c r="D1116" s="45">
        <f t="shared" si="39"/>
        <v>612161</v>
      </c>
    </row>
    <row r="1117" spans="1:4" x14ac:dyDescent="0.3">
      <c r="A1117" s="42">
        <v>1102</v>
      </c>
      <c r="B1117" s="43">
        <f t="shared" si="37"/>
        <v>2102</v>
      </c>
      <c r="C1117" s="10">
        <f t="shared" si="38"/>
        <v>1107</v>
      </c>
      <c r="D1117" s="45">
        <f t="shared" si="39"/>
        <v>613268</v>
      </c>
    </row>
    <row r="1118" spans="1:4" x14ac:dyDescent="0.3">
      <c r="A1118" s="42">
        <v>1103</v>
      </c>
      <c r="B1118" s="43">
        <f t="shared" si="37"/>
        <v>2103</v>
      </c>
      <c r="C1118" s="10">
        <f t="shared" si="38"/>
        <v>1108</v>
      </c>
      <c r="D1118" s="45">
        <f t="shared" si="39"/>
        <v>614376</v>
      </c>
    </row>
    <row r="1119" spans="1:4" x14ac:dyDescent="0.3">
      <c r="A1119" s="42">
        <v>1104</v>
      </c>
      <c r="B1119" s="43">
        <f t="shared" si="37"/>
        <v>2104</v>
      </c>
      <c r="C1119" s="10">
        <f t="shared" si="38"/>
        <v>1109</v>
      </c>
      <c r="D1119" s="45">
        <f t="shared" si="39"/>
        <v>615485</v>
      </c>
    </row>
    <row r="1120" spans="1:4" x14ac:dyDescent="0.3">
      <c r="A1120" s="42">
        <v>1105</v>
      </c>
      <c r="B1120" s="43">
        <f t="shared" si="37"/>
        <v>2105</v>
      </c>
      <c r="C1120" s="10">
        <f t="shared" si="38"/>
        <v>1110</v>
      </c>
      <c r="D1120" s="45">
        <f t="shared" si="39"/>
        <v>616595</v>
      </c>
    </row>
    <row r="1121" spans="1:4" x14ac:dyDescent="0.3">
      <c r="A1121" s="42">
        <v>1106</v>
      </c>
      <c r="B1121" s="43">
        <f t="shared" si="37"/>
        <v>2106</v>
      </c>
      <c r="C1121" s="10">
        <f t="shared" si="38"/>
        <v>1111</v>
      </c>
      <c r="D1121" s="45">
        <f t="shared" si="39"/>
        <v>617706</v>
      </c>
    </row>
    <row r="1122" spans="1:4" x14ac:dyDescent="0.3">
      <c r="A1122" s="42">
        <v>1107</v>
      </c>
      <c r="B1122" s="43">
        <f t="shared" si="37"/>
        <v>2107</v>
      </c>
      <c r="C1122" s="10">
        <f t="shared" si="38"/>
        <v>1112</v>
      </c>
      <c r="D1122" s="45">
        <f t="shared" si="39"/>
        <v>618818</v>
      </c>
    </row>
    <row r="1123" spans="1:4" x14ac:dyDescent="0.3">
      <c r="A1123" s="42">
        <v>1108</v>
      </c>
      <c r="B1123" s="43">
        <f t="shared" si="37"/>
        <v>2108</v>
      </c>
      <c r="C1123" s="10">
        <f t="shared" si="38"/>
        <v>1113</v>
      </c>
      <c r="D1123" s="45">
        <f t="shared" si="39"/>
        <v>619931</v>
      </c>
    </row>
    <row r="1124" spans="1:4" x14ac:dyDescent="0.3">
      <c r="A1124" s="42">
        <v>1109</v>
      </c>
      <c r="B1124" s="43">
        <f t="shared" si="37"/>
        <v>2109</v>
      </c>
      <c r="C1124" s="10">
        <f t="shared" si="38"/>
        <v>1114</v>
      </c>
      <c r="D1124" s="45">
        <f t="shared" si="39"/>
        <v>621045</v>
      </c>
    </row>
    <row r="1125" spans="1:4" x14ac:dyDescent="0.3">
      <c r="A1125" s="42">
        <v>1110</v>
      </c>
      <c r="B1125" s="43">
        <f t="shared" si="37"/>
        <v>2110</v>
      </c>
      <c r="C1125" s="10">
        <f t="shared" si="38"/>
        <v>1115</v>
      </c>
      <c r="D1125" s="45">
        <f t="shared" si="39"/>
        <v>622160</v>
      </c>
    </row>
    <row r="1126" spans="1:4" x14ac:dyDescent="0.3">
      <c r="A1126" s="42">
        <v>1111</v>
      </c>
      <c r="B1126" s="43">
        <f t="shared" ref="B1126:B1189" si="40">B1125+R$8</f>
        <v>2111</v>
      </c>
      <c r="C1126" s="10">
        <f t="shared" ref="C1126:C1189" si="41">C1125+R$7</f>
        <v>1116</v>
      </c>
      <c r="D1126" s="45">
        <f t="shared" ref="D1126:D1189" si="42">D1125+C1126</f>
        <v>623276</v>
      </c>
    </row>
    <row r="1127" spans="1:4" x14ac:dyDescent="0.3">
      <c r="A1127" s="42">
        <v>1112</v>
      </c>
      <c r="B1127" s="43">
        <f t="shared" si="40"/>
        <v>2112</v>
      </c>
      <c r="C1127" s="10">
        <f t="shared" si="41"/>
        <v>1117</v>
      </c>
      <c r="D1127" s="45">
        <f t="shared" si="42"/>
        <v>624393</v>
      </c>
    </row>
    <row r="1128" spans="1:4" x14ac:dyDescent="0.3">
      <c r="A1128" s="42">
        <v>1113</v>
      </c>
      <c r="B1128" s="43">
        <f t="shared" si="40"/>
        <v>2113</v>
      </c>
      <c r="C1128" s="10">
        <f t="shared" si="41"/>
        <v>1118</v>
      </c>
      <c r="D1128" s="45">
        <f t="shared" si="42"/>
        <v>625511</v>
      </c>
    </row>
    <row r="1129" spans="1:4" x14ac:dyDescent="0.3">
      <c r="A1129" s="42">
        <v>1114</v>
      </c>
      <c r="B1129" s="43">
        <f t="shared" si="40"/>
        <v>2114</v>
      </c>
      <c r="C1129" s="10">
        <f t="shared" si="41"/>
        <v>1119</v>
      </c>
      <c r="D1129" s="45">
        <f t="shared" si="42"/>
        <v>626630</v>
      </c>
    </row>
    <row r="1130" spans="1:4" x14ac:dyDescent="0.3">
      <c r="A1130" s="42">
        <v>1115</v>
      </c>
      <c r="B1130" s="43">
        <f t="shared" si="40"/>
        <v>2115</v>
      </c>
      <c r="C1130" s="10">
        <f t="shared" si="41"/>
        <v>1120</v>
      </c>
      <c r="D1130" s="45">
        <f t="shared" si="42"/>
        <v>627750</v>
      </c>
    </row>
    <row r="1131" spans="1:4" x14ac:dyDescent="0.3">
      <c r="A1131" s="42">
        <v>1116</v>
      </c>
      <c r="B1131" s="43">
        <f t="shared" si="40"/>
        <v>2116</v>
      </c>
      <c r="C1131" s="10">
        <f t="shared" si="41"/>
        <v>1121</v>
      </c>
      <c r="D1131" s="45">
        <f t="shared" si="42"/>
        <v>628871</v>
      </c>
    </row>
    <row r="1132" spans="1:4" x14ac:dyDescent="0.3">
      <c r="A1132" s="42">
        <v>1117</v>
      </c>
      <c r="B1132" s="43">
        <f t="shared" si="40"/>
        <v>2117</v>
      </c>
      <c r="C1132" s="10">
        <f t="shared" si="41"/>
        <v>1122</v>
      </c>
      <c r="D1132" s="45">
        <f t="shared" si="42"/>
        <v>629993</v>
      </c>
    </row>
    <row r="1133" spans="1:4" x14ac:dyDescent="0.3">
      <c r="A1133" s="42">
        <v>1118</v>
      </c>
      <c r="B1133" s="43">
        <f t="shared" si="40"/>
        <v>2118</v>
      </c>
      <c r="C1133" s="10">
        <f t="shared" si="41"/>
        <v>1123</v>
      </c>
      <c r="D1133" s="45">
        <f t="shared" si="42"/>
        <v>631116</v>
      </c>
    </row>
    <row r="1134" spans="1:4" x14ac:dyDescent="0.3">
      <c r="A1134" s="42">
        <v>1119</v>
      </c>
      <c r="B1134" s="43">
        <f t="shared" si="40"/>
        <v>2119</v>
      </c>
      <c r="C1134" s="10">
        <f t="shared" si="41"/>
        <v>1124</v>
      </c>
      <c r="D1134" s="45">
        <f t="shared" si="42"/>
        <v>632240</v>
      </c>
    </row>
    <row r="1135" spans="1:4" x14ac:dyDescent="0.3">
      <c r="A1135" s="42">
        <v>1120</v>
      </c>
      <c r="B1135" s="43">
        <f t="shared" si="40"/>
        <v>2120</v>
      </c>
      <c r="C1135" s="10">
        <f t="shared" si="41"/>
        <v>1125</v>
      </c>
      <c r="D1135" s="45">
        <f t="shared" si="42"/>
        <v>633365</v>
      </c>
    </row>
    <row r="1136" spans="1:4" x14ac:dyDescent="0.3">
      <c r="A1136" s="42">
        <v>1121</v>
      </c>
      <c r="B1136" s="43">
        <f t="shared" si="40"/>
        <v>2121</v>
      </c>
      <c r="C1136" s="10">
        <f t="shared" si="41"/>
        <v>1126</v>
      </c>
      <c r="D1136" s="45">
        <f t="shared" si="42"/>
        <v>634491</v>
      </c>
    </row>
    <row r="1137" spans="1:4" x14ac:dyDescent="0.3">
      <c r="A1137" s="42">
        <v>1122</v>
      </c>
      <c r="B1137" s="43">
        <f t="shared" si="40"/>
        <v>2122</v>
      </c>
      <c r="C1137" s="10">
        <f t="shared" si="41"/>
        <v>1127</v>
      </c>
      <c r="D1137" s="45">
        <f t="shared" si="42"/>
        <v>635618</v>
      </c>
    </row>
    <row r="1138" spans="1:4" x14ac:dyDescent="0.3">
      <c r="A1138" s="42">
        <v>1123</v>
      </c>
      <c r="B1138" s="43">
        <f t="shared" si="40"/>
        <v>2123</v>
      </c>
      <c r="C1138" s="10">
        <f t="shared" si="41"/>
        <v>1128</v>
      </c>
      <c r="D1138" s="45">
        <f t="shared" si="42"/>
        <v>636746</v>
      </c>
    </row>
    <row r="1139" spans="1:4" x14ac:dyDescent="0.3">
      <c r="A1139" s="42">
        <v>1124</v>
      </c>
      <c r="B1139" s="43">
        <f t="shared" si="40"/>
        <v>2124</v>
      </c>
      <c r="C1139" s="10">
        <f t="shared" si="41"/>
        <v>1129</v>
      </c>
      <c r="D1139" s="45">
        <f t="shared" si="42"/>
        <v>637875</v>
      </c>
    </row>
    <row r="1140" spans="1:4" x14ac:dyDescent="0.3">
      <c r="A1140" s="42">
        <v>1125</v>
      </c>
      <c r="B1140" s="43">
        <f t="shared" si="40"/>
        <v>2125</v>
      </c>
      <c r="C1140" s="10">
        <f t="shared" si="41"/>
        <v>1130</v>
      </c>
      <c r="D1140" s="45">
        <f t="shared" si="42"/>
        <v>639005</v>
      </c>
    </row>
    <row r="1141" spans="1:4" x14ac:dyDescent="0.3">
      <c r="A1141" s="42">
        <v>1126</v>
      </c>
      <c r="B1141" s="43">
        <f t="shared" si="40"/>
        <v>2126</v>
      </c>
      <c r="C1141" s="10">
        <f t="shared" si="41"/>
        <v>1131</v>
      </c>
      <c r="D1141" s="45">
        <f t="shared" si="42"/>
        <v>640136</v>
      </c>
    </row>
    <row r="1142" spans="1:4" x14ac:dyDescent="0.3">
      <c r="A1142" s="42">
        <v>1127</v>
      </c>
      <c r="B1142" s="43">
        <f t="shared" si="40"/>
        <v>2127</v>
      </c>
      <c r="C1142" s="10">
        <f t="shared" si="41"/>
        <v>1132</v>
      </c>
      <c r="D1142" s="45">
        <f t="shared" si="42"/>
        <v>641268</v>
      </c>
    </row>
    <row r="1143" spans="1:4" x14ac:dyDescent="0.3">
      <c r="A1143" s="42">
        <v>1128</v>
      </c>
      <c r="B1143" s="43">
        <f t="shared" si="40"/>
        <v>2128</v>
      </c>
      <c r="C1143" s="10">
        <f t="shared" si="41"/>
        <v>1133</v>
      </c>
      <c r="D1143" s="45">
        <f t="shared" si="42"/>
        <v>642401</v>
      </c>
    </row>
    <row r="1144" spans="1:4" x14ac:dyDescent="0.3">
      <c r="A1144" s="42">
        <v>1129</v>
      </c>
      <c r="B1144" s="43">
        <f t="shared" si="40"/>
        <v>2129</v>
      </c>
      <c r="C1144" s="10">
        <f t="shared" si="41"/>
        <v>1134</v>
      </c>
      <c r="D1144" s="45">
        <f t="shared" si="42"/>
        <v>643535</v>
      </c>
    </row>
    <row r="1145" spans="1:4" x14ac:dyDescent="0.3">
      <c r="A1145" s="42">
        <v>1130</v>
      </c>
      <c r="B1145" s="43">
        <f t="shared" si="40"/>
        <v>2130</v>
      </c>
      <c r="C1145" s="10">
        <f t="shared" si="41"/>
        <v>1135</v>
      </c>
      <c r="D1145" s="45">
        <f t="shared" si="42"/>
        <v>644670</v>
      </c>
    </row>
    <row r="1146" spans="1:4" x14ac:dyDescent="0.3">
      <c r="A1146" s="42">
        <v>1131</v>
      </c>
      <c r="B1146" s="43">
        <f t="shared" si="40"/>
        <v>2131</v>
      </c>
      <c r="C1146" s="10">
        <f t="shared" si="41"/>
        <v>1136</v>
      </c>
      <c r="D1146" s="45">
        <f t="shared" si="42"/>
        <v>645806</v>
      </c>
    </row>
    <row r="1147" spans="1:4" x14ac:dyDescent="0.3">
      <c r="A1147" s="42">
        <v>1132</v>
      </c>
      <c r="B1147" s="43">
        <f t="shared" si="40"/>
        <v>2132</v>
      </c>
      <c r="C1147" s="10">
        <f t="shared" si="41"/>
        <v>1137</v>
      </c>
      <c r="D1147" s="45">
        <f t="shared" si="42"/>
        <v>646943</v>
      </c>
    </row>
    <row r="1148" spans="1:4" x14ac:dyDescent="0.3">
      <c r="A1148" s="42">
        <v>1133</v>
      </c>
      <c r="B1148" s="43">
        <f t="shared" si="40"/>
        <v>2133</v>
      </c>
      <c r="C1148" s="10">
        <f t="shared" si="41"/>
        <v>1138</v>
      </c>
      <c r="D1148" s="45">
        <f t="shared" si="42"/>
        <v>648081</v>
      </c>
    </row>
    <row r="1149" spans="1:4" x14ac:dyDescent="0.3">
      <c r="A1149" s="42">
        <v>1134</v>
      </c>
      <c r="B1149" s="43">
        <f t="shared" si="40"/>
        <v>2134</v>
      </c>
      <c r="C1149" s="10">
        <f t="shared" si="41"/>
        <v>1139</v>
      </c>
      <c r="D1149" s="45">
        <f t="shared" si="42"/>
        <v>649220</v>
      </c>
    </row>
    <row r="1150" spans="1:4" x14ac:dyDescent="0.3">
      <c r="A1150" s="42">
        <v>1135</v>
      </c>
      <c r="B1150" s="43">
        <f t="shared" si="40"/>
        <v>2135</v>
      </c>
      <c r="C1150" s="10">
        <f t="shared" si="41"/>
        <v>1140</v>
      </c>
      <c r="D1150" s="45">
        <f t="shared" si="42"/>
        <v>650360</v>
      </c>
    </row>
    <row r="1151" spans="1:4" x14ac:dyDescent="0.3">
      <c r="A1151" s="42">
        <v>1136</v>
      </c>
      <c r="B1151" s="43">
        <f t="shared" si="40"/>
        <v>2136</v>
      </c>
      <c r="C1151" s="10">
        <f t="shared" si="41"/>
        <v>1141</v>
      </c>
      <c r="D1151" s="45">
        <f t="shared" si="42"/>
        <v>651501</v>
      </c>
    </row>
    <row r="1152" spans="1:4" x14ac:dyDescent="0.3">
      <c r="A1152" s="42">
        <v>1137</v>
      </c>
      <c r="B1152" s="43">
        <f t="shared" si="40"/>
        <v>2137</v>
      </c>
      <c r="C1152" s="10">
        <f t="shared" si="41"/>
        <v>1142</v>
      </c>
      <c r="D1152" s="45">
        <f t="shared" si="42"/>
        <v>652643</v>
      </c>
    </row>
    <row r="1153" spans="1:4" x14ac:dyDescent="0.3">
      <c r="A1153" s="42">
        <v>1138</v>
      </c>
      <c r="B1153" s="43">
        <f t="shared" si="40"/>
        <v>2138</v>
      </c>
      <c r="C1153" s="10">
        <f t="shared" si="41"/>
        <v>1143</v>
      </c>
      <c r="D1153" s="45">
        <f t="shared" si="42"/>
        <v>653786</v>
      </c>
    </row>
    <row r="1154" spans="1:4" x14ac:dyDescent="0.3">
      <c r="A1154" s="42">
        <v>1139</v>
      </c>
      <c r="B1154" s="43">
        <f t="shared" si="40"/>
        <v>2139</v>
      </c>
      <c r="C1154" s="10">
        <f t="shared" si="41"/>
        <v>1144</v>
      </c>
      <c r="D1154" s="45">
        <f t="shared" si="42"/>
        <v>654930</v>
      </c>
    </row>
    <row r="1155" spans="1:4" x14ac:dyDescent="0.3">
      <c r="A1155" s="42">
        <v>1140</v>
      </c>
      <c r="B1155" s="43">
        <f t="shared" si="40"/>
        <v>2140</v>
      </c>
      <c r="C1155" s="10">
        <f t="shared" si="41"/>
        <v>1145</v>
      </c>
      <c r="D1155" s="45">
        <f t="shared" si="42"/>
        <v>656075</v>
      </c>
    </row>
    <row r="1156" spans="1:4" x14ac:dyDescent="0.3">
      <c r="A1156" s="42">
        <v>1141</v>
      </c>
      <c r="B1156" s="43">
        <f t="shared" si="40"/>
        <v>2141</v>
      </c>
      <c r="C1156" s="10">
        <f t="shared" si="41"/>
        <v>1146</v>
      </c>
      <c r="D1156" s="45">
        <f t="shared" si="42"/>
        <v>657221</v>
      </c>
    </row>
    <row r="1157" spans="1:4" x14ac:dyDescent="0.3">
      <c r="A1157" s="42">
        <v>1142</v>
      </c>
      <c r="B1157" s="43">
        <f t="shared" si="40"/>
        <v>2142</v>
      </c>
      <c r="C1157" s="10">
        <f t="shared" si="41"/>
        <v>1147</v>
      </c>
      <c r="D1157" s="45">
        <f t="shared" si="42"/>
        <v>658368</v>
      </c>
    </row>
    <row r="1158" spans="1:4" x14ac:dyDescent="0.3">
      <c r="A1158" s="42">
        <v>1143</v>
      </c>
      <c r="B1158" s="43">
        <f t="shared" si="40"/>
        <v>2143</v>
      </c>
      <c r="C1158" s="10">
        <f t="shared" si="41"/>
        <v>1148</v>
      </c>
      <c r="D1158" s="45">
        <f t="shared" si="42"/>
        <v>659516</v>
      </c>
    </row>
    <row r="1159" spans="1:4" x14ac:dyDescent="0.3">
      <c r="A1159" s="42">
        <v>1144</v>
      </c>
      <c r="B1159" s="43">
        <f t="shared" si="40"/>
        <v>2144</v>
      </c>
      <c r="C1159" s="10">
        <f t="shared" si="41"/>
        <v>1149</v>
      </c>
      <c r="D1159" s="45">
        <f t="shared" si="42"/>
        <v>660665</v>
      </c>
    </row>
    <row r="1160" spans="1:4" x14ac:dyDescent="0.3">
      <c r="A1160" s="42">
        <v>1145</v>
      </c>
      <c r="B1160" s="43">
        <f t="shared" si="40"/>
        <v>2145</v>
      </c>
      <c r="C1160" s="10">
        <f t="shared" si="41"/>
        <v>1150</v>
      </c>
      <c r="D1160" s="45">
        <f t="shared" si="42"/>
        <v>661815</v>
      </c>
    </row>
    <row r="1161" spans="1:4" x14ac:dyDescent="0.3">
      <c r="A1161" s="42">
        <v>1146</v>
      </c>
      <c r="B1161" s="43">
        <f t="shared" si="40"/>
        <v>2146</v>
      </c>
      <c r="C1161" s="10">
        <f t="shared" si="41"/>
        <v>1151</v>
      </c>
      <c r="D1161" s="45">
        <f t="shared" si="42"/>
        <v>662966</v>
      </c>
    </row>
    <row r="1162" spans="1:4" x14ac:dyDescent="0.3">
      <c r="A1162" s="42">
        <v>1147</v>
      </c>
      <c r="B1162" s="43">
        <f t="shared" si="40"/>
        <v>2147</v>
      </c>
      <c r="C1162" s="10">
        <f t="shared" si="41"/>
        <v>1152</v>
      </c>
      <c r="D1162" s="45">
        <f t="shared" si="42"/>
        <v>664118</v>
      </c>
    </row>
    <row r="1163" spans="1:4" x14ac:dyDescent="0.3">
      <c r="A1163" s="42">
        <v>1148</v>
      </c>
      <c r="B1163" s="43">
        <f t="shared" si="40"/>
        <v>2148</v>
      </c>
      <c r="C1163" s="10">
        <f t="shared" si="41"/>
        <v>1153</v>
      </c>
      <c r="D1163" s="45">
        <f t="shared" si="42"/>
        <v>665271</v>
      </c>
    </row>
    <row r="1164" spans="1:4" x14ac:dyDescent="0.3">
      <c r="A1164" s="42">
        <v>1149</v>
      </c>
      <c r="B1164" s="43">
        <f t="shared" si="40"/>
        <v>2149</v>
      </c>
      <c r="C1164" s="10">
        <f t="shared" si="41"/>
        <v>1154</v>
      </c>
      <c r="D1164" s="45">
        <f t="shared" si="42"/>
        <v>666425</v>
      </c>
    </row>
    <row r="1165" spans="1:4" x14ac:dyDescent="0.3">
      <c r="A1165" s="42">
        <v>1150</v>
      </c>
      <c r="B1165" s="43">
        <f t="shared" si="40"/>
        <v>2150</v>
      </c>
      <c r="C1165" s="10">
        <f t="shared" si="41"/>
        <v>1155</v>
      </c>
      <c r="D1165" s="45">
        <f t="shared" si="42"/>
        <v>667580</v>
      </c>
    </row>
    <row r="1166" spans="1:4" x14ac:dyDescent="0.3">
      <c r="A1166" s="42">
        <v>1151</v>
      </c>
      <c r="B1166" s="43">
        <f t="shared" si="40"/>
        <v>2151</v>
      </c>
      <c r="C1166" s="10">
        <f t="shared" si="41"/>
        <v>1156</v>
      </c>
      <c r="D1166" s="45">
        <f t="shared" si="42"/>
        <v>668736</v>
      </c>
    </row>
    <row r="1167" spans="1:4" x14ac:dyDescent="0.3">
      <c r="A1167" s="42">
        <v>1152</v>
      </c>
      <c r="B1167" s="43">
        <f t="shared" si="40"/>
        <v>2152</v>
      </c>
      <c r="C1167" s="10">
        <f t="shared" si="41"/>
        <v>1157</v>
      </c>
      <c r="D1167" s="45">
        <f t="shared" si="42"/>
        <v>669893</v>
      </c>
    </row>
    <row r="1168" spans="1:4" x14ac:dyDescent="0.3">
      <c r="A1168" s="42">
        <v>1153</v>
      </c>
      <c r="B1168" s="43">
        <f t="shared" si="40"/>
        <v>2153</v>
      </c>
      <c r="C1168" s="10">
        <f t="shared" si="41"/>
        <v>1158</v>
      </c>
      <c r="D1168" s="45">
        <f t="shared" si="42"/>
        <v>671051</v>
      </c>
    </row>
    <row r="1169" spans="1:4" x14ac:dyDescent="0.3">
      <c r="A1169" s="42">
        <v>1154</v>
      </c>
      <c r="B1169" s="43">
        <f t="shared" si="40"/>
        <v>2154</v>
      </c>
      <c r="C1169" s="10">
        <f t="shared" si="41"/>
        <v>1159</v>
      </c>
      <c r="D1169" s="45">
        <f t="shared" si="42"/>
        <v>672210</v>
      </c>
    </row>
    <row r="1170" spans="1:4" x14ac:dyDescent="0.3">
      <c r="A1170" s="42">
        <v>1155</v>
      </c>
      <c r="B1170" s="43">
        <f t="shared" si="40"/>
        <v>2155</v>
      </c>
      <c r="C1170" s="10">
        <f t="shared" si="41"/>
        <v>1160</v>
      </c>
      <c r="D1170" s="45">
        <f t="shared" si="42"/>
        <v>673370</v>
      </c>
    </row>
    <row r="1171" spans="1:4" x14ac:dyDescent="0.3">
      <c r="A1171" s="42">
        <v>1156</v>
      </c>
      <c r="B1171" s="43">
        <f t="shared" si="40"/>
        <v>2156</v>
      </c>
      <c r="C1171" s="10">
        <f t="shared" si="41"/>
        <v>1161</v>
      </c>
      <c r="D1171" s="45">
        <f t="shared" si="42"/>
        <v>674531</v>
      </c>
    </row>
    <row r="1172" spans="1:4" x14ac:dyDescent="0.3">
      <c r="A1172" s="42">
        <v>1157</v>
      </c>
      <c r="B1172" s="43">
        <f t="shared" si="40"/>
        <v>2157</v>
      </c>
      <c r="C1172" s="10">
        <f t="shared" si="41"/>
        <v>1162</v>
      </c>
      <c r="D1172" s="45">
        <f t="shared" si="42"/>
        <v>675693</v>
      </c>
    </row>
    <row r="1173" spans="1:4" x14ac:dyDescent="0.3">
      <c r="A1173" s="42">
        <v>1158</v>
      </c>
      <c r="B1173" s="43">
        <f t="shared" si="40"/>
        <v>2158</v>
      </c>
      <c r="C1173" s="10">
        <f t="shared" si="41"/>
        <v>1163</v>
      </c>
      <c r="D1173" s="45">
        <f t="shared" si="42"/>
        <v>676856</v>
      </c>
    </row>
    <row r="1174" spans="1:4" x14ac:dyDescent="0.3">
      <c r="A1174" s="42">
        <v>1159</v>
      </c>
      <c r="B1174" s="43">
        <f t="shared" si="40"/>
        <v>2159</v>
      </c>
      <c r="C1174" s="10">
        <f t="shared" si="41"/>
        <v>1164</v>
      </c>
      <c r="D1174" s="45">
        <f t="shared" si="42"/>
        <v>678020</v>
      </c>
    </row>
    <row r="1175" spans="1:4" x14ac:dyDescent="0.3">
      <c r="A1175" s="42">
        <v>1160</v>
      </c>
      <c r="B1175" s="43">
        <f t="shared" si="40"/>
        <v>2160</v>
      </c>
      <c r="C1175" s="10">
        <f t="shared" si="41"/>
        <v>1165</v>
      </c>
      <c r="D1175" s="45">
        <f t="shared" si="42"/>
        <v>679185</v>
      </c>
    </row>
    <row r="1176" spans="1:4" x14ac:dyDescent="0.3">
      <c r="A1176" s="42">
        <v>1161</v>
      </c>
      <c r="B1176" s="43">
        <f t="shared" si="40"/>
        <v>2161</v>
      </c>
      <c r="C1176" s="10">
        <f t="shared" si="41"/>
        <v>1166</v>
      </c>
      <c r="D1176" s="45">
        <f t="shared" si="42"/>
        <v>680351</v>
      </c>
    </row>
    <row r="1177" spans="1:4" x14ac:dyDescent="0.3">
      <c r="A1177" s="42">
        <v>1162</v>
      </c>
      <c r="B1177" s="43">
        <f t="shared" si="40"/>
        <v>2162</v>
      </c>
      <c r="C1177" s="10">
        <f t="shared" si="41"/>
        <v>1167</v>
      </c>
      <c r="D1177" s="45">
        <f t="shared" si="42"/>
        <v>681518</v>
      </c>
    </row>
    <row r="1178" spans="1:4" x14ac:dyDescent="0.3">
      <c r="A1178" s="42">
        <v>1163</v>
      </c>
      <c r="B1178" s="43">
        <f t="shared" si="40"/>
        <v>2163</v>
      </c>
      <c r="C1178" s="10">
        <f t="shared" si="41"/>
        <v>1168</v>
      </c>
      <c r="D1178" s="45">
        <f t="shared" si="42"/>
        <v>682686</v>
      </c>
    </row>
    <row r="1179" spans="1:4" x14ac:dyDescent="0.3">
      <c r="A1179" s="42">
        <v>1164</v>
      </c>
      <c r="B1179" s="43">
        <f t="shared" si="40"/>
        <v>2164</v>
      </c>
      <c r="C1179" s="10">
        <f t="shared" si="41"/>
        <v>1169</v>
      </c>
      <c r="D1179" s="45">
        <f t="shared" si="42"/>
        <v>683855</v>
      </c>
    </row>
    <row r="1180" spans="1:4" x14ac:dyDescent="0.3">
      <c r="A1180" s="42">
        <v>1165</v>
      </c>
      <c r="B1180" s="43">
        <f t="shared" si="40"/>
        <v>2165</v>
      </c>
      <c r="C1180" s="10">
        <f t="shared" si="41"/>
        <v>1170</v>
      </c>
      <c r="D1180" s="45">
        <f t="shared" si="42"/>
        <v>685025</v>
      </c>
    </row>
    <row r="1181" spans="1:4" x14ac:dyDescent="0.3">
      <c r="A1181" s="42">
        <v>1166</v>
      </c>
      <c r="B1181" s="43">
        <f t="shared" si="40"/>
        <v>2166</v>
      </c>
      <c r="C1181" s="10">
        <f t="shared" si="41"/>
        <v>1171</v>
      </c>
      <c r="D1181" s="45">
        <f t="shared" si="42"/>
        <v>686196</v>
      </c>
    </row>
    <row r="1182" spans="1:4" x14ac:dyDescent="0.3">
      <c r="A1182" s="42">
        <v>1167</v>
      </c>
      <c r="B1182" s="43">
        <f t="shared" si="40"/>
        <v>2167</v>
      </c>
      <c r="C1182" s="10">
        <f t="shared" si="41"/>
        <v>1172</v>
      </c>
      <c r="D1182" s="45">
        <f t="shared" si="42"/>
        <v>687368</v>
      </c>
    </row>
    <row r="1183" spans="1:4" x14ac:dyDescent="0.3">
      <c r="A1183" s="42">
        <v>1168</v>
      </c>
      <c r="B1183" s="43">
        <f t="shared" si="40"/>
        <v>2168</v>
      </c>
      <c r="C1183" s="10">
        <f t="shared" si="41"/>
        <v>1173</v>
      </c>
      <c r="D1183" s="45">
        <f t="shared" si="42"/>
        <v>688541</v>
      </c>
    </row>
    <row r="1184" spans="1:4" x14ac:dyDescent="0.3">
      <c r="A1184" s="42">
        <v>1169</v>
      </c>
      <c r="B1184" s="43">
        <f t="shared" si="40"/>
        <v>2169</v>
      </c>
      <c r="C1184" s="10">
        <f t="shared" si="41"/>
        <v>1174</v>
      </c>
      <c r="D1184" s="45">
        <f t="shared" si="42"/>
        <v>689715</v>
      </c>
    </row>
    <row r="1185" spans="1:4" x14ac:dyDescent="0.3">
      <c r="A1185" s="42">
        <v>1170</v>
      </c>
      <c r="B1185" s="43">
        <f t="shared" si="40"/>
        <v>2170</v>
      </c>
      <c r="C1185" s="10">
        <f t="shared" si="41"/>
        <v>1175</v>
      </c>
      <c r="D1185" s="45">
        <f t="shared" si="42"/>
        <v>690890</v>
      </c>
    </row>
    <row r="1186" spans="1:4" x14ac:dyDescent="0.3">
      <c r="A1186" s="42">
        <v>1171</v>
      </c>
      <c r="B1186" s="43">
        <f t="shared" si="40"/>
        <v>2171</v>
      </c>
      <c r="C1186" s="10">
        <f t="shared" si="41"/>
        <v>1176</v>
      </c>
      <c r="D1186" s="45">
        <f t="shared" si="42"/>
        <v>692066</v>
      </c>
    </row>
    <row r="1187" spans="1:4" x14ac:dyDescent="0.3">
      <c r="A1187" s="42">
        <v>1172</v>
      </c>
      <c r="B1187" s="43">
        <f t="shared" si="40"/>
        <v>2172</v>
      </c>
      <c r="C1187" s="10">
        <f t="shared" si="41"/>
        <v>1177</v>
      </c>
      <c r="D1187" s="45">
        <f t="shared" si="42"/>
        <v>693243</v>
      </c>
    </row>
    <row r="1188" spans="1:4" x14ac:dyDescent="0.3">
      <c r="A1188" s="42">
        <v>1173</v>
      </c>
      <c r="B1188" s="43">
        <f t="shared" si="40"/>
        <v>2173</v>
      </c>
      <c r="C1188" s="10">
        <f t="shared" si="41"/>
        <v>1178</v>
      </c>
      <c r="D1188" s="45">
        <f t="shared" si="42"/>
        <v>694421</v>
      </c>
    </row>
    <row r="1189" spans="1:4" x14ac:dyDescent="0.3">
      <c r="A1189" s="42">
        <v>1174</v>
      </c>
      <c r="B1189" s="43">
        <f t="shared" si="40"/>
        <v>2174</v>
      </c>
      <c r="C1189" s="10">
        <f t="shared" si="41"/>
        <v>1179</v>
      </c>
      <c r="D1189" s="45">
        <f t="shared" si="42"/>
        <v>695600</v>
      </c>
    </row>
    <row r="1190" spans="1:4" x14ac:dyDescent="0.3">
      <c r="A1190" s="42">
        <v>1175</v>
      </c>
      <c r="B1190" s="43">
        <f t="shared" ref="B1190:B1253" si="43">B1189+R$8</f>
        <v>2175</v>
      </c>
      <c r="C1190" s="10">
        <f t="shared" ref="C1190:C1253" si="44">C1189+R$7</f>
        <v>1180</v>
      </c>
      <c r="D1190" s="45">
        <f t="shared" ref="D1190:D1253" si="45">D1189+C1190</f>
        <v>696780</v>
      </c>
    </row>
    <row r="1191" spans="1:4" x14ac:dyDescent="0.3">
      <c r="A1191" s="42">
        <v>1176</v>
      </c>
      <c r="B1191" s="43">
        <f t="shared" si="43"/>
        <v>2176</v>
      </c>
      <c r="C1191" s="10">
        <f t="shared" si="44"/>
        <v>1181</v>
      </c>
      <c r="D1191" s="45">
        <f t="shared" si="45"/>
        <v>697961</v>
      </c>
    </row>
    <row r="1192" spans="1:4" x14ac:dyDescent="0.3">
      <c r="A1192" s="42">
        <v>1177</v>
      </c>
      <c r="B1192" s="43">
        <f t="shared" si="43"/>
        <v>2177</v>
      </c>
      <c r="C1192" s="10">
        <f t="shared" si="44"/>
        <v>1182</v>
      </c>
      <c r="D1192" s="45">
        <f t="shared" si="45"/>
        <v>699143</v>
      </c>
    </row>
    <row r="1193" spans="1:4" x14ac:dyDescent="0.3">
      <c r="A1193" s="42">
        <v>1178</v>
      </c>
      <c r="B1193" s="43">
        <f t="shared" si="43"/>
        <v>2178</v>
      </c>
      <c r="C1193" s="10">
        <f t="shared" si="44"/>
        <v>1183</v>
      </c>
      <c r="D1193" s="45">
        <f t="shared" si="45"/>
        <v>700326</v>
      </c>
    </row>
    <row r="1194" spans="1:4" x14ac:dyDescent="0.3">
      <c r="A1194" s="42">
        <v>1179</v>
      </c>
      <c r="B1194" s="43">
        <f t="shared" si="43"/>
        <v>2179</v>
      </c>
      <c r="C1194" s="10">
        <f t="shared" si="44"/>
        <v>1184</v>
      </c>
      <c r="D1194" s="45">
        <f t="shared" si="45"/>
        <v>701510</v>
      </c>
    </row>
    <row r="1195" spans="1:4" x14ac:dyDescent="0.3">
      <c r="A1195" s="42">
        <v>1180</v>
      </c>
      <c r="B1195" s="43">
        <f t="shared" si="43"/>
        <v>2180</v>
      </c>
      <c r="C1195" s="10">
        <f t="shared" si="44"/>
        <v>1185</v>
      </c>
      <c r="D1195" s="45">
        <f t="shared" si="45"/>
        <v>702695</v>
      </c>
    </row>
    <row r="1196" spans="1:4" x14ac:dyDescent="0.3">
      <c r="A1196" s="42">
        <v>1181</v>
      </c>
      <c r="B1196" s="43">
        <f t="shared" si="43"/>
        <v>2181</v>
      </c>
      <c r="C1196" s="10">
        <f t="shared" si="44"/>
        <v>1186</v>
      </c>
      <c r="D1196" s="45">
        <f t="shared" si="45"/>
        <v>703881</v>
      </c>
    </row>
    <row r="1197" spans="1:4" x14ac:dyDescent="0.3">
      <c r="A1197" s="42">
        <v>1182</v>
      </c>
      <c r="B1197" s="43">
        <f t="shared" si="43"/>
        <v>2182</v>
      </c>
      <c r="C1197" s="10">
        <f t="shared" si="44"/>
        <v>1187</v>
      </c>
      <c r="D1197" s="45">
        <f t="shared" si="45"/>
        <v>705068</v>
      </c>
    </row>
    <row r="1198" spans="1:4" x14ac:dyDescent="0.3">
      <c r="A1198" s="42">
        <v>1183</v>
      </c>
      <c r="B1198" s="43">
        <f t="shared" si="43"/>
        <v>2183</v>
      </c>
      <c r="C1198" s="10">
        <f t="shared" si="44"/>
        <v>1188</v>
      </c>
      <c r="D1198" s="45">
        <f t="shared" si="45"/>
        <v>706256</v>
      </c>
    </row>
    <row r="1199" spans="1:4" x14ac:dyDescent="0.3">
      <c r="A1199" s="42">
        <v>1184</v>
      </c>
      <c r="B1199" s="43">
        <f t="shared" si="43"/>
        <v>2184</v>
      </c>
      <c r="C1199" s="10">
        <f t="shared" si="44"/>
        <v>1189</v>
      </c>
      <c r="D1199" s="45">
        <f t="shared" si="45"/>
        <v>707445</v>
      </c>
    </row>
    <row r="1200" spans="1:4" x14ac:dyDescent="0.3">
      <c r="A1200" s="42">
        <v>1185</v>
      </c>
      <c r="B1200" s="43">
        <f t="shared" si="43"/>
        <v>2185</v>
      </c>
      <c r="C1200" s="10">
        <f t="shared" si="44"/>
        <v>1190</v>
      </c>
      <c r="D1200" s="45">
        <f t="shared" si="45"/>
        <v>708635</v>
      </c>
    </row>
    <row r="1201" spans="1:4" x14ac:dyDescent="0.3">
      <c r="A1201" s="42">
        <v>1186</v>
      </c>
      <c r="B1201" s="43">
        <f t="shared" si="43"/>
        <v>2186</v>
      </c>
      <c r="C1201" s="10">
        <f t="shared" si="44"/>
        <v>1191</v>
      </c>
      <c r="D1201" s="45">
        <f t="shared" si="45"/>
        <v>709826</v>
      </c>
    </row>
    <row r="1202" spans="1:4" x14ac:dyDescent="0.3">
      <c r="A1202" s="42">
        <v>1187</v>
      </c>
      <c r="B1202" s="43">
        <f t="shared" si="43"/>
        <v>2187</v>
      </c>
      <c r="C1202" s="10">
        <f t="shared" si="44"/>
        <v>1192</v>
      </c>
      <c r="D1202" s="45">
        <f t="shared" si="45"/>
        <v>711018</v>
      </c>
    </row>
    <row r="1203" spans="1:4" x14ac:dyDescent="0.3">
      <c r="A1203" s="42">
        <v>1188</v>
      </c>
      <c r="B1203" s="43">
        <f t="shared" si="43"/>
        <v>2188</v>
      </c>
      <c r="C1203" s="10">
        <f t="shared" si="44"/>
        <v>1193</v>
      </c>
      <c r="D1203" s="45">
        <f t="shared" si="45"/>
        <v>712211</v>
      </c>
    </row>
    <row r="1204" spans="1:4" x14ac:dyDescent="0.3">
      <c r="A1204" s="42">
        <v>1189</v>
      </c>
      <c r="B1204" s="43">
        <f t="shared" si="43"/>
        <v>2189</v>
      </c>
      <c r="C1204" s="10">
        <f t="shared" si="44"/>
        <v>1194</v>
      </c>
      <c r="D1204" s="45">
        <f t="shared" si="45"/>
        <v>713405</v>
      </c>
    </row>
    <row r="1205" spans="1:4" x14ac:dyDescent="0.3">
      <c r="A1205" s="42">
        <v>1190</v>
      </c>
      <c r="B1205" s="43">
        <f t="shared" si="43"/>
        <v>2190</v>
      </c>
      <c r="C1205" s="10">
        <f t="shared" si="44"/>
        <v>1195</v>
      </c>
      <c r="D1205" s="45">
        <f t="shared" si="45"/>
        <v>714600</v>
      </c>
    </row>
    <row r="1206" spans="1:4" x14ac:dyDescent="0.3">
      <c r="A1206" s="42">
        <v>1191</v>
      </c>
      <c r="B1206" s="43">
        <f t="shared" si="43"/>
        <v>2191</v>
      </c>
      <c r="C1206" s="10">
        <f t="shared" si="44"/>
        <v>1196</v>
      </c>
      <c r="D1206" s="45">
        <f t="shared" si="45"/>
        <v>715796</v>
      </c>
    </row>
    <row r="1207" spans="1:4" x14ac:dyDescent="0.3">
      <c r="A1207" s="42">
        <v>1192</v>
      </c>
      <c r="B1207" s="43">
        <f t="shared" si="43"/>
        <v>2192</v>
      </c>
      <c r="C1207" s="10">
        <f t="shared" si="44"/>
        <v>1197</v>
      </c>
      <c r="D1207" s="45">
        <f t="shared" si="45"/>
        <v>716993</v>
      </c>
    </row>
    <row r="1208" spans="1:4" x14ac:dyDescent="0.3">
      <c r="A1208" s="42">
        <v>1193</v>
      </c>
      <c r="B1208" s="43">
        <f t="shared" si="43"/>
        <v>2193</v>
      </c>
      <c r="C1208" s="10">
        <f t="shared" si="44"/>
        <v>1198</v>
      </c>
      <c r="D1208" s="45">
        <f t="shared" si="45"/>
        <v>718191</v>
      </c>
    </row>
    <row r="1209" spans="1:4" x14ac:dyDescent="0.3">
      <c r="A1209" s="42">
        <v>1194</v>
      </c>
      <c r="B1209" s="43">
        <f t="shared" si="43"/>
        <v>2194</v>
      </c>
      <c r="C1209" s="10">
        <f t="shared" si="44"/>
        <v>1199</v>
      </c>
      <c r="D1209" s="45">
        <f t="shared" si="45"/>
        <v>719390</v>
      </c>
    </row>
    <row r="1210" spans="1:4" x14ac:dyDescent="0.3">
      <c r="A1210" s="42">
        <v>1195</v>
      </c>
      <c r="B1210" s="43">
        <f t="shared" si="43"/>
        <v>2195</v>
      </c>
      <c r="C1210" s="10">
        <f t="shared" si="44"/>
        <v>1200</v>
      </c>
      <c r="D1210" s="45">
        <f t="shared" si="45"/>
        <v>720590</v>
      </c>
    </row>
    <row r="1211" spans="1:4" x14ac:dyDescent="0.3">
      <c r="A1211" s="42">
        <v>1196</v>
      </c>
      <c r="B1211" s="43">
        <f t="shared" si="43"/>
        <v>2196</v>
      </c>
      <c r="C1211" s="10">
        <f t="shared" si="44"/>
        <v>1201</v>
      </c>
      <c r="D1211" s="45">
        <f t="shared" si="45"/>
        <v>721791</v>
      </c>
    </row>
    <row r="1212" spans="1:4" x14ac:dyDescent="0.3">
      <c r="A1212" s="42">
        <v>1197</v>
      </c>
      <c r="B1212" s="43">
        <f t="shared" si="43"/>
        <v>2197</v>
      </c>
      <c r="C1212" s="10">
        <f t="shared" si="44"/>
        <v>1202</v>
      </c>
      <c r="D1212" s="45">
        <f t="shared" si="45"/>
        <v>722993</v>
      </c>
    </row>
    <row r="1213" spans="1:4" x14ac:dyDescent="0.3">
      <c r="A1213" s="42">
        <v>1198</v>
      </c>
      <c r="B1213" s="43">
        <f t="shared" si="43"/>
        <v>2198</v>
      </c>
      <c r="C1213" s="10">
        <f t="shared" si="44"/>
        <v>1203</v>
      </c>
      <c r="D1213" s="45">
        <f t="shared" si="45"/>
        <v>724196</v>
      </c>
    </row>
    <row r="1214" spans="1:4" x14ac:dyDescent="0.3">
      <c r="A1214" s="42">
        <v>1199</v>
      </c>
      <c r="B1214" s="43">
        <f t="shared" si="43"/>
        <v>2199</v>
      </c>
      <c r="C1214" s="10">
        <f t="shared" si="44"/>
        <v>1204</v>
      </c>
      <c r="D1214" s="45">
        <f t="shared" si="45"/>
        <v>725400</v>
      </c>
    </row>
    <row r="1215" spans="1:4" x14ac:dyDescent="0.3">
      <c r="A1215" s="42">
        <v>1200</v>
      </c>
      <c r="B1215" s="43">
        <f t="shared" si="43"/>
        <v>2200</v>
      </c>
      <c r="C1215" s="10">
        <f t="shared" si="44"/>
        <v>1205</v>
      </c>
      <c r="D1215" s="45">
        <f t="shared" si="45"/>
        <v>726605</v>
      </c>
    </row>
    <row r="1216" spans="1:4" x14ac:dyDescent="0.3">
      <c r="A1216" s="42">
        <v>1201</v>
      </c>
      <c r="B1216" s="43">
        <f t="shared" si="43"/>
        <v>2201</v>
      </c>
      <c r="C1216" s="10">
        <f t="shared" si="44"/>
        <v>1206</v>
      </c>
      <c r="D1216" s="45">
        <f t="shared" si="45"/>
        <v>727811</v>
      </c>
    </row>
    <row r="1217" spans="1:4" x14ac:dyDescent="0.3">
      <c r="A1217" s="42">
        <v>1202</v>
      </c>
      <c r="B1217" s="43">
        <f t="shared" si="43"/>
        <v>2202</v>
      </c>
      <c r="C1217" s="10">
        <f t="shared" si="44"/>
        <v>1207</v>
      </c>
      <c r="D1217" s="45">
        <f t="shared" si="45"/>
        <v>729018</v>
      </c>
    </row>
    <row r="1218" spans="1:4" x14ac:dyDescent="0.3">
      <c r="A1218" s="42">
        <v>1203</v>
      </c>
      <c r="B1218" s="43">
        <f t="shared" si="43"/>
        <v>2203</v>
      </c>
      <c r="C1218" s="10">
        <f t="shared" si="44"/>
        <v>1208</v>
      </c>
      <c r="D1218" s="45">
        <f t="shared" si="45"/>
        <v>730226</v>
      </c>
    </row>
    <row r="1219" spans="1:4" x14ac:dyDescent="0.3">
      <c r="A1219" s="42">
        <v>1204</v>
      </c>
      <c r="B1219" s="43">
        <f t="shared" si="43"/>
        <v>2204</v>
      </c>
      <c r="C1219" s="10">
        <f t="shared" si="44"/>
        <v>1209</v>
      </c>
      <c r="D1219" s="45">
        <f t="shared" si="45"/>
        <v>731435</v>
      </c>
    </row>
    <row r="1220" spans="1:4" x14ac:dyDescent="0.3">
      <c r="A1220" s="42">
        <v>1205</v>
      </c>
      <c r="B1220" s="43">
        <f t="shared" si="43"/>
        <v>2205</v>
      </c>
      <c r="C1220" s="10">
        <f t="shared" si="44"/>
        <v>1210</v>
      </c>
      <c r="D1220" s="45">
        <f t="shared" si="45"/>
        <v>732645</v>
      </c>
    </row>
    <row r="1221" spans="1:4" x14ac:dyDescent="0.3">
      <c r="A1221" s="42">
        <v>1206</v>
      </c>
      <c r="B1221" s="43">
        <f t="shared" si="43"/>
        <v>2206</v>
      </c>
      <c r="C1221" s="10">
        <f t="shared" si="44"/>
        <v>1211</v>
      </c>
      <c r="D1221" s="45">
        <f t="shared" si="45"/>
        <v>733856</v>
      </c>
    </row>
    <row r="1222" spans="1:4" x14ac:dyDescent="0.3">
      <c r="A1222" s="42">
        <v>1207</v>
      </c>
      <c r="B1222" s="43">
        <f t="shared" si="43"/>
        <v>2207</v>
      </c>
      <c r="C1222" s="10">
        <f t="shared" si="44"/>
        <v>1212</v>
      </c>
      <c r="D1222" s="45">
        <f t="shared" si="45"/>
        <v>735068</v>
      </c>
    </row>
    <row r="1223" spans="1:4" x14ac:dyDescent="0.3">
      <c r="A1223" s="42">
        <v>1208</v>
      </c>
      <c r="B1223" s="43">
        <f t="shared" si="43"/>
        <v>2208</v>
      </c>
      <c r="C1223" s="10">
        <f t="shared" si="44"/>
        <v>1213</v>
      </c>
      <c r="D1223" s="45">
        <f t="shared" si="45"/>
        <v>736281</v>
      </c>
    </row>
    <row r="1224" spans="1:4" x14ac:dyDescent="0.3">
      <c r="A1224" s="42">
        <v>1209</v>
      </c>
      <c r="B1224" s="43">
        <f t="shared" si="43"/>
        <v>2209</v>
      </c>
      <c r="C1224" s="10">
        <f t="shared" si="44"/>
        <v>1214</v>
      </c>
      <c r="D1224" s="45">
        <f t="shared" si="45"/>
        <v>737495</v>
      </c>
    </row>
    <row r="1225" spans="1:4" x14ac:dyDescent="0.3">
      <c r="A1225" s="42">
        <v>1210</v>
      </c>
      <c r="B1225" s="43">
        <f t="shared" si="43"/>
        <v>2210</v>
      </c>
      <c r="C1225" s="10">
        <f t="shared" si="44"/>
        <v>1215</v>
      </c>
      <c r="D1225" s="45">
        <f t="shared" si="45"/>
        <v>738710</v>
      </c>
    </row>
    <row r="1226" spans="1:4" x14ac:dyDescent="0.3">
      <c r="A1226" s="42">
        <v>1211</v>
      </c>
      <c r="B1226" s="43">
        <f t="shared" si="43"/>
        <v>2211</v>
      </c>
      <c r="C1226" s="10">
        <f t="shared" si="44"/>
        <v>1216</v>
      </c>
      <c r="D1226" s="45">
        <f t="shared" si="45"/>
        <v>739926</v>
      </c>
    </row>
    <row r="1227" spans="1:4" x14ac:dyDescent="0.3">
      <c r="A1227" s="42">
        <v>1212</v>
      </c>
      <c r="B1227" s="43">
        <f t="shared" si="43"/>
        <v>2212</v>
      </c>
      <c r="C1227" s="10">
        <f t="shared" si="44"/>
        <v>1217</v>
      </c>
      <c r="D1227" s="45">
        <f t="shared" si="45"/>
        <v>741143</v>
      </c>
    </row>
    <row r="1228" spans="1:4" x14ac:dyDescent="0.3">
      <c r="A1228" s="42">
        <v>1213</v>
      </c>
      <c r="B1228" s="43">
        <f t="shared" si="43"/>
        <v>2213</v>
      </c>
      <c r="C1228" s="10">
        <f t="shared" si="44"/>
        <v>1218</v>
      </c>
      <c r="D1228" s="45">
        <f t="shared" si="45"/>
        <v>742361</v>
      </c>
    </row>
    <row r="1229" spans="1:4" x14ac:dyDescent="0.3">
      <c r="A1229" s="42">
        <v>1214</v>
      </c>
      <c r="B1229" s="43">
        <f t="shared" si="43"/>
        <v>2214</v>
      </c>
      <c r="C1229" s="10">
        <f t="shared" si="44"/>
        <v>1219</v>
      </c>
      <c r="D1229" s="45">
        <f t="shared" si="45"/>
        <v>743580</v>
      </c>
    </row>
    <row r="1230" spans="1:4" x14ac:dyDescent="0.3">
      <c r="A1230" s="42">
        <v>1215</v>
      </c>
      <c r="B1230" s="43">
        <f t="shared" si="43"/>
        <v>2215</v>
      </c>
      <c r="C1230" s="10">
        <f t="shared" si="44"/>
        <v>1220</v>
      </c>
      <c r="D1230" s="45">
        <f t="shared" si="45"/>
        <v>744800</v>
      </c>
    </row>
    <row r="1231" spans="1:4" x14ac:dyDescent="0.3">
      <c r="A1231" s="42">
        <v>1216</v>
      </c>
      <c r="B1231" s="43">
        <f t="shared" si="43"/>
        <v>2216</v>
      </c>
      <c r="C1231" s="10">
        <f t="shared" si="44"/>
        <v>1221</v>
      </c>
      <c r="D1231" s="45">
        <f t="shared" si="45"/>
        <v>746021</v>
      </c>
    </row>
    <row r="1232" spans="1:4" x14ac:dyDescent="0.3">
      <c r="A1232" s="42">
        <v>1217</v>
      </c>
      <c r="B1232" s="43">
        <f t="shared" si="43"/>
        <v>2217</v>
      </c>
      <c r="C1232" s="10">
        <f t="shared" si="44"/>
        <v>1222</v>
      </c>
      <c r="D1232" s="45">
        <f t="shared" si="45"/>
        <v>747243</v>
      </c>
    </row>
    <row r="1233" spans="1:4" x14ac:dyDescent="0.3">
      <c r="A1233" s="42">
        <v>1218</v>
      </c>
      <c r="B1233" s="43">
        <f t="shared" si="43"/>
        <v>2218</v>
      </c>
      <c r="C1233" s="10">
        <f t="shared" si="44"/>
        <v>1223</v>
      </c>
      <c r="D1233" s="45">
        <f t="shared" si="45"/>
        <v>748466</v>
      </c>
    </row>
    <row r="1234" spans="1:4" x14ac:dyDescent="0.3">
      <c r="A1234" s="42">
        <v>1219</v>
      </c>
      <c r="B1234" s="43">
        <f t="shared" si="43"/>
        <v>2219</v>
      </c>
      <c r="C1234" s="10">
        <f t="shared" si="44"/>
        <v>1224</v>
      </c>
      <c r="D1234" s="45">
        <f t="shared" si="45"/>
        <v>749690</v>
      </c>
    </row>
    <row r="1235" spans="1:4" x14ac:dyDescent="0.3">
      <c r="A1235" s="42">
        <v>1220</v>
      </c>
      <c r="B1235" s="43">
        <f t="shared" si="43"/>
        <v>2220</v>
      </c>
      <c r="C1235" s="10">
        <f t="shared" si="44"/>
        <v>1225</v>
      </c>
      <c r="D1235" s="45">
        <f t="shared" si="45"/>
        <v>750915</v>
      </c>
    </row>
    <row r="1236" spans="1:4" x14ac:dyDescent="0.3">
      <c r="A1236" s="42">
        <v>1221</v>
      </c>
      <c r="B1236" s="43">
        <f t="shared" si="43"/>
        <v>2221</v>
      </c>
      <c r="C1236" s="10">
        <f t="shared" si="44"/>
        <v>1226</v>
      </c>
      <c r="D1236" s="45">
        <f t="shared" si="45"/>
        <v>752141</v>
      </c>
    </row>
    <row r="1237" spans="1:4" x14ac:dyDescent="0.3">
      <c r="A1237" s="42">
        <v>1222</v>
      </c>
      <c r="B1237" s="43">
        <f t="shared" si="43"/>
        <v>2222</v>
      </c>
      <c r="C1237" s="10">
        <f t="shared" si="44"/>
        <v>1227</v>
      </c>
      <c r="D1237" s="45">
        <f t="shared" si="45"/>
        <v>753368</v>
      </c>
    </row>
    <row r="1238" spans="1:4" x14ac:dyDescent="0.3">
      <c r="A1238" s="42">
        <v>1223</v>
      </c>
      <c r="B1238" s="43">
        <f t="shared" si="43"/>
        <v>2223</v>
      </c>
      <c r="C1238" s="10">
        <f t="shared" si="44"/>
        <v>1228</v>
      </c>
      <c r="D1238" s="45">
        <f t="shared" si="45"/>
        <v>754596</v>
      </c>
    </row>
    <row r="1239" spans="1:4" x14ac:dyDescent="0.3">
      <c r="A1239" s="42">
        <v>1224</v>
      </c>
      <c r="B1239" s="43">
        <f t="shared" si="43"/>
        <v>2224</v>
      </c>
      <c r="C1239" s="10">
        <f t="shared" si="44"/>
        <v>1229</v>
      </c>
      <c r="D1239" s="45">
        <f t="shared" si="45"/>
        <v>755825</v>
      </c>
    </row>
    <row r="1240" spans="1:4" x14ac:dyDescent="0.3">
      <c r="A1240" s="42">
        <v>1225</v>
      </c>
      <c r="B1240" s="43">
        <f t="shared" si="43"/>
        <v>2225</v>
      </c>
      <c r="C1240" s="10">
        <f t="shared" si="44"/>
        <v>1230</v>
      </c>
      <c r="D1240" s="45">
        <f t="shared" si="45"/>
        <v>757055</v>
      </c>
    </row>
    <row r="1241" spans="1:4" x14ac:dyDescent="0.3">
      <c r="A1241" s="42">
        <v>1226</v>
      </c>
      <c r="B1241" s="43">
        <f t="shared" si="43"/>
        <v>2226</v>
      </c>
      <c r="C1241" s="10">
        <f t="shared" si="44"/>
        <v>1231</v>
      </c>
      <c r="D1241" s="45">
        <f t="shared" si="45"/>
        <v>758286</v>
      </c>
    </row>
    <row r="1242" spans="1:4" x14ac:dyDescent="0.3">
      <c r="A1242" s="42">
        <v>1227</v>
      </c>
      <c r="B1242" s="43">
        <f t="shared" si="43"/>
        <v>2227</v>
      </c>
      <c r="C1242" s="10">
        <f t="shared" si="44"/>
        <v>1232</v>
      </c>
      <c r="D1242" s="45">
        <f t="shared" si="45"/>
        <v>759518</v>
      </c>
    </row>
    <row r="1243" spans="1:4" x14ac:dyDescent="0.3">
      <c r="A1243" s="42">
        <v>1228</v>
      </c>
      <c r="B1243" s="43">
        <f t="shared" si="43"/>
        <v>2228</v>
      </c>
      <c r="C1243" s="10">
        <f t="shared" si="44"/>
        <v>1233</v>
      </c>
      <c r="D1243" s="45">
        <f t="shared" si="45"/>
        <v>760751</v>
      </c>
    </row>
    <row r="1244" spans="1:4" x14ac:dyDescent="0.3">
      <c r="A1244" s="42">
        <v>1229</v>
      </c>
      <c r="B1244" s="43">
        <f t="shared" si="43"/>
        <v>2229</v>
      </c>
      <c r="C1244" s="10">
        <f t="shared" si="44"/>
        <v>1234</v>
      </c>
      <c r="D1244" s="45">
        <f t="shared" si="45"/>
        <v>761985</v>
      </c>
    </row>
    <row r="1245" spans="1:4" x14ac:dyDescent="0.3">
      <c r="A1245" s="42">
        <v>1230</v>
      </c>
      <c r="B1245" s="43">
        <f t="shared" si="43"/>
        <v>2230</v>
      </c>
      <c r="C1245" s="10">
        <f t="shared" si="44"/>
        <v>1235</v>
      </c>
      <c r="D1245" s="45">
        <f t="shared" si="45"/>
        <v>763220</v>
      </c>
    </row>
    <row r="1246" spans="1:4" x14ac:dyDescent="0.3">
      <c r="A1246" s="42">
        <v>1231</v>
      </c>
      <c r="B1246" s="43">
        <f t="shared" si="43"/>
        <v>2231</v>
      </c>
      <c r="C1246" s="10">
        <f t="shared" si="44"/>
        <v>1236</v>
      </c>
      <c r="D1246" s="45">
        <f t="shared" si="45"/>
        <v>764456</v>
      </c>
    </row>
    <row r="1247" spans="1:4" x14ac:dyDescent="0.3">
      <c r="A1247" s="42">
        <v>1232</v>
      </c>
      <c r="B1247" s="43">
        <f t="shared" si="43"/>
        <v>2232</v>
      </c>
      <c r="C1247" s="10">
        <f t="shared" si="44"/>
        <v>1237</v>
      </c>
      <c r="D1247" s="45">
        <f t="shared" si="45"/>
        <v>765693</v>
      </c>
    </row>
    <row r="1248" spans="1:4" x14ac:dyDescent="0.3">
      <c r="A1248" s="42">
        <v>1233</v>
      </c>
      <c r="B1248" s="43">
        <f t="shared" si="43"/>
        <v>2233</v>
      </c>
      <c r="C1248" s="10">
        <f t="shared" si="44"/>
        <v>1238</v>
      </c>
      <c r="D1248" s="45">
        <f t="shared" si="45"/>
        <v>766931</v>
      </c>
    </row>
    <row r="1249" spans="1:4" x14ac:dyDescent="0.3">
      <c r="A1249" s="42">
        <v>1234</v>
      </c>
      <c r="B1249" s="43">
        <f t="shared" si="43"/>
        <v>2234</v>
      </c>
      <c r="C1249" s="10">
        <f t="shared" si="44"/>
        <v>1239</v>
      </c>
      <c r="D1249" s="45">
        <f t="shared" si="45"/>
        <v>768170</v>
      </c>
    </row>
    <row r="1250" spans="1:4" x14ac:dyDescent="0.3">
      <c r="A1250" s="42">
        <v>1235</v>
      </c>
      <c r="B1250" s="43">
        <f t="shared" si="43"/>
        <v>2235</v>
      </c>
      <c r="C1250" s="10">
        <f t="shared" si="44"/>
        <v>1240</v>
      </c>
      <c r="D1250" s="45">
        <f t="shared" si="45"/>
        <v>769410</v>
      </c>
    </row>
    <row r="1251" spans="1:4" x14ac:dyDescent="0.3">
      <c r="A1251" s="42">
        <v>1236</v>
      </c>
      <c r="B1251" s="43">
        <f t="shared" si="43"/>
        <v>2236</v>
      </c>
      <c r="C1251" s="10">
        <f t="shared" si="44"/>
        <v>1241</v>
      </c>
      <c r="D1251" s="45">
        <f t="shared" si="45"/>
        <v>770651</v>
      </c>
    </row>
    <row r="1252" spans="1:4" x14ac:dyDescent="0.3">
      <c r="A1252" s="42">
        <v>1237</v>
      </c>
      <c r="B1252" s="43">
        <f t="shared" si="43"/>
        <v>2237</v>
      </c>
      <c r="C1252" s="10">
        <f t="shared" si="44"/>
        <v>1242</v>
      </c>
      <c r="D1252" s="45">
        <f t="shared" si="45"/>
        <v>771893</v>
      </c>
    </row>
    <row r="1253" spans="1:4" x14ac:dyDescent="0.3">
      <c r="A1253" s="42">
        <v>1238</v>
      </c>
      <c r="B1253" s="43">
        <f t="shared" si="43"/>
        <v>2238</v>
      </c>
      <c r="C1253" s="10">
        <f t="shared" si="44"/>
        <v>1243</v>
      </c>
      <c r="D1253" s="45">
        <f t="shared" si="45"/>
        <v>773136</v>
      </c>
    </row>
    <row r="1254" spans="1:4" x14ac:dyDescent="0.3">
      <c r="A1254" s="42">
        <v>1239</v>
      </c>
      <c r="B1254" s="43">
        <f t="shared" ref="B1254:B1317" si="46">B1253+R$8</f>
        <v>2239</v>
      </c>
      <c r="C1254" s="10">
        <f t="shared" ref="C1254:C1317" si="47">C1253+R$7</f>
        <v>1244</v>
      </c>
      <c r="D1254" s="45">
        <f t="shared" ref="D1254:D1317" si="48">D1253+C1254</f>
        <v>774380</v>
      </c>
    </row>
    <row r="1255" spans="1:4" x14ac:dyDescent="0.3">
      <c r="A1255" s="42">
        <v>1240</v>
      </c>
      <c r="B1255" s="43">
        <f t="shared" si="46"/>
        <v>2240</v>
      </c>
      <c r="C1255" s="10">
        <f t="shared" si="47"/>
        <v>1245</v>
      </c>
      <c r="D1255" s="45">
        <f t="shared" si="48"/>
        <v>775625</v>
      </c>
    </row>
    <row r="1256" spans="1:4" x14ac:dyDescent="0.3">
      <c r="A1256" s="42">
        <v>1241</v>
      </c>
      <c r="B1256" s="43">
        <f t="shared" si="46"/>
        <v>2241</v>
      </c>
      <c r="C1256" s="10">
        <f t="shared" si="47"/>
        <v>1246</v>
      </c>
      <c r="D1256" s="45">
        <f t="shared" si="48"/>
        <v>776871</v>
      </c>
    </row>
    <row r="1257" spans="1:4" x14ac:dyDescent="0.3">
      <c r="A1257" s="42">
        <v>1242</v>
      </c>
      <c r="B1257" s="43">
        <f t="shared" si="46"/>
        <v>2242</v>
      </c>
      <c r="C1257" s="10">
        <f t="shared" si="47"/>
        <v>1247</v>
      </c>
      <c r="D1257" s="45">
        <f t="shared" si="48"/>
        <v>778118</v>
      </c>
    </row>
    <row r="1258" spans="1:4" x14ac:dyDescent="0.3">
      <c r="A1258" s="42">
        <v>1243</v>
      </c>
      <c r="B1258" s="43">
        <f t="shared" si="46"/>
        <v>2243</v>
      </c>
      <c r="C1258" s="10">
        <f t="shared" si="47"/>
        <v>1248</v>
      </c>
      <c r="D1258" s="45">
        <f t="shared" si="48"/>
        <v>779366</v>
      </c>
    </row>
    <row r="1259" spans="1:4" x14ac:dyDescent="0.3">
      <c r="A1259" s="42">
        <v>1244</v>
      </c>
      <c r="B1259" s="43">
        <f t="shared" si="46"/>
        <v>2244</v>
      </c>
      <c r="C1259" s="10">
        <f t="shared" si="47"/>
        <v>1249</v>
      </c>
      <c r="D1259" s="45">
        <f t="shared" si="48"/>
        <v>780615</v>
      </c>
    </row>
    <row r="1260" spans="1:4" x14ac:dyDescent="0.3">
      <c r="A1260" s="42">
        <v>1245</v>
      </c>
      <c r="B1260" s="43">
        <f t="shared" si="46"/>
        <v>2245</v>
      </c>
      <c r="C1260" s="10">
        <f t="shared" si="47"/>
        <v>1250</v>
      </c>
      <c r="D1260" s="45">
        <f t="shared" si="48"/>
        <v>781865</v>
      </c>
    </row>
    <row r="1261" spans="1:4" x14ac:dyDescent="0.3">
      <c r="A1261" s="42">
        <v>1246</v>
      </c>
      <c r="B1261" s="43">
        <f t="shared" si="46"/>
        <v>2246</v>
      </c>
      <c r="C1261" s="10">
        <f t="shared" si="47"/>
        <v>1251</v>
      </c>
      <c r="D1261" s="45">
        <f t="shared" si="48"/>
        <v>783116</v>
      </c>
    </row>
    <row r="1262" spans="1:4" x14ac:dyDescent="0.3">
      <c r="A1262" s="42">
        <v>1247</v>
      </c>
      <c r="B1262" s="43">
        <f t="shared" si="46"/>
        <v>2247</v>
      </c>
      <c r="C1262" s="10">
        <f t="shared" si="47"/>
        <v>1252</v>
      </c>
      <c r="D1262" s="45">
        <f t="shared" si="48"/>
        <v>784368</v>
      </c>
    </row>
    <row r="1263" spans="1:4" x14ac:dyDescent="0.3">
      <c r="A1263" s="42">
        <v>1248</v>
      </c>
      <c r="B1263" s="43">
        <f t="shared" si="46"/>
        <v>2248</v>
      </c>
      <c r="C1263" s="10">
        <f t="shared" si="47"/>
        <v>1253</v>
      </c>
      <c r="D1263" s="45">
        <f t="shared" si="48"/>
        <v>785621</v>
      </c>
    </row>
    <row r="1264" spans="1:4" x14ac:dyDescent="0.3">
      <c r="A1264" s="42">
        <v>1249</v>
      </c>
      <c r="B1264" s="43">
        <f t="shared" si="46"/>
        <v>2249</v>
      </c>
      <c r="C1264" s="10">
        <f t="shared" si="47"/>
        <v>1254</v>
      </c>
      <c r="D1264" s="45">
        <f t="shared" si="48"/>
        <v>786875</v>
      </c>
    </row>
    <row r="1265" spans="1:4" x14ac:dyDescent="0.3">
      <c r="A1265" s="42">
        <v>1250</v>
      </c>
      <c r="B1265" s="43">
        <f t="shared" si="46"/>
        <v>2250</v>
      </c>
      <c r="C1265" s="10">
        <f t="shared" si="47"/>
        <v>1255</v>
      </c>
      <c r="D1265" s="45">
        <f t="shared" si="48"/>
        <v>788130</v>
      </c>
    </row>
    <row r="1266" spans="1:4" x14ac:dyDescent="0.3">
      <c r="A1266" s="42">
        <v>1251</v>
      </c>
      <c r="B1266" s="43">
        <f t="shared" si="46"/>
        <v>2251</v>
      </c>
      <c r="C1266" s="10">
        <f t="shared" si="47"/>
        <v>1256</v>
      </c>
      <c r="D1266" s="45">
        <f t="shared" si="48"/>
        <v>789386</v>
      </c>
    </row>
    <row r="1267" spans="1:4" x14ac:dyDescent="0.3">
      <c r="A1267" s="42">
        <v>1252</v>
      </c>
      <c r="B1267" s="43">
        <f t="shared" si="46"/>
        <v>2252</v>
      </c>
      <c r="C1267" s="10">
        <f t="shared" si="47"/>
        <v>1257</v>
      </c>
      <c r="D1267" s="45">
        <f t="shared" si="48"/>
        <v>790643</v>
      </c>
    </row>
    <row r="1268" spans="1:4" x14ac:dyDescent="0.3">
      <c r="A1268" s="42">
        <v>1253</v>
      </c>
      <c r="B1268" s="43">
        <f t="shared" si="46"/>
        <v>2253</v>
      </c>
      <c r="C1268" s="10">
        <f t="shared" si="47"/>
        <v>1258</v>
      </c>
      <c r="D1268" s="45">
        <f t="shared" si="48"/>
        <v>791901</v>
      </c>
    </row>
    <row r="1269" spans="1:4" x14ac:dyDescent="0.3">
      <c r="A1269" s="42">
        <v>1254</v>
      </c>
      <c r="B1269" s="43">
        <f t="shared" si="46"/>
        <v>2254</v>
      </c>
      <c r="C1269" s="10">
        <f t="shared" si="47"/>
        <v>1259</v>
      </c>
      <c r="D1269" s="45">
        <f t="shared" si="48"/>
        <v>793160</v>
      </c>
    </row>
    <row r="1270" spans="1:4" x14ac:dyDescent="0.3">
      <c r="A1270" s="42">
        <v>1255</v>
      </c>
      <c r="B1270" s="43">
        <f t="shared" si="46"/>
        <v>2255</v>
      </c>
      <c r="C1270" s="10">
        <f t="shared" si="47"/>
        <v>1260</v>
      </c>
      <c r="D1270" s="45">
        <f t="shared" si="48"/>
        <v>794420</v>
      </c>
    </row>
    <row r="1271" spans="1:4" x14ac:dyDescent="0.3">
      <c r="A1271" s="42">
        <v>1256</v>
      </c>
      <c r="B1271" s="43">
        <f t="shared" si="46"/>
        <v>2256</v>
      </c>
      <c r="C1271" s="10">
        <f t="shared" si="47"/>
        <v>1261</v>
      </c>
      <c r="D1271" s="45">
        <f t="shared" si="48"/>
        <v>795681</v>
      </c>
    </row>
    <row r="1272" spans="1:4" x14ac:dyDescent="0.3">
      <c r="A1272" s="42">
        <v>1257</v>
      </c>
      <c r="B1272" s="43">
        <f t="shared" si="46"/>
        <v>2257</v>
      </c>
      <c r="C1272" s="10">
        <f t="shared" si="47"/>
        <v>1262</v>
      </c>
      <c r="D1272" s="45">
        <f t="shared" si="48"/>
        <v>796943</v>
      </c>
    </row>
    <row r="1273" spans="1:4" x14ac:dyDescent="0.3">
      <c r="A1273" s="42">
        <v>1258</v>
      </c>
      <c r="B1273" s="43">
        <f t="shared" si="46"/>
        <v>2258</v>
      </c>
      <c r="C1273" s="10">
        <f t="shared" si="47"/>
        <v>1263</v>
      </c>
      <c r="D1273" s="45">
        <f t="shared" si="48"/>
        <v>798206</v>
      </c>
    </row>
    <row r="1274" spans="1:4" x14ac:dyDescent="0.3">
      <c r="A1274" s="42">
        <v>1259</v>
      </c>
      <c r="B1274" s="43">
        <f t="shared" si="46"/>
        <v>2259</v>
      </c>
      <c r="C1274" s="10">
        <f t="shared" si="47"/>
        <v>1264</v>
      </c>
      <c r="D1274" s="45">
        <f t="shared" si="48"/>
        <v>799470</v>
      </c>
    </row>
    <row r="1275" spans="1:4" x14ac:dyDescent="0.3">
      <c r="A1275" s="42">
        <v>1260</v>
      </c>
      <c r="B1275" s="43">
        <f t="shared" si="46"/>
        <v>2260</v>
      </c>
      <c r="C1275" s="10">
        <f t="shared" si="47"/>
        <v>1265</v>
      </c>
      <c r="D1275" s="45">
        <f t="shared" si="48"/>
        <v>800735</v>
      </c>
    </row>
    <row r="1276" spans="1:4" x14ac:dyDescent="0.3">
      <c r="A1276" s="42">
        <v>1261</v>
      </c>
      <c r="B1276" s="43">
        <f t="shared" si="46"/>
        <v>2261</v>
      </c>
      <c r="C1276" s="10">
        <f t="shared" si="47"/>
        <v>1266</v>
      </c>
      <c r="D1276" s="45">
        <f t="shared" si="48"/>
        <v>802001</v>
      </c>
    </row>
    <row r="1277" spans="1:4" x14ac:dyDescent="0.3">
      <c r="A1277" s="42">
        <v>1262</v>
      </c>
      <c r="B1277" s="43">
        <f t="shared" si="46"/>
        <v>2262</v>
      </c>
      <c r="C1277" s="10">
        <f t="shared" si="47"/>
        <v>1267</v>
      </c>
      <c r="D1277" s="45">
        <f t="shared" si="48"/>
        <v>803268</v>
      </c>
    </row>
    <row r="1278" spans="1:4" x14ac:dyDescent="0.3">
      <c r="A1278" s="42">
        <v>1263</v>
      </c>
      <c r="B1278" s="43">
        <f t="shared" si="46"/>
        <v>2263</v>
      </c>
      <c r="C1278" s="10">
        <f t="shared" si="47"/>
        <v>1268</v>
      </c>
      <c r="D1278" s="45">
        <f t="shared" si="48"/>
        <v>804536</v>
      </c>
    </row>
    <row r="1279" spans="1:4" x14ac:dyDescent="0.3">
      <c r="A1279" s="42">
        <v>1264</v>
      </c>
      <c r="B1279" s="43">
        <f t="shared" si="46"/>
        <v>2264</v>
      </c>
      <c r="C1279" s="10">
        <f t="shared" si="47"/>
        <v>1269</v>
      </c>
      <c r="D1279" s="45">
        <f t="shared" si="48"/>
        <v>805805</v>
      </c>
    </row>
    <row r="1280" spans="1:4" x14ac:dyDescent="0.3">
      <c r="A1280" s="42">
        <v>1265</v>
      </c>
      <c r="B1280" s="43">
        <f t="shared" si="46"/>
        <v>2265</v>
      </c>
      <c r="C1280" s="10">
        <f t="shared" si="47"/>
        <v>1270</v>
      </c>
      <c r="D1280" s="45">
        <f t="shared" si="48"/>
        <v>807075</v>
      </c>
    </row>
    <row r="1281" spans="1:4" x14ac:dyDescent="0.3">
      <c r="A1281" s="42">
        <v>1266</v>
      </c>
      <c r="B1281" s="43">
        <f t="shared" si="46"/>
        <v>2266</v>
      </c>
      <c r="C1281" s="10">
        <f t="shared" si="47"/>
        <v>1271</v>
      </c>
      <c r="D1281" s="45">
        <f t="shared" si="48"/>
        <v>808346</v>
      </c>
    </row>
    <row r="1282" spans="1:4" x14ac:dyDescent="0.3">
      <c r="A1282" s="42">
        <v>1267</v>
      </c>
      <c r="B1282" s="43">
        <f t="shared" si="46"/>
        <v>2267</v>
      </c>
      <c r="C1282" s="10">
        <f t="shared" si="47"/>
        <v>1272</v>
      </c>
      <c r="D1282" s="45">
        <f t="shared" si="48"/>
        <v>809618</v>
      </c>
    </row>
    <row r="1283" spans="1:4" x14ac:dyDescent="0.3">
      <c r="A1283" s="42">
        <v>1268</v>
      </c>
      <c r="B1283" s="43">
        <f t="shared" si="46"/>
        <v>2268</v>
      </c>
      <c r="C1283" s="10">
        <f t="shared" si="47"/>
        <v>1273</v>
      </c>
      <c r="D1283" s="45">
        <f t="shared" si="48"/>
        <v>810891</v>
      </c>
    </row>
    <row r="1284" spans="1:4" x14ac:dyDescent="0.3">
      <c r="A1284" s="42">
        <v>1269</v>
      </c>
      <c r="B1284" s="43">
        <f t="shared" si="46"/>
        <v>2269</v>
      </c>
      <c r="C1284" s="10">
        <f t="shared" si="47"/>
        <v>1274</v>
      </c>
      <c r="D1284" s="45">
        <f t="shared" si="48"/>
        <v>812165</v>
      </c>
    </row>
    <row r="1285" spans="1:4" x14ac:dyDescent="0.3">
      <c r="A1285" s="42">
        <v>1270</v>
      </c>
      <c r="B1285" s="43">
        <f t="shared" si="46"/>
        <v>2270</v>
      </c>
      <c r="C1285" s="10">
        <f t="shared" si="47"/>
        <v>1275</v>
      </c>
      <c r="D1285" s="45">
        <f t="shared" si="48"/>
        <v>813440</v>
      </c>
    </row>
    <row r="1286" spans="1:4" x14ac:dyDescent="0.3">
      <c r="A1286" s="42">
        <v>1271</v>
      </c>
      <c r="B1286" s="43">
        <f t="shared" si="46"/>
        <v>2271</v>
      </c>
      <c r="C1286" s="10">
        <f t="shared" si="47"/>
        <v>1276</v>
      </c>
      <c r="D1286" s="45">
        <f t="shared" si="48"/>
        <v>814716</v>
      </c>
    </row>
    <row r="1287" spans="1:4" x14ac:dyDescent="0.3">
      <c r="A1287" s="42">
        <v>1272</v>
      </c>
      <c r="B1287" s="43">
        <f t="shared" si="46"/>
        <v>2272</v>
      </c>
      <c r="C1287" s="10">
        <f t="shared" si="47"/>
        <v>1277</v>
      </c>
      <c r="D1287" s="45">
        <f t="shared" si="48"/>
        <v>815993</v>
      </c>
    </row>
    <row r="1288" spans="1:4" x14ac:dyDescent="0.3">
      <c r="A1288" s="42">
        <v>1273</v>
      </c>
      <c r="B1288" s="43">
        <f t="shared" si="46"/>
        <v>2273</v>
      </c>
      <c r="C1288" s="10">
        <f t="shared" si="47"/>
        <v>1278</v>
      </c>
      <c r="D1288" s="45">
        <f t="shared" si="48"/>
        <v>817271</v>
      </c>
    </row>
    <row r="1289" spans="1:4" x14ac:dyDescent="0.3">
      <c r="A1289" s="42">
        <v>1274</v>
      </c>
      <c r="B1289" s="43">
        <f t="shared" si="46"/>
        <v>2274</v>
      </c>
      <c r="C1289" s="10">
        <f t="shared" si="47"/>
        <v>1279</v>
      </c>
      <c r="D1289" s="45">
        <f t="shared" si="48"/>
        <v>818550</v>
      </c>
    </row>
    <row r="1290" spans="1:4" x14ac:dyDescent="0.3">
      <c r="A1290" s="42">
        <v>1275</v>
      </c>
      <c r="B1290" s="43">
        <f t="shared" si="46"/>
        <v>2275</v>
      </c>
      <c r="C1290" s="10">
        <f t="shared" si="47"/>
        <v>1280</v>
      </c>
      <c r="D1290" s="45">
        <f t="shared" si="48"/>
        <v>819830</v>
      </c>
    </row>
    <row r="1291" spans="1:4" x14ac:dyDescent="0.3">
      <c r="A1291" s="42">
        <v>1276</v>
      </c>
      <c r="B1291" s="43">
        <f t="shared" si="46"/>
        <v>2276</v>
      </c>
      <c r="C1291" s="10">
        <f t="shared" si="47"/>
        <v>1281</v>
      </c>
      <c r="D1291" s="45">
        <f t="shared" si="48"/>
        <v>821111</v>
      </c>
    </row>
    <row r="1292" spans="1:4" x14ac:dyDescent="0.3">
      <c r="A1292" s="42">
        <v>1277</v>
      </c>
      <c r="B1292" s="43">
        <f t="shared" si="46"/>
        <v>2277</v>
      </c>
      <c r="C1292" s="10">
        <f t="shared" si="47"/>
        <v>1282</v>
      </c>
      <c r="D1292" s="45">
        <f t="shared" si="48"/>
        <v>822393</v>
      </c>
    </row>
    <row r="1293" spans="1:4" x14ac:dyDescent="0.3">
      <c r="A1293" s="42">
        <v>1278</v>
      </c>
      <c r="B1293" s="43">
        <f t="shared" si="46"/>
        <v>2278</v>
      </c>
      <c r="C1293" s="10">
        <f t="shared" si="47"/>
        <v>1283</v>
      </c>
      <c r="D1293" s="45">
        <f t="shared" si="48"/>
        <v>823676</v>
      </c>
    </row>
    <row r="1294" spans="1:4" x14ac:dyDescent="0.3">
      <c r="A1294" s="42">
        <v>1279</v>
      </c>
      <c r="B1294" s="43">
        <f t="shared" si="46"/>
        <v>2279</v>
      </c>
      <c r="C1294" s="10">
        <f t="shared" si="47"/>
        <v>1284</v>
      </c>
      <c r="D1294" s="45">
        <f t="shared" si="48"/>
        <v>824960</v>
      </c>
    </row>
    <row r="1295" spans="1:4" x14ac:dyDescent="0.3">
      <c r="A1295" s="42">
        <v>1280</v>
      </c>
      <c r="B1295" s="43">
        <f t="shared" si="46"/>
        <v>2280</v>
      </c>
      <c r="C1295" s="10">
        <f t="shared" si="47"/>
        <v>1285</v>
      </c>
      <c r="D1295" s="45">
        <f t="shared" si="48"/>
        <v>826245</v>
      </c>
    </row>
    <row r="1296" spans="1:4" x14ac:dyDescent="0.3">
      <c r="A1296" s="42">
        <v>1281</v>
      </c>
      <c r="B1296" s="43">
        <f t="shared" si="46"/>
        <v>2281</v>
      </c>
      <c r="C1296" s="10">
        <f t="shared" si="47"/>
        <v>1286</v>
      </c>
      <c r="D1296" s="45">
        <f t="shared" si="48"/>
        <v>827531</v>
      </c>
    </row>
    <row r="1297" spans="1:4" x14ac:dyDescent="0.3">
      <c r="A1297" s="42">
        <v>1282</v>
      </c>
      <c r="B1297" s="43">
        <f t="shared" si="46"/>
        <v>2282</v>
      </c>
      <c r="C1297" s="10">
        <f t="shared" si="47"/>
        <v>1287</v>
      </c>
      <c r="D1297" s="45">
        <f t="shared" si="48"/>
        <v>828818</v>
      </c>
    </row>
    <row r="1298" spans="1:4" x14ac:dyDescent="0.3">
      <c r="A1298" s="42">
        <v>1283</v>
      </c>
      <c r="B1298" s="43">
        <f t="shared" si="46"/>
        <v>2283</v>
      </c>
      <c r="C1298" s="10">
        <f t="shared" si="47"/>
        <v>1288</v>
      </c>
      <c r="D1298" s="45">
        <f t="shared" si="48"/>
        <v>830106</v>
      </c>
    </row>
    <row r="1299" spans="1:4" x14ac:dyDescent="0.3">
      <c r="A1299" s="42">
        <v>1284</v>
      </c>
      <c r="B1299" s="43">
        <f t="shared" si="46"/>
        <v>2284</v>
      </c>
      <c r="C1299" s="10">
        <f t="shared" si="47"/>
        <v>1289</v>
      </c>
      <c r="D1299" s="45">
        <f t="shared" si="48"/>
        <v>831395</v>
      </c>
    </row>
    <row r="1300" spans="1:4" x14ac:dyDescent="0.3">
      <c r="A1300" s="42">
        <v>1285</v>
      </c>
      <c r="B1300" s="43">
        <f t="shared" si="46"/>
        <v>2285</v>
      </c>
      <c r="C1300" s="10">
        <f t="shared" si="47"/>
        <v>1290</v>
      </c>
      <c r="D1300" s="45">
        <f t="shared" si="48"/>
        <v>832685</v>
      </c>
    </row>
    <row r="1301" spans="1:4" x14ac:dyDescent="0.3">
      <c r="A1301" s="42">
        <v>1286</v>
      </c>
      <c r="B1301" s="43">
        <f t="shared" si="46"/>
        <v>2286</v>
      </c>
      <c r="C1301" s="10">
        <f t="shared" si="47"/>
        <v>1291</v>
      </c>
      <c r="D1301" s="45">
        <f t="shared" si="48"/>
        <v>833976</v>
      </c>
    </row>
    <row r="1302" spans="1:4" x14ac:dyDescent="0.3">
      <c r="A1302" s="42">
        <v>1287</v>
      </c>
      <c r="B1302" s="43">
        <f t="shared" si="46"/>
        <v>2287</v>
      </c>
      <c r="C1302" s="10">
        <f t="shared" si="47"/>
        <v>1292</v>
      </c>
      <c r="D1302" s="45">
        <f t="shared" si="48"/>
        <v>835268</v>
      </c>
    </row>
    <row r="1303" spans="1:4" x14ac:dyDescent="0.3">
      <c r="A1303" s="42">
        <v>1288</v>
      </c>
      <c r="B1303" s="43">
        <f t="shared" si="46"/>
        <v>2288</v>
      </c>
      <c r="C1303" s="10">
        <f t="shared" si="47"/>
        <v>1293</v>
      </c>
      <c r="D1303" s="45">
        <f t="shared" si="48"/>
        <v>836561</v>
      </c>
    </row>
    <row r="1304" spans="1:4" x14ac:dyDescent="0.3">
      <c r="A1304" s="42">
        <v>1289</v>
      </c>
      <c r="B1304" s="43">
        <f t="shared" si="46"/>
        <v>2289</v>
      </c>
      <c r="C1304" s="10">
        <f t="shared" si="47"/>
        <v>1294</v>
      </c>
      <c r="D1304" s="45">
        <f t="shared" si="48"/>
        <v>837855</v>
      </c>
    </row>
    <row r="1305" spans="1:4" x14ac:dyDescent="0.3">
      <c r="A1305" s="42">
        <v>1290</v>
      </c>
      <c r="B1305" s="43">
        <f t="shared" si="46"/>
        <v>2290</v>
      </c>
      <c r="C1305" s="10">
        <f t="shared" si="47"/>
        <v>1295</v>
      </c>
      <c r="D1305" s="45">
        <f t="shared" si="48"/>
        <v>839150</v>
      </c>
    </row>
    <row r="1306" spans="1:4" x14ac:dyDescent="0.3">
      <c r="A1306" s="42">
        <v>1291</v>
      </c>
      <c r="B1306" s="43">
        <f t="shared" si="46"/>
        <v>2291</v>
      </c>
      <c r="C1306" s="10">
        <f t="shared" si="47"/>
        <v>1296</v>
      </c>
      <c r="D1306" s="45">
        <f t="shared" si="48"/>
        <v>840446</v>
      </c>
    </row>
    <row r="1307" spans="1:4" x14ac:dyDescent="0.3">
      <c r="A1307" s="42">
        <v>1292</v>
      </c>
      <c r="B1307" s="43">
        <f t="shared" si="46"/>
        <v>2292</v>
      </c>
      <c r="C1307" s="10">
        <f t="shared" si="47"/>
        <v>1297</v>
      </c>
      <c r="D1307" s="45">
        <f t="shared" si="48"/>
        <v>841743</v>
      </c>
    </row>
    <row r="1308" spans="1:4" x14ac:dyDescent="0.3">
      <c r="A1308" s="42">
        <v>1293</v>
      </c>
      <c r="B1308" s="43">
        <f t="shared" si="46"/>
        <v>2293</v>
      </c>
      <c r="C1308" s="10">
        <f t="shared" si="47"/>
        <v>1298</v>
      </c>
      <c r="D1308" s="45">
        <f t="shared" si="48"/>
        <v>843041</v>
      </c>
    </row>
    <row r="1309" spans="1:4" x14ac:dyDescent="0.3">
      <c r="A1309" s="42">
        <v>1294</v>
      </c>
      <c r="B1309" s="43">
        <f t="shared" si="46"/>
        <v>2294</v>
      </c>
      <c r="C1309" s="10">
        <f t="shared" si="47"/>
        <v>1299</v>
      </c>
      <c r="D1309" s="45">
        <f t="shared" si="48"/>
        <v>844340</v>
      </c>
    </row>
    <row r="1310" spans="1:4" x14ac:dyDescent="0.3">
      <c r="A1310" s="42">
        <v>1295</v>
      </c>
      <c r="B1310" s="43">
        <f t="shared" si="46"/>
        <v>2295</v>
      </c>
      <c r="C1310" s="10">
        <f t="shared" si="47"/>
        <v>1300</v>
      </c>
      <c r="D1310" s="45">
        <f t="shared" si="48"/>
        <v>845640</v>
      </c>
    </row>
    <row r="1311" spans="1:4" x14ac:dyDescent="0.3">
      <c r="A1311" s="42">
        <v>1296</v>
      </c>
      <c r="B1311" s="43">
        <f t="shared" si="46"/>
        <v>2296</v>
      </c>
      <c r="C1311" s="10">
        <f t="shared" si="47"/>
        <v>1301</v>
      </c>
      <c r="D1311" s="45">
        <f t="shared" si="48"/>
        <v>846941</v>
      </c>
    </row>
    <row r="1312" spans="1:4" x14ac:dyDescent="0.3">
      <c r="A1312" s="42">
        <v>1297</v>
      </c>
      <c r="B1312" s="43">
        <f t="shared" si="46"/>
        <v>2297</v>
      </c>
      <c r="C1312" s="10">
        <f t="shared" si="47"/>
        <v>1302</v>
      </c>
      <c r="D1312" s="45">
        <f t="shared" si="48"/>
        <v>848243</v>
      </c>
    </row>
    <row r="1313" spans="1:4" x14ac:dyDescent="0.3">
      <c r="A1313" s="42">
        <v>1298</v>
      </c>
      <c r="B1313" s="43">
        <f t="shared" si="46"/>
        <v>2298</v>
      </c>
      <c r="C1313" s="10">
        <f t="shared" si="47"/>
        <v>1303</v>
      </c>
      <c r="D1313" s="45">
        <f t="shared" si="48"/>
        <v>849546</v>
      </c>
    </row>
    <row r="1314" spans="1:4" x14ac:dyDescent="0.3">
      <c r="A1314" s="42">
        <v>1299</v>
      </c>
      <c r="B1314" s="43">
        <f t="shared" si="46"/>
        <v>2299</v>
      </c>
      <c r="C1314" s="10">
        <f t="shared" si="47"/>
        <v>1304</v>
      </c>
      <c r="D1314" s="45">
        <f t="shared" si="48"/>
        <v>850850</v>
      </c>
    </row>
    <row r="1315" spans="1:4" x14ac:dyDescent="0.3">
      <c r="A1315" s="42">
        <v>1300</v>
      </c>
      <c r="B1315" s="43">
        <f t="shared" si="46"/>
        <v>2300</v>
      </c>
      <c r="C1315" s="10">
        <f t="shared" si="47"/>
        <v>1305</v>
      </c>
      <c r="D1315" s="45">
        <f t="shared" si="48"/>
        <v>852155</v>
      </c>
    </row>
    <row r="1316" spans="1:4" x14ac:dyDescent="0.3">
      <c r="A1316" s="42">
        <v>1301</v>
      </c>
      <c r="B1316" s="43">
        <f t="shared" si="46"/>
        <v>2301</v>
      </c>
      <c r="C1316" s="10">
        <f t="shared" si="47"/>
        <v>1306</v>
      </c>
      <c r="D1316" s="45">
        <f t="shared" si="48"/>
        <v>853461</v>
      </c>
    </row>
    <row r="1317" spans="1:4" x14ac:dyDescent="0.3">
      <c r="A1317" s="42">
        <v>1302</v>
      </c>
      <c r="B1317" s="43">
        <f t="shared" si="46"/>
        <v>2302</v>
      </c>
      <c r="C1317" s="10">
        <f t="shared" si="47"/>
        <v>1307</v>
      </c>
      <c r="D1317" s="45">
        <f t="shared" si="48"/>
        <v>854768</v>
      </c>
    </row>
    <row r="1318" spans="1:4" x14ac:dyDescent="0.3">
      <c r="A1318" s="42">
        <v>1303</v>
      </c>
      <c r="B1318" s="43">
        <f t="shared" ref="B1318:B1381" si="49">B1317+R$8</f>
        <v>2303</v>
      </c>
      <c r="C1318" s="10">
        <f t="shared" ref="C1318:C1381" si="50">C1317+R$7</f>
        <v>1308</v>
      </c>
      <c r="D1318" s="45">
        <f t="shared" ref="D1318:D1381" si="51">D1317+C1318</f>
        <v>856076</v>
      </c>
    </row>
    <row r="1319" spans="1:4" x14ac:dyDescent="0.3">
      <c r="A1319" s="42">
        <v>1304</v>
      </c>
      <c r="B1319" s="43">
        <f t="shared" si="49"/>
        <v>2304</v>
      </c>
      <c r="C1319" s="10">
        <f t="shared" si="50"/>
        <v>1309</v>
      </c>
      <c r="D1319" s="45">
        <f t="shared" si="51"/>
        <v>857385</v>
      </c>
    </row>
    <row r="1320" spans="1:4" x14ac:dyDescent="0.3">
      <c r="A1320" s="42">
        <v>1305</v>
      </c>
      <c r="B1320" s="43">
        <f t="shared" si="49"/>
        <v>2305</v>
      </c>
      <c r="C1320" s="10">
        <f t="shared" si="50"/>
        <v>1310</v>
      </c>
      <c r="D1320" s="45">
        <f t="shared" si="51"/>
        <v>858695</v>
      </c>
    </row>
    <row r="1321" spans="1:4" x14ac:dyDescent="0.3">
      <c r="A1321" s="42">
        <v>1306</v>
      </c>
      <c r="B1321" s="43">
        <f t="shared" si="49"/>
        <v>2306</v>
      </c>
      <c r="C1321" s="10">
        <f t="shared" si="50"/>
        <v>1311</v>
      </c>
      <c r="D1321" s="45">
        <f t="shared" si="51"/>
        <v>860006</v>
      </c>
    </row>
    <row r="1322" spans="1:4" x14ac:dyDescent="0.3">
      <c r="A1322" s="42">
        <v>1307</v>
      </c>
      <c r="B1322" s="43">
        <f t="shared" si="49"/>
        <v>2307</v>
      </c>
      <c r="C1322" s="10">
        <f t="shared" si="50"/>
        <v>1312</v>
      </c>
      <c r="D1322" s="45">
        <f t="shared" si="51"/>
        <v>861318</v>
      </c>
    </row>
    <row r="1323" spans="1:4" x14ac:dyDescent="0.3">
      <c r="A1323" s="42">
        <v>1308</v>
      </c>
      <c r="B1323" s="43">
        <f t="shared" si="49"/>
        <v>2308</v>
      </c>
      <c r="C1323" s="10">
        <f t="shared" si="50"/>
        <v>1313</v>
      </c>
      <c r="D1323" s="45">
        <f t="shared" si="51"/>
        <v>862631</v>
      </c>
    </row>
    <row r="1324" spans="1:4" x14ac:dyDescent="0.3">
      <c r="A1324" s="42">
        <v>1309</v>
      </c>
      <c r="B1324" s="43">
        <f t="shared" si="49"/>
        <v>2309</v>
      </c>
      <c r="C1324" s="10">
        <f t="shared" si="50"/>
        <v>1314</v>
      </c>
      <c r="D1324" s="45">
        <f t="shared" si="51"/>
        <v>863945</v>
      </c>
    </row>
    <row r="1325" spans="1:4" x14ac:dyDescent="0.3">
      <c r="A1325" s="42">
        <v>1310</v>
      </c>
      <c r="B1325" s="43">
        <f t="shared" si="49"/>
        <v>2310</v>
      </c>
      <c r="C1325" s="10">
        <f t="shared" si="50"/>
        <v>1315</v>
      </c>
      <c r="D1325" s="45">
        <f t="shared" si="51"/>
        <v>865260</v>
      </c>
    </row>
    <row r="1326" spans="1:4" x14ac:dyDescent="0.3">
      <c r="A1326" s="42">
        <v>1311</v>
      </c>
      <c r="B1326" s="43">
        <f t="shared" si="49"/>
        <v>2311</v>
      </c>
      <c r="C1326" s="10">
        <f t="shared" si="50"/>
        <v>1316</v>
      </c>
      <c r="D1326" s="45">
        <f t="shared" si="51"/>
        <v>866576</v>
      </c>
    </row>
    <row r="1327" spans="1:4" x14ac:dyDescent="0.3">
      <c r="A1327" s="42">
        <v>1312</v>
      </c>
      <c r="B1327" s="43">
        <f t="shared" si="49"/>
        <v>2312</v>
      </c>
      <c r="C1327" s="10">
        <f t="shared" si="50"/>
        <v>1317</v>
      </c>
      <c r="D1327" s="45">
        <f t="shared" si="51"/>
        <v>867893</v>
      </c>
    </row>
    <row r="1328" spans="1:4" x14ac:dyDescent="0.3">
      <c r="A1328" s="42">
        <v>1313</v>
      </c>
      <c r="B1328" s="43">
        <f t="shared" si="49"/>
        <v>2313</v>
      </c>
      <c r="C1328" s="10">
        <f t="shared" si="50"/>
        <v>1318</v>
      </c>
      <c r="D1328" s="45">
        <f t="shared" si="51"/>
        <v>869211</v>
      </c>
    </row>
    <row r="1329" spans="1:4" x14ac:dyDescent="0.3">
      <c r="A1329" s="42">
        <v>1314</v>
      </c>
      <c r="B1329" s="43">
        <f t="shared" si="49"/>
        <v>2314</v>
      </c>
      <c r="C1329" s="10">
        <f t="shared" si="50"/>
        <v>1319</v>
      </c>
      <c r="D1329" s="45">
        <f t="shared" si="51"/>
        <v>870530</v>
      </c>
    </row>
    <row r="1330" spans="1:4" x14ac:dyDescent="0.3">
      <c r="A1330" s="42">
        <v>1315</v>
      </c>
      <c r="B1330" s="43">
        <f t="shared" si="49"/>
        <v>2315</v>
      </c>
      <c r="C1330" s="10">
        <f t="shared" si="50"/>
        <v>1320</v>
      </c>
      <c r="D1330" s="45">
        <f t="shared" si="51"/>
        <v>871850</v>
      </c>
    </row>
    <row r="1331" spans="1:4" x14ac:dyDescent="0.3">
      <c r="A1331" s="42">
        <v>1316</v>
      </c>
      <c r="B1331" s="43">
        <f t="shared" si="49"/>
        <v>2316</v>
      </c>
      <c r="C1331" s="10">
        <f t="shared" si="50"/>
        <v>1321</v>
      </c>
      <c r="D1331" s="45">
        <f t="shared" si="51"/>
        <v>873171</v>
      </c>
    </row>
    <row r="1332" spans="1:4" x14ac:dyDescent="0.3">
      <c r="A1332" s="42">
        <v>1317</v>
      </c>
      <c r="B1332" s="43">
        <f t="shared" si="49"/>
        <v>2317</v>
      </c>
      <c r="C1332" s="10">
        <f t="shared" si="50"/>
        <v>1322</v>
      </c>
      <c r="D1332" s="45">
        <f t="shared" si="51"/>
        <v>874493</v>
      </c>
    </row>
    <row r="1333" spans="1:4" x14ac:dyDescent="0.3">
      <c r="A1333" s="42">
        <v>1318</v>
      </c>
      <c r="B1333" s="43">
        <f t="shared" si="49"/>
        <v>2318</v>
      </c>
      <c r="C1333" s="10">
        <f t="shared" si="50"/>
        <v>1323</v>
      </c>
      <c r="D1333" s="45">
        <f t="shared" si="51"/>
        <v>875816</v>
      </c>
    </row>
    <row r="1334" spans="1:4" x14ac:dyDescent="0.3">
      <c r="A1334" s="42">
        <v>1319</v>
      </c>
      <c r="B1334" s="43">
        <f t="shared" si="49"/>
        <v>2319</v>
      </c>
      <c r="C1334" s="10">
        <f t="shared" si="50"/>
        <v>1324</v>
      </c>
      <c r="D1334" s="45">
        <f t="shared" si="51"/>
        <v>877140</v>
      </c>
    </row>
    <row r="1335" spans="1:4" x14ac:dyDescent="0.3">
      <c r="A1335" s="42">
        <v>1320</v>
      </c>
      <c r="B1335" s="43">
        <f t="shared" si="49"/>
        <v>2320</v>
      </c>
      <c r="C1335" s="10">
        <f t="shared" si="50"/>
        <v>1325</v>
      </c>
      <c r="D1335" s="45">
        <f t="shared" si="51"/>
        <v>878465</v>
      </c>
    </row>
    <row r="1336" spans="1:4" x14ac:dyDescent="0.3">
      <c r="A1336" s="42">
        <v>1321</v>
      </c>
      <c r="B1336" s="43">
        <f t="shared" si="49"/>
        <v>2321</v>
      </c>
      <c r="C1336" s="10">
        <f t="shared" si="50"/>
        <v>1326</v>
      </c>
      <c r="D1336" s="45">
        <f t="shared" si="51"/>
        <v>879791</v>
      </c>
    </row>
    <row r="1337" spans="1:4" x14ac:dyDescent="0.3">
      <c r="A1337" s="42">
        <v>1322</v>
      </c>
      <c r="B1337" s="43">
        <f t="shared" si="49"/>
        <v>2322</v>
      </c>
      <c r="C1337" s="10">
        <f t="shared" si="50"/>
        <v>1327</v>
      </c>
      <c r="D1337" s="45">
        <f t="shared" si="51"/>
        <v>881118</v>
      </c>
    </row>
    <row r="1338" spans="1:4" x14ac:dyDescent="0.3">
      <c r="A1338" s="42">
        <v>1323</v>
      </c>
      <c r="B1338" s="43">
        <f t="shared" si="49"/>
        <v>2323</v>
      </c>
      <c r="C1338" s="10">
        <f t="shared" si="50"/>
        <v>1328</v>
      </c>
      <c r="D1338" s="45">
        <f t="shared" si="51"/>
        <v>882446</v>
      </c>
    </row>
    <row r="1339" spans="1:4" x14ac:dyDescent="0.3">
      <c r="A1339" s="42">
        <v>1324</v>
      </c>
      <c r="B1339" s="43">
        <f t="shared" si="49"/>
        <v>2324</v>
      </c>
      <c r="C1339" s="10">
        <f t="shared" si="50"/>
        <v>1329</v>
      </c>
      <c r="D1339" s="45">
        <f t="shared" si="51"/>
        <v>883775</v>
      </c>
    </row>
    <row r="1340" spans="1:4" x14ac:dyDescent="0.3">
      <c r="A1340" s="42">
        <v>1325</v>
      </c>
      <c r="B1340" s="43">
        <f t="shared" si="49"/>
        <v>2325</v>
      </c>
      <c r="C1340" s="10">
        <f t="shared" si="50"/>
        <v>1330</v>
      </c>
      <c r="D1340" s="45">
        <f t="shared" si="51"/>
        <v>885105</v>
      </c>
    </row>
    <row r="1341" spans="1:4" x14ac:dyDescent="0.3">
      <c r="A1341" s="42">
        <v>1326</v>
      </c>
      <c r="B1341" s="43">
        <f t="shared" si="49"/>
        <v>2326</v>
      </c>
      <c r="C1341" s="10">
        <f t="shared" si="50"/>
        <v>1331</v>
      </c>
      <c r="D1341" s="45">
        <f t="shared" si="51"/>
        <v>886436</v>
      </c>
    </row>
    <row r="1342" spans="1:4" x14ac:dyDescent="0.3">
      <c r="A1342" s="42">
        <v>1327</v>
      </c>
      <c r="B1342" s="43">
        <f t="shared" si="49"/>
        <v>2327</v>
      </c>
      <c r="C1342" s="10">
        <f t="shared" si="50"/>
        <v>1332</v>
      </c>
      <c r="D1342" s="45">
        <f t="shared" si="51"/>
        <v>887768</v>
      </c>
    </row>
    <row r="1343" spans="1:4" x14ac:dyDescent="0.3">
      <c r="A1343" s="42">
        <v>1328</v>
      </c>
      <c r="B1343" s="43">
        <f t="shared" si="49"/>
        <v>2328</v>
      </c>
      <c r="C1343" s="10">
        <f t="shared" si="50"/>
        <v>1333</v>
      </c>
      <c r="D1343" s="45">
        <f t="shared" si="51"/>
        <v>889101</v>
      </c>
    </row>
    <row r="1344" spans="1:4" x14ac:dyDescent="0.3">
      <c r="A1344" s="42">
        <v>1329</v>
      </c>
      <c r="B1344" s="43">
        <f t="shared" si="49"/>
        <v>2329</v>
      </c>
      <c r="C1344" s="10">
        <f t="shared" si="50"/>
        <v>1334</v>
      </c>
      <c r="D1344" s="45">
        <f t="shared" si="51"/>
        <v>890435</v>
      </c>
    </row>
    <row r="1345" spans="1:4" x14ac:dyDescent="0.3">
      <c r="A1345" s="42">
        <v>1330</v>
      </c>
      <c r="B1345" s="43">
        <f t="shared" si="49"/>
        <v>2330</v>
      </c>
      <c r="C1345" s="10">
        <f t="shared" si="50"/>
        <v>1335</v>
      </c>
      <c r="D1345" s="45">
        <f t="shared" si="51"/>
        <v>891770</v>
      </c>
    </row>
    <row r="1346" spans="1:4" x14ac:dyDescent="0.3">
      <c r="A1346" s="42">
        <v>1331</v>
      </c>
      <c r="B1346" s="43">
        <f t="shared" si="49"/>
        <v>2331</v>
      </c>
      <c r="C1346" s="10">
        <f t="shared" si="50"/>
        <v>1336</v>
      </c>
      <c r="D1346" s="45">
        <f t="shared" si="51"/>
        <v>893106</v>
      </c>
    </row>
    <row r="1347" spans="1:4" x14ac:dyDescent="0.3">
      <c r="A1347" s="42">
        <v>1332</v>
      </c>
      <c r="B1347" s="43">
        <f t="shared" si="49"/>
        <v>2332</v>
      </c>
      <c r="C1347" s="10">
        <f t="shared" si="50"/>
        <v>1337</v>
      </c>
      <c r="D1347" s="45">
        <f t="shared" si="51"/>
        <v>894443</v>
      </c>
    </row>
    <row r="1348" spans="1:4" x14ac:dyDescent="0.3">
      <c r="A1348" s="42">
        <v>1333</v>
      </c>
      <c r="B1348" s="43">
        <f t="shared" si="49"/>
        <v>2333</v>
      </c>
      <c r="C1348" s="10">
        <f t="shared" si="50"/>
        <v>1338</v>
      </c>
      <c r="D1348" s="45">
        <f t="shared" si="51"/>
        <v>895781</v>
      </c>
    </row>
    <row r="1349" spans="1:4" x14ac:dyDescent="0.3">
      <c r="A1349" s="42">
        <v>1334</v>
      </c>
      <c r="B1349" s="43">
        <f t="shared" si="49"/>
        <v>2334</v>
      </c>
      <c r="C1349" s="10">
        <f t="shared" si="50"/>
        <v>1339</v>
      </c>
      <c r="D1349" s="45">
        <f t="shared" si="51"/>
        <v>897120</v>
      </c>
    </row>
    <row r="1350" spans="1:4" x14ac:dyDescent="0.3">
      <c r="A1350" s="42">
        <v>1335</v>
      </c>
      <c r="B1350" s="43">
        <f t="shared" si="49"/>
        <v>2335</v>
      </c>
      <c r="C1350" s="10">
        <f t="shared" si="50"/>
        <v>1340</v>
      </c>
      <c r="D1350" s="45">
        <f t="shared" si="51"/>
        <v>898460</v>
      </c>
    </row>
    <row r="1351" spans="1:4" x14ac:dyDescent="0.3">
      <c r="A1351" s="42">
        <v>1336</v>
      </c>
      <c r="B1351" s="43">
        <f t="shared" si="49"/>
        <v>2336</v>
      </c>
      <c r="C1351" s="10">
        <f t="shared" si="50"/>
        <v>1341</v>
      </c>
      <c r="D1351" s="45">
        <f t="shared" si="51"/>
        <v>899801</v>
      </c>
    </row>
    <row r="1352" spans="1:4" x14ac:dyDescent="0.3">
      <c r="A1352" s="42">
        <v>1337</v>
      </c>
      <c r="B1352" s="43">
        <f t="shared" si="49"/>
        <v>2337</v>
      </c>
      <c r="C1352" s="10">
        <f t="shared" si="50"/>
        <v>1342</v>
      </c>
      <c r="D1352" s="45">
        <f t="shared" si="51"/>
        <v>901143</v>
      </c>
    </row>
    <row r="1353" spans="1:4" x14ac:dyDescent="0.3">
      <c r="A1353" s="42">
        <v>1338</v>
      </c>
      <c r="B1353" s="43">
        <f t="shared" si="49"/>
        <v>2338</v>
      </c>
      <c r="C1353" s="10">
        <f t="shared" si="50"/>
        <v>1343</v>
      </c>
      <c r="D1353" s="45">
        <f t="shared" si="51"/>
        <v>902486</v>
      </c>
    </row>
    <row r="1354" spans="1:4" x14ac:dyDescent="0.3">
      <c r="A1354" s="42">
        <v>1339</v>
      </c>
      <c r="B1354" s="43">
        <f t="shared" si="49"/>
        <v>2339</v>
      </c>
      <c r="C1354" s="10">
        <f t="shared" si="50"/>
        <v>1344</v>
      </c>
      <c r="D1354" s="45">
        <f t="shared" si="51"/>
        <v>903830</v>
      </c>
    </row>
    <row r="1355" spans="1:4" x14ac:dyDescent="0.3">
      <c r="A1355" s="42">
        <v>1340</v>
      </c>
      <c r="B1355" s="43">
        <f t="shared" si="49"/>
        <v>2340</v>
      </c>
      <c r="C1355" s="10">
        <f t="shared" si="50"/>
        <v>1345</v>
      </c>
      <c r="D1355" s="45">
        <f t="shared" si="51"/>
        <v>905175</v>
      </c>
    </row>
    <row r="1356" spans="1:4" x14ac:dyDescent="0.3">
      <c r="A1356" s="42">
        <v>1341</v>
      </c>
      <c r="B1356" s="43">
        <f t="shared" si="49"/>
        <v>2341</v>
      </c>
      <c r="C1356" s="10">
        <f t="shared" si="50"/>
        <v>1346</v>
      </c>
      <c r="D1356" s="45">
        <f t="shared" si="51"/>
        <v>906521</v>
      </c>
    </row>
    <row r="1357" spans="1:4" x14ac:dyDescent="0.3">
      <c r="A1357" s="42">
        <v>1342</v>
      </c>
      <c r="B1357" s="43">
        <f t="shared" si="49"/>
        <v>2342</v>
      </c>
      <c r="C1357" s="10">
        <f t="shared" si="50"/>
        <v>1347</v>
      </c>
      <c r="D1357" s="45">
        <f t="shared" si="51"/>
        <v>907868</v>
      </c>
    </row>
    <row r="1358" spans="1:4" x14ac:dyDescent="0.3">
      <c r="A1358" s="42">
        <v>1343</v>
      </c>
      <c r="B1358" s="43">
        <f t="shared" si="49"/>
        <v>2343</v>
      </c>
      <c r="C1358" s="10">
        <f t="shared" si="50"/>
        <v>1348</v>
      </c>
      <c r="D1358" s="45">
        <f t="shared" si="51"/>
        <v>909216</v>
      </c>
    </row>
    <row r="1359" spans="1:4" x14ac:dyDescent="0.3">
      <c r="A1359" s="42">
        <v>1344</v>
      </c>
      <c r="B1359" s="43">
        <f t="shared" si="49"/>
        <v>2344</v>
      </c>
      <c r="C1359" s="10">
        <f t="shared" si="50"/>
        <v>1349</v>
      </c>
      <c r="D1359" s="45">
        <f t="shared" si="51"/>
        <v>910565</v>
      </c>
    </row>
    <row r="1360" spans="1:4" x14ac:dyDescent="0.3">
      <c r="A1360" s="42">
        <v>1345</v>
      </c>
      <c r="B1360" s="43">
        <f t="shared" si="49"/>
        <v>2345</v>
      </c>
      <c r="C1360" s="10">
        <f t="shared" si="50"/>
        <v>1350</v>
      </c>
      <c r="D1360" s="45">
        <f t="shared" si="51"/>
        <v>911915</v>
      </c>
    </row>
    <row r="1361" spans="1:4" x14ac:dyDescent="0.3">
      <c r="A1361" s="42">
        <v>1346</v>
      </c>
      <c r="B1361" s="43">
        <f t="shared" si="49"/>
        <v>2346</v>
      </c>
      <c r="C1361" s="10">
        <f t="shared" si="50"/>
        <v>1351</v>
      </c>
      <c r="D1361" s="45">
        <f t="shared" si="51"/>
        <v>913266</v>
      </c>
    </row>
    <row r="1362" spans="1:4" x14ac:dyDescent="0.3">
      <c r="A1362" s="42">
        <v>1347</v>
      </c>
      <c r="B1362" s="43">
        <f t="shared" si="49"/>
        <v>2347</v>
      </c>
      <c r="C1362" s="10">
        <f t="shared" si="50"/>
        <v>1352</v>
      </c>
      <c r="D1362" s="45">
        <f t="shared" si="51"/>
        <v>914618</v>
      </c>
    </row>
    <row r="1363" spans="1:4" x14ac:dyDescent="0.3">
      <c r="A1363" s="42">
        <v>1348</v>
      </c>
      <c r="B1363" s="43">
        <f t="shared" si="49"/>
        <v>2348</v>
      </c>
      <c r="C1363" s="10">
        <f t="shared" si="50"/>
        <v>1353</v>
      </c>
      <c r="D1363" s="45">
        <f t="shared" si="51"/>
        <v>915971</v>
      </c>
    </row>
    <row r="1364" spans="1:4" x14ac:dyDescent="0.3">
      <c r="A1364" s="42">
        <v>1349</v>
      </c>
      <c r="B1364" s="43">
        <f t="shared" si="49"/>
        <v>2349</v>
      </c>
      <c r="C1364" s="10">
        <f t="shared" si="50"/>
        <v>1354</v>
      </c>
      <c r="D1364" s="45">
        <f t="shared" si="51"/>
        <v>917325</v>
      </c>
    </row>
    <row r="1365" spans="1:4" x14ac:dyDescent="0.3">
      <c r="A1365" s="42">
        <v>1350</v>
      </c>
      <c r="B1365" s="43">
        <f t="shared" si="49"/>
        <v>2350</v>
      </c>
      <c r="C1365" s="10">
        <f t="shared" si="50"/>
        <v>1355</v>
      </c>
      <c r="D1365" s="45">
        <f t="shared" si="51"/>
        <v>918680</v>
      </c>
    </row>
    <row r="1366" spans="1:4" x14ac:dyDescent="0.3">
      <c r="A1366" s="42">
        <v>1351</v>
      </c>
      <c r="B1366" s="43">
        <f t="shared" si="49"/>
        <v>2351</v>
      </c>
      <c r="C1366" s="10">
        <f t="shared" si="50"/>
        <v>1356</v>
      </c>
      <c r="D1366" s="45">
        <f t="shared" si="51"/>
        <v>920036</v>
      </c>
    </row>
    <row r="1367" spans="1:4" x14ac:dyDescent="0.3">
      <c r="A1367" s="42">
        <v>1352</v>
      </c>
      <c r="B1367" s="43">
        <f t="shared" si="49"/>
        <v>2352</v>
      </c>
      <c r="C1367" s="10">
        <f t="shared" si="50"/>
        <v>1357</v>
      </c>
      <c r="D1367" s="45">
        <f t="shared" si="51"/>
        <v>921393</v>
      </c>
    </row>
    <row r="1368" spans="1:4" x14ac:dyDescent="0.3">
      <c r="A1368" s="42">
        <v>1353</v>
      </c>
      <c r="B1368" s="43">
        <f t="shared" si="49"/>
        <v>2353</v>
      </c>
      <c r="C1368" s="10">
        <f t="shared" si="50"/>
        <v>1358</v>
      </c>
      <c r="D1368" s="45">
        <f t="shared" si="51"/>
        <v>922751</v>
      </c>
    </row>
    <row r="1369" spans="1:4" x14ac:dyDescent="0.3">
      <c r="A1369" s="42">
        <v>1354</v>
      </c>
      <c r="B1369" s="43">
        <f t="shared" si="49"/>
        <v>2354</v>
      </c>
      <c r="C1369" s="10">
        <f t="shared" si="50"/>
        <v>1359</v>
      </c>
      <c r="D1369" s="45">
        <f t="shared" si="51"/>
        <v>924110</v>
      </c>
    </row>
    <row r="1370" spans="1:4" x14ac:dyDescent="0.3">
      <c r="A1370" s="42">
        <v>1355</v>
      </c>
      <c r="B1370" s="43">
        <f t="shared" si="49"/>
        <v>2355</v>
      </c>
      <c r="C1370" s="10">
        <f t="shared" si="50"/>
        <v>1360</v>
      </c>
      <c r="D1370" s="45">
        <f t="shared" si="51"/>
        <v>925470</v>
      </c>
    </row>
    <row r="1371" spans="1:4" x14ac:dyDescent="0.3">
      <c r="A1371" s="42">
        <v>1356</v>
      </c>
      <c r="B1371" s="43">
        <f t="shared" si="49"/>
        <v>2356</v>
      </c>
      <c r="C1371" s="10">
        <f t="shared" si="50"/>
        <v>1361</v>
      </c>
      <c r="D1371" s="45">
        <f t="shared" si="51"/>
        <v>926831</v>
      </c>
    </row>
    <row r="1372" spans="1:4" x14ac:dyDescent="0.3">
      <c r="A1372" s="42">
        <v>1357</v>
      </c>
      <c r="B1372" s="43">
        <f t="shared" si="49"/>
        <v>2357</v>
      </c>
      <c r="C1372" s="10">
        <f t="shared" si="50"/>
        <v>1362</v>
      </c>
      <c r="D1372" s="45">
        <f t="shared" si="51"/>
        <v>928193</v>
      </c>
    </row>
    <row r="1373" spans="1:4" x14ac:dyDescent="0.3">
      <c r="A1373" s="42">
        <v>1358</v>
      </c>
      <c r="B1373" s="43">
        <f t="shared" si="49"/>
        <v>2358</v>
      </c>
      <c r="C1373" s="10">
        <f t="shared" si="50"/>
        <v>1363</v>
      </c>
      <c r="D1373" s="45">
        <f t="shared" si="51"/>
        <v>929556</v>
      </c>
    </row>
    <row r="1374" spans="1:4" x14ac:dyDescent="0.3">
      <c r="A1374" s="42">
        <v>1359</v>
      </c>
      <c r="B1374" s="43">
        <f t="shared" si="49"/>
        <v>2359</v>
      </c>
      <c r="C1374" s="10">
        <f t="shared" si="50"/>
        <v>1364</v>
      </c>
      <c r="D1374" s="45">
        <f t="shared" si="51"/>
        <v>930920</v>
      </c>
    </row>
    <row r="1375" spans="1:4" x14ac:dyDescent="0.3">
      <c r="A1375" s="42">
        <v>1360</v>
      </c>
      <c r="B1375" s="43">
        <f t="shared" si="49"/>
        <v>2360</v>
      </c>
      <c r="C1375" s="10">
        <f t="shared" si="50"/>
        <v>1365</v>
      </c>
      <c r="D1375" s="45">
        <f t="shared" si="51"/>
        <v>932285</v>
      </c>
    </row>
    <row r="1376" spans="1:4" x14ac:dyDescent="0.3">
      <c r="A1376" s="42">
        <v>1361</v>
      </c>
      <c r="B1376" s="43">
        <f t="shared" si="49"/>
        <v>2361</v>
      </c>
      <c r="C1376" s="10">
        <f t="shared" si="50"/>
        <v>1366</v>
      </c>
      <c r="D1376" s="45">
        <f t="shared" si="51"/>
        <v>933651</v>
      </c>
    </row>
    <row r="1377" spans="1:4" x14ac:dyDescent="0.3">
      <c r="A1377" s="42">
        <v>1362</v>
      </c>
      <c r="B1377" s="43">
        <f t="shared" si="49"/>
        <v>2362</v>
      </c>
      <c r="C1377" s="10">
        <f t="shared" si="50"/>
        <v>1367</v>
      </c>
      <c r="D1377" s="45">
        <f t="shared" si="51"/>
        <v>935018</v>
      </c>
    </row>
    <row r="1378" spans="1:4" x14ac:dyDescent="0.3">
      <c r="A1378" s="42">
        <v>1363</v>
      </c>
      <c r="B1378" s="43">
        <f t="shared" si="49"/>
        <v>2363</v>
      </c>
      <c r="C1378" s="10">
        <f t="shared" si="50"/>
        <v>1368</v>
      </c>
      <c r="D1378" s="45">
        <f t="shared" si="51"/>
        <v>936386</v>
      </c>
    </row>
    <row r="1379" spans="1:4" x14ac:dyDescent="0.3">
      <c r="A1379" s="42">
        <v>1364</v>
      </c>
      <c r="B1379" s="43">
        <f t="shared" si="49"/>
        <v>2364</v>
      </c>
      <c r="C1379" s="10">
        <f t="shared" si="50"/>
        <v>1369</v>
      </c>
      <c r="D1379" s="45">
        <f t="shared" si="51"/>
        <v>937755</v>
      </c>
    </row>
    <row r="1380" spans="1:4" x14ac:dyDescent="0.3">
      <c r="A1380" s="42">
        <v>1365</v>
      </c>
      <c r="B1380" s="43">
        <f t="shared" si="49"/>
        <v>2365</v>
      </c>
      <c r="C1380" s="10">
        <f t="shared" si="50"/>
        <v>1370</v>
      </c>
      <c r="D1380" s="45">
        <f t="shared" si="51"/>
        <v>939125</v>
      </c>
    </row>
    <row r="1381" spans="1:4" x14ac:dyDescent="0.3">
      <c r="A1381" s="42">
        <v>1366</v>
      </c>
      <c r="B1381" s="43">
        <f t="shared" si="49"/>
        <v>2366</v>
      </c>
      <c r="C1381" s="10">
        <f t="shared" si="50"/>
        <v>1371</v>
      </c>
      <c r="D1381" s="45">
        <f t="shared" si="51"/>
        <v>940496</v>
      </c>
    </row>
    <row r="1382" spans="1:4" x14ac:dyDescent="0.3">
      <c r="A1382" s="42">
        <v>1367</v>
      </c>
      <c r="B1382" s="43">
        <f t="shared" ref="B1382:B1445" si="52">B1381+R$8</f>
        <v>2367</v>
      </c>
      <c r="C1382" s="10">
        <f t="shared" ref="C1382:C1445" si="53">C1381+R$7</f>
        <v>1372</v>
      </c>
      <c r="D1382" s="45">
        <f t="shared" ref="D1382:D1445" si="54">D1381+C1382</f>
        <v>941868</v>
      </c>
    </row>
    <row r="1383" spans="1:4" x14ac:dyDescent="0.3">
      <c r="A1383" s="42">
        <v>1368</v>
      </c>
      <c r="B1383" s="43">
        <f t="shared" si="52"/>
        <v>2368</v>
      </c>
      <c r="C1383" s="10">
        <f t="shared" si="53"/>
        <v>1373</v>
      </c>
      <c r="D1383" s="45">
        <f t="shared" si="54"/>
        <v>943241</v>
      </c>
    </row>
    <row r="1384" spans="1:4" x14ac:dyDescent="0.3">
      <c r="A1384" s="42">
        <v>1369</v>
      </c>
      <c r="B1384" s="43">
        <f t="shared" si="52"/>
        <v>2369</v>
      </c>
      <c r="C1384" s="10">
        <f t="shared" si="53"/>
        <v>1374</v>
      </c>
      <c r="D1384" s="45">
        <f t="shared" si="54"/>
        <v>944615</v>
      </c>
    </row>
    <row r="1385" spans="1:4" x14ac:dyDescent="0.3">
      <c r="A1385" s="42">
        <v>1370</v>
      </c>
      <c r="B1385" s="43">
        <f t="shared" si="52"/>
        <v>2370</v>
      </c>
      <c r="C1385" s="10">
        <f t="shared" si="53"/>
        <v>1375</v>
      </c>
      <c r="D1385" s="45">
        <f t="shared" si="54"/>
        <v>945990</v>
      </c>
    </row>
    <row r="1386" spans="1:4" x14ac:dyDescent="0.3">
      <c r="A1386" s="42">
        <v>1371</v>
      </c>
      <c r="B1386" s="43">
        <f t="shared" si="52"/>
        <v>2371</v>
      </c>
      <c r="C1386" s="10">
        <f t="shared" si="53"/>
        <v>1376</v>
      </c>
      <c r="D1386" s="45">
        <f t="shared" si="54"/>
        <v>947366</v>
      </c>
    </row>
    <row r="1387" spans="1:4" x14ac:dyDescent="0.3">
      <c r="A1387" s="42">
        <v>1372</v>
      </c>
      <c r="B1387" s="43">
        <f t="shared" si="52"/>
        <v>2372</v>
      </c>
      <c r="C1387" s="10">
        <f t="shared" si="53"/>
        <v>1377</v>
      </c>
      <c r="D1387" s="45">
        <f t="shared" si="54"/>
        <v>948743</v>
      </c>
    </row>
    <row r="1388" spans="1:4" x14ac:dyDescent="0.3">
      <c r="A1388" s="42">
        <v>1373</v>
      </c>
      <c r="B1388" s="43">
        <f t="shared" si="52"/>
        <v>2373</v>
      </c>
      <c r="C1388" s="10">
        <f t="shared" si="53"/>
        <v>1378</v>
      </c>
      <c r="D1388" s="45">
        <f t="shared" si="54"/>
        <v>950121</v>
      </c>
    </row>
    <row r="1389" spans="1:4" x14ac:dyDescent="0.3">
      <c r="A1389" s="42">
        <v>1374</v>
      </c>
      <c r="B1389" s="43">
        <f t="shared" si="52"/>
        <v>2374</v>
      </c>
      <c r="C1389" s="10">
        <f t="shared" si="53"/>
        <v>1379</v>
      </c>
      <c r="D1389" s="45">
        <f t="shared" si="54"/>
        <v>951500</v>
      </c>
    </row>
    <row r="1390" spans="1:4" x14ac:dyDescent="0.3">
      <c r="A1390" s="42">
        <v>1375</v>
      </c>
      <c r="B1390" s="43">
        <f t="shared" si="52"/>
        <v>2375</v>
      </c>
      <c r="C1390" s="10">
        <f t="shared" si="53"/>
        <v>1380</v>
      </c>
      <c r="D1390" s="45">
        <f t="shared" si="54"/>
        <v>952880</v>
      </c>
    </row>
    <row r="1391" spans="1:4" x14ac:dyDescent="0.3">
      <c r="A1391" s="42">
        <v>1376</v>
      </c>
      <c r="B1391" s="43">
        <f t="shared" si="52"/>
        <v>2376</v>
      </c>
      <c r="C1391" s="10">
        <f t="shared" si="53"/>
        <v>1381</v>
      </c>
      <c r="D1391" s="45">
        <f t="shared" si="54"/>
        <v>954261</v>
      </c>
    </row>
    <row r="1392" spans="1:4" x14ac:dyDescent="0.3">
      <c r="A1392" s="42">
        <v>1377</v>
      </c>
      <c r="B1392" s="43">
        <f t="shared" si="52"/>
        <v>2377</v>
      </c>
      <c r="C1392" s="10">
        <f t="shared" si="53"/>
        <v>1382</v>
      </c>
      <c r="D1392" s="45">
        <f t="shared" si="54"/>
        <v>955643</v>
      </c>
    </row>
    <row r="1393" spans="1:4" x14ac:dyDescent="0.3">
      <c r="A1393" s="42">
        <v>1378</v>
      </c>
      <c r="B1393" s="43">
        <f t="shared" si="52"/>
        <v>2378</v>
      </c>
      <c r="C1393" s="10">
        <f t="shared" si="53"/>
        <v>1383</v>
      </c>
      <c r="D1393" s="45">
        <f t="shared" si="54"/>
        <v>957026</v>
      </c>
    </row>
    <row r="1394" spans="1:4" x14ac:dyDescent="0.3">
      <c r="A1394" s="42">
        <v>1379</v>
      </c>
      <c r="B1394" s="43">
        <f t="shared" si="52"/>
        <v>2379</v>
      </c>
      <c r="C1394" s="10">
        <f t="shared" si="53"/>
        <v>1384</v>
      </c>
      <c r="D1394" s="45">
        <f t="shared" si="54"/>
        <v>958410</v>
      </c>
    </row>
    <row r="1395" spans="1:4" x14ac:dyDescent="0.3">
      <c r="A1395" s="42">
        <v>1380</v>
      </c>
      <c r="B1395" s="43">
        <f t="shared" si="52"/>
        <v>2380</v>
      </c>
      <c r="C1395" s="10">
        <f t="shared" si="53"/>
        <v>1385</v>
      </c>
      <c r="D1395" s="45">
        <f t="shared" si="54"/>
        <v>959795</v>
      </c>
    </row>
    <row r="1396" spans="1:4" x14ac:dyDescent="0.3">
      <c r="A1396" s="42">
        <v>1381</v>
      </c>
      <c r="B1396" s="43">
        <f t="shared" si="52"/>
        <v>2381</v>
      </c>
      <c r="C1396" s="10">
        <f t="shared" si="53"/>
        <v>1386</v>
      </c>
      <c r="D1396" s="45">
        <f t="shared" si="54"/>
        <v>961181</v>
      </c>
    </row>
    <row r="1397" spans="1:4" x14ac:dyDescent="0.3">
      <c r="A1397" s="42">
        <v>1382</v>
      </c>
      <c r="B1397" s="43">
        <f t="shared" si="52"/>
        <v>2382</v>
      </c>
      <c r="C1397" s="10">
        <f t="shared" si="53"/>
        <v>1387</v>
      </c>
      <c r="D1397" s="45">
        <f t="shared" si="54"/>
        <v>962568</v>
      </c>
    </row>
    <row r="1398" spans="1:4" x14ac:dyDescent="0.3">
      <c r="A1398" s="42">
        <v>1383</v>
      </c>
      <c r="B1398" s="43">
        <f t="shared" si="52"/>
        <v>2383</v>
      </c>
      <c r="C1398" s="10">
        <f t="shared" si="53"/>
        <v>1388</v>
      </c>
      <c r="D1398" s="45">
        <f t="shared" si="54"/>
        <v>963956</v>
      </c>
    </row>
    <row r="1399" spans="1:4" x14ac:dyDescent="0.3">
      <c r="A1399" s="42">
        <v>1384</v>
      </c>
      <c r="B1399" s="43">
        <f t="shared" si="52"/>
        <v>2384</v>
      </c>
      <c r="C1399" s="10">
        <f t="shared" si="53"/>
        <v>1389</v>
      </c>
      <c r="D1399" s="45">
        <f t="shared" si="54"/>
        <v>965345</v>
      </c>
    </row>
    <row r="1400" spans="1:4" x14ac:dyDescent="0.3">
      <c r="A1400" s="42">
        <v>1385</v>
      </c>
      <c r="B1400" s="43">
        <f t="shared" si="52"/>
        <v>2385</v>
      </c>
      <c r="C1400" s="10">
        <f t="shared" si="53"/>
        <v>1390</v>
      </c>
      <c r="D1400" s="45">
        <f t="shared" si="54"/>
        <v>966735</v>
      </c>
    </row>
    <row r="1401" spans="1:4" x14ac:dyDescent="0.3">
      <c r="A1401" s="42">
        <v>1386</v>
      </c>
      <c r="B1401" s="43">
        <f t="shared" si="52"/>
        <v>2386</v>
      </c>
      <c r="C1401" s="10">
        <f t="shared" si="53"/>
        <v>1391</v>
      </c>
      <c r="D1401" s="45">
        <f t="shared" si="54"/>
        <v>968126</v>
      </c>
    </row>
    <row r="1402" spans="1:4" x14ac:dyDescent="0.3">
      <c r="A1402" s="42">
        <v>1387</v>
      </c>
      <c r="B1402" s="43">
        <f t="shared" si="52"/>
        <v>2387</v>
      </c>
      <c r="C1402" s="10">
        <f t="shared" si="53"/>
        <v>1392</v>
      </c>
      <c r="D1402" s="45">
        <f t="shared" si="54"/>
        <v>969518</v>
      </c>
    </row>
    <row r="1403" spans="1:4" x14ac:dyDescent="0.3">
      <c r="A1403" s="42">
        <v>1388</v>
      </c>
      <c r="B1403" s="43">
        <f t="shared" si="52"/>
        <v>2388</v>
      </c>
      <c r="C1403" s="10">
        <f t="shared" si="53"/>
        <v>1393</v>
      </c>
      <c r="D1403" s="45">
        <f t="shared" si="54"/>
        <v>970911</v>
      </c>
    </row>
    <row r="1404" spans="1:4" x14ac:dyDescent="0.3">
      <c r="A1404" s="42">
        <v>1389</v>
      </c>
      <c r="B1404" s="43">
        <f t="shared" si="52"/>
        <v>2389</v>
      </c>
      <c r="C1404" s="10">
        <f t="shared" si="53"/>
        <v>1394</v>
      </c>
      <c r="D1404" s="45">
        <f t="shared" si="54"/>
        <v>972305</v>
      </c>
    </row>
    <row r="1405" spans="1:4" x14ac:dyDescent="0.3">
      <c r="A1405" s="42">
        <v>1390</v>
      </c>
      <c r="B1405" s="43">
        <f t="shared" si="52"/>
        <v>2390</v>
      </c>
      <c r="C1405" s="10">
        <f t="shared" si="53"/>
        <v>1395</v>
      </c>
      <c r="D1405" s="45">
        <f t="shared" si="54"/>
        <v>973700</v>
      </c>
    </row>
    <row r="1406" spans="1:4" x14ac:dyDescent="0.3">
      <c r="A1406" s="42">
        <v>1391</v>
      </c>
      <c r="B1406" s="43">
        <f t="shared" si="52"/>
        <v>2391</v>
      </c>
      <c r="C1406" s="10">
        <f t="shared" si="53"/>
        <v>1396</v>
      </c>
      <c r="D1406" s="45">
        <f t="shared" si="54"/>
        <v>975096</v>
      </c>
    </row>
    <row r="1407" spans="1:4" x14ac:dyDescent="0.3">
      <c r="A1407" s="42">
        <v>1392</v>
      </c>
      <c r="B1407" s="43">
        <f t="shared" si="52"/>
        <v>2392</v>
      </c>
      <c r="C1407" s="10">
        <f t="shared" si="53"/>
        <v>1397</v>
      </c>
      <c r="D1407" s="45">
        <f t="shared" si="54"/>
        <v>976493</v>
      </c>
    </row>
    <row r="1408" spans="1:4" x14ac:dyDescent="0.3">
      <c r="A1408" s="42">
        <v>1393</v>
      </c>
      <c r="B1408" s="43">
        <f t="shared" si="52"/>
        <v>2393</v>
      </c>
      <c r="C1408" s="10">
        <f t="shared" si="53"/>
        <v>1398</v>
      </c>
      <c r="D1408" s="45">
        <f t="shared" si="54"/>
        <v>977891</v>
      </c>
    </row>
    <row r="1409" spans="1:4" x14ac:dyDescent="0.3">
      <c r="A1409" s="42">
        <v>1394</v>
      </c>
      <c r="B1409" s="43">
        <f t="shared" si="52"/>
        <v>2394</v>
      </c>
      <c r="C1409" s="10">
        <f t="shared" si="53"/>
        <v>1399</v>
      </c>
      <c r="D1409" s="45">
        <f t="shared" si="54"/>
        <v>979290</v>
      </c>
    </row>
    <row r="1410" spans="1:4" x14ac:dyDescent="0.3">
      <c r="A1410" s="42">
        <v>1395</v>
      </c>
      <c r="B1410" s="43">
        <f t="shared" si="52"/>
        <v>2395</v>
      </c>
      <c r="C1410" s="10">
        <f t="shared" si="53"/>
        <v>1400</v>
      </c>
      <c r="D1410" s="45">
        <f t="shared" si="54"/>
        <v>980690</v>
      </c>
    </row>
    <row r="1411" spans="1:4" x14ac:dyDescent="0.3">
      <c r="A1411" s="42">
        <v>1396</v>
      </c>
      <c r="B1411" s="43">
        <f t="shared" si="52"/>
        <v>2396</v>
      </c>
      <c r="C1411" s="10">
        <f t="shared" si="53"/>
        <v>1401</v>
      </c>
      <c r="D1411" s="45">
        <f t="shared" si="54"/>
        <v>982091</v>
      </c>
    </row>
    <row r="1412" spans="1:4" x14ac:dyDescent="0.3">
      <c r="A1412" s="42">
        <v>1397</v>
      </c>
      <c r="B1412" s="43">
        <f t="shared" si="52"/>
        <v>2397</v>
      </c>
      <c r="C1412" s="10">
        <f t="shared" si="53"/>
        <v>1402</v>
      </c>
      <c r="D1412" s="45">
        <f t="shared" si="54"/>
        <v>983493</v>
      </c>
    </row>
    <row r="1413" spans="1:4" x14ac:dyDescent="0.3">
      <c r="A1413" s="42">
        <v>1398</v>
      </c>
      <c r="B1413" s="43">
        <f t="shared" si="52"/>
        <v>2398</v>
      </c>
      <c r="C1413" s="10">
        <f t="shared" si="53"/>
        <v>1403</v>
      </c>
      <c r="D1413" s="45">
        <f t="shared" si="54"/>
        <v>984896</v>
      </c>
    </row>
    <row r="1414" spans="1:4" x14ac:dyDescent="0.3">
      <c r="A1414" s="42">
        <v>1399</v>
      </c>
      <c r="B1414" s="43">
        <f t="shared" si="52"/>
        <v>2399</v>
      </c>
      <c r="C1414" s="10">
        <f t="shared" si="53"/>
        <v>1404</v>
      </c>
      <c r="D1414" s="45">
        <f t="shared" si="54"/>
        <v>986300</v>
      </c>
    </row>
    <row r="1415" spans="1:4" x14ac:dyDescent="0.3">
      <c r="A1415" s="42">
        <v>1400</v>
      </c>
      <c r="B1415" s="43">
        <f t="shared" si="52"/>
        <v>2400</v>
      </c>
      <c r="C1415" s="10">
        <f t="shared" si="53"/>
        <v>1405</v>
      </c>
      <c r="D1415" s="45">
        <f t="shared" si="54"/>
        <v>987705</v>
      </c>
    </row>
    <row r="1416" spans="1:4" x14ac:dyDescent="0.3">
      <c r="A1416" s="42">
        <v>1401</v>
      </c>
      <c r="B1416" s="43">
        <f t="shared" si="52"/>
        <v>2401</v>
      </c>
      <c r="C1416" s="10">
        <f t="shared" si="53"/>
        <v>1406</v>
      </c>
      <c r="D1416" s="45">
        <f t="shared" si="54"/>
        <v>989111</v>
      </c>
    </row>
    <row r="1417" spans="1:4" x14ac:dyDescent="0.3">
      <c r="A1417" s="42">
        <v>1402</v>
      </c>
      <c r="B1417" s="43">
        <f t="shared" si="52"/>
        <v>2402</v>
      </c>
      <c r="C1417" s="10">
        <f t="shared" si="53"/>
        <v>1407</v>
      </c>
      <c r="D1417" s="45">
        <f t="shared" si="54"/>
        <v>990518</v>
      </c>
    </row>
    <row r="1418" spans="1:4" x14ac:dyDescent="0.3">
      <c r="A1418" s="42">
        <v>1403</v>
      </c>
      <c r="B1418" s="43">
        <f t="shared" si="52"/>
        <v>2403</v>
      </c>
      <c r="C1418" s="10">
        <f t="shared" si="53"/>
        <v>1408</v>
      </c>
      <c r="D1418" s="45">
        <f t="shared" si="54"/>
        <v>991926</v>
      </c>
    </row>
    <row r="1419" spans="1:4" x14ac:dyDescent="0.3">
      <c r="A1419" s="42">
        <v>1404</v>
      </c>
      <c r="B1419" s="43">
        <f t="shared" si="52"/>
        <v>2404</v>
      </c>
      <c r="C1419" s="10">
        <f t="shared" si="53"/>
        <v>1409</v>
      </c>
      <c r="D1419" s="45">
        <f t="shared" si="54"/>
        <v>993335</v>
      </c>
    </row>
    <row r="1420" spans="1:4" x14ac:dyDescent="0.3">
      <c r="A1420" s="42">
        <v>1405</v>
      </c>
      <c r="B1420" s="43">
        <f t="shared" si="52"/>
        <v>2405</v>
      </c>
      <c r="C1420" s="10">
        <f t="shared" si="53"/>
        <v>1410</v>
      </c>
      <c r="D1420" s="45">
        <f t="shared" si="54"/>
        <v>994745</v>
      </c>
    </row>
    <row r="1421" spans="1:4" x14ac:dyDescent="0.3">
      <c r="A1421" s="42">
        <v>1406</v>
      </c>
      <c r="B1421" s="43">
        <f t="shared" si="52"/>
        <v>2406</v>
      </c>
      <c r="C1421" s="10">
        <f t="shared" si="53"/>
        <v>1411</v>
      </c>
      <c r="D1421" s="45">
        <f t="shared" si="54"/>
        <v>996156</v>
      </c>
    </row>
    <row r="1422" spans="1:4" x14ac:dyDescent="0.3">
      <c r="A1422" s="42">
        <v>1407</v>
      </c>
      <c r="B1422" s="43">
        <f t="shared" si="52"/>
        <v>2407</v>
      </c>
      <c r="C1422" s="10">
        <f t="shared" si="53"/>
        <v>1412</v>
      </c>
      <c r="D1422" s="45">
        <f t="shared" si="54"/>
        <v>997568</v>
      </c>
    </row>
    <row r="1423" spans="1:4" x14ac:dyDescent="0.3">
      <c r="A1423" s="42">
        <v>1408</v>
      </c>
      <c r="B1423" s="43">
        <f t="shared" si="52"/>
        <v>2408</v>
      </c>
      <c r="C1423" s="10">
        <f t="shared" si="53"/>
        <v>1413</v>
      </c>
      <c r="D1423" s="45">
        <f t="shared" si="54"/>
        <v>998981</v>
      </c>
    </row>
    <row r="1424" spans="1:4" x14ac:dyDescent="0.3">
      <c r="A1424" s="42">
        <v>1409</v>
      </c>
      <c r="B1424" s="43">
        <f t="shared" si="52"/>
        <v>2409</v>
      </c>
      <c r="C1424" s="10">
        <f t="shared" si="53"/>
        <v>1414</v>
      </c>
      <c r="D1424" s="45">
        <f t="shared" si="54"/>
        <v>1000395</v>
      </c>
    </row>
    <row r="1425" spans="1:4" x14ac:dyDescent="0.3">
      <c r="A1425" s="42">
        <v>1410</v>
      </c>
      <c r="B1425" s="43">
        <f t="shared" si="52"/>
        <v>2410</v>
      </c>
      <c r="C1425" s="10">
        <f t="shared" si="53"/>
        <v>1415</v>
      </c>
      <c r="D1425" s="45">
        <f t="shared" si="54"/>
        <v>1001810</v>
      </c>
    </row>
    <row r="1426" spans="1:4" x14ac:dyDescent="0.3">
      <c r="A1426" s="42">
        <v>1411</v>
      </c>
      <c r="B1426" s="43">
        <f t="shared" si="52"/>
        <v>2411</v>
      </c>
      <c r="C1426" s="10">
        <f t="shared" si="53"/>
        <v>1416</v>
      </c>
      <c r="D1426" s="45">
        <f t="shared" si="54"/>
        <v>1003226</v>
      </c>
    </row>
    <row r="1427" spans="1:4" x14ac:dyDescent="0.3">
      <c r="A1427" s="42">
        <v>1412</v>
      </c>
      <c r="B1427" s="43">
        <f t="shared" si="52"/>
        <v>2412</v>
      </c>
      <c r="C1427" s="10">
        <f t="shared" si="53"/>
        <v>1417</v>
      </c>
      <c r="D1427" s="45">
        <f t="shared" si="54"/>
        <v>1004643</v>
      </c>
    </row>
    <row r="1428" spans="1:4" x14ac:dyDescent="0.3">
      <c r="A1428" s="42">
        <v>1413</v>
      </c>
      <c r="B1428" s="43">
        <f t="shared" si="52"/>
        <v>2413</v>
      </c>
      <c r="C1428" s="10">
        <f t="shared" si="53"/>
        <v>1418</v>
      </c>
      <c r="D1428" s="45">
        <f t="shared" si="54"/>
        <v>1006061</v>
      </c>
    </row>
    <row r="1429" spans="1:4" x14ac:dyDescent="0.3">
      <c r="A1429" s="42">
        <v>1414</v>
      </c>
      <c r="B1429" s="43">
        <f t="shared" si="52"/>
        <v>2414</v>
      </c>
      <c r="C1429" s="10">
        <f t="shared" si="53"/>
        <v>1419</v>
      </c>
      <c r="D1429" s="45">
        <f t="shared" si="54"/>
        <v>1007480</v>
      </c>
    </row>
    <row r="1430" spans="1:4" x14ac:dyDescent="0.3">
      <c r="A1430" s="42">
        <v>1415</v>
      </c>
      <c r="B1430" s="43">
        <f t="shared" si="52"/>
        <v>2415</v>
      </c>
      <c r="C1430" s="10">
        <f t="shared" si="53"/>
        <v>1420</v>
      </c>
      <c r="D1430" s="45">
        <f t="shared" si="54"/>
        <v>1008900</v>
      </c>
    </row>
    <row r="1431" spans="1:4" x14ac:dyDescent="0.3">
      <c r="A1431" s="42">
        <v>1416</v>
      </c>
      <c r="B1431" s="43">
        <f t="shared" si="52"/>
        <v>2416</v>
      </c>
      <c r="C1431" s="10">
        <f t="shared" si="53"/>
        <v>1421</v>
      </c>
      <c r="D1431" s="45">
        <f t="shared" si="54"/>
        <v>1010321</v>
      </c>
    </row>
    <row r="1432" spans="1:4" x14ac:dyDescent="0.3">
      <c r="A1432" s="42">
        <v>1417</v>
      </c>
      <c r="B1432" s="43">
        <f t="shared" si="52"/>
        <v>2417</v>
      </c>
      <c r="C1432" s="10">
        <f t="shared" si="53"/>
        <v>1422</v>
      </c>
      <c r="D1432" s="45">
        <f t="shared" si="54"/>
        <v>1011743</v>
      </c>
    </row>
    <row r="1433" spans="1:4" x14ac:dyDescent="0.3">
      <c r="A1433" s="42">
        <v>1418</v>
      </c>
      <c r="B1433" s="43">
        <f t="shared" si="52"/>
        <v>2418</v>
      </c>
      <c r="C1433" s="10">
        <f t="shared" si="53"/>
        <v>1423</v>
      </c>
      <c r="D1433" s="45">
        <f t="shared" si="54"/>
        <v>1013166</v>
      </c>
    </row>
    <row r="1434" spans="1:4" x14ac:dyDescent="0.3">
      <c r="A1434" s="42">
        <v>1419</v>
      </c>
      <c r="B1434" s="43">
        <f t="shared" si="52"/>
        <v>2419</v>
      </c>
      <c r="C1434" s="10">
        <f t="shared" si="53"/>
        <v>1424</v>
      </c>
      <c r="D1434" s="45">
        <f t="shared" si="54"/>
        <v>1014590</v>
      </c>
    </row>
    <row r="1435" spans="1:4" x14ac:dyDescent="0.3">
      <c r="A1435" s="42">
        <v>1420</v>
      </c>
      <c r="B1435" s="43">
        <f t="shared" si="52"/>
        <v>2420</v>
      </c>
      <c r="C1435" s="10">
        <f t="shared" si="53"/>
        <v>1425</v>
      </c>
      <c r="D1435" s="45">
        <f t="shared" si="54"/>
        <v>1016015</v>
      </c>
    </row>
    <row r="1436" spans="1:4" x14ac:dyDescent="0.3">
      <c r="A1436" s="42">
        <v>1421</v>
      </c>
      <c r="B1436" s="43">
        <f t="shared" si="52"/>
        <v>2421</v>
      </c>
      <c r="C1436" s="10">
        <f t="shared" si="53"/>
        <v>1426</v>
      </c>
      <c r="D1436" s="45">
        <f t="shared" si="54"/>
        <v>1017441</v>
      </c>
    </row>
    <row r="1437" spans="1:4" x14ac:dyDescent="0.3">
      <c r="A1437" s="42">
        <v>1422</v>
      </c>
      <c r="B1437" s="43">
        <f t="shared" si="52"/>
        <v>2422</v>
      </c>
      <c r="C1437" s="10">
        <f t="shared" si="53"/>
        <v>1427</v>
      </c>
      <c r="D1437" s="45">
        <f t="shared" si="54"/>
        <v>1018868</v>
      </c>
    </row>
    <row r="1438" spans="1:4" x14ac:dyDescent="0.3">
      <c r="A1438" s="42">
        <v>1423</v>
      </c>
      <c r="B1438" s="43">
        <f t="shared" si="52"/>
        <v>2423</v>
      </c>
      <c r="C1438" s="10">
        <f t="shared" si="53"/>
        <v>1428</v>
      </c>
      <c r="D1438" s="45">
        <f t="shared" si="54"/>
        <v>1020296</v>
      </c>
    </row>
    <row r="1439" spans="1:4" x14ac:dyDescent="0.3">
      <c r="A1439" s="42">
        <v>1424</v>
      </c>
      <c r="B1439" s="43">
        <f t="shared" si="52"/>
        <v>2424</v>
      </c>
      <c r="C1439" s="10">
        <f t="shared" si="53"/>
        <v>1429</v>
      </c>
      <c r="D1439" s="45">
        <f t="shared" si="54"/>
        <v>1021725</v>
      </c>
    </row>
    <row r="1440" spans="1:4" x14ac:dyDescent="0.3">
      <c r="A1440" s="42">
        <v>1425</v>
      </c>
      <c r="B1440" s="43">
        <f t="shared" si="52"/>
        <v>2425</v>
      </c>
      <c r="C1440" s="10">
        <f t="shared" si="53"/>
        <v>1430</v>
      </c>
      <c r="D1440" s="45">
        <f t="shared" si="54"/>
        <v>1023155</v>
      </c>
    </row>
    <row r="1441" spans="1:4" x14ac:dyDescent="0.3">
      <c r="A1441" s="42">
        <v>1426</v>
      </c>
      <c r="B1441" s="43">
        <f t="shared" si="52"/>
        <v>2426</v>
      </c>
      <c r="C1441" s="10">
        <f t="shared" si="53"/>
        <v>1431</v>
      </c>
      <c r="D1441" s="45">
        <f t="shared" si="54"/>
        <v>1024586</v>
      </c>
    </row>
    <row r="1442" spans="1:4" x14ac:dyDescent="0.3">
      <c r="A1442" s="42">
        <v>1427</v>
      </c>
      <c r="B1442" s="43">
        <f t="shared" si="52"/>
        <v>2427</v>
      </c>
      <c r="C1442" s="10">
        <f t="shared" si="53"/>
        <v>1432</v>
      </c>
      <c r="D1442" s="45">
        <f t="shared" si="54"/>
        <v>1026018</v>
      </c>
    </row>
    <row r="1443" spans="1:4" x14ac:dyDescent="0.3">
      <c r="A1443" s="42">
        <v>1428</v>
      </c>
      <c r="B1443" s="43">
        <f t="shared" si="52"/>
        <v>2428</v>
      </c>
      <c r="C1443" s="10">
        <f t="shared" si="53"/>
        <v>1433</v>
      </c>
      <c r="D1443" s="45">
        <f t="shared" si="54"/>
        <v>1027451</v>
      </c>
    </row>
    <row r="1444" spans="1:4" x14ac:dyDescent="0.3">
      <c r="A1444" s="42">
        <v>1429</v>
      </c>
      <c r="B1444" s="43">
        <f t="shared" si="52"/>
        <v>2429</v>
      </c>
      <c r="C1444" s="10">
        <f t="shared" si="53"/>
        <v>1434</v>
      </c>
      <c r="D1444" s="45">
        <f t="shared" si="54"/>
        <v>1028885</v>
      </c>
    </row>
    <row r="1445" spans="1:4" x14ac:dyDescent="0.3">
      <c r="A1445" s="42">
        <v>1430</v>
      </c>
      <c r="B1445" s="43">
        <f t="shared" si="52"/>
        <v>2430</v>
      </c>
      <c r="C1445" s="10">
        <f t="shared" si="53"/>
        <v>1435</v>
      </c>
      <c r="D1445" s="45">
        <f t="shared" si="54"/>
        <v>1030320</v>
      </c>
    </row>
    <row r="1446" spans="1:4" x14ac:dyDescent="0.3">
      <c r="A1446" s="42">
        <v>1431</v>
      </c>
      <c r="B1446" s="43">
        <f t="shared" ref="B1446:B1509" si="55">B1445+R$8</f>
        <v>2431</v>
      </c>
      <c r="C1446" s="10">
        <f t="shared" ref="C1446:C1509" si="56">C1445+R$7</f>
        <v>1436</v>
      </c>
      <c r="D1446" s="45">
        <f t="shared" ref="D1446:D1509" si="57">D1445+C1446</f>
        <v>1031756</v>
      </c>
    </row>
    <row r="1447" spans="1:4" x14ac:dyDescent="0.3">
      <c r="A1447" s="42">
        <v>1432</v>
      </c>
      <c r="B1447" s="43">
        <f t="shared" si="55"/>
        <v>2432</v>
      </c>
      <c r="C1447" s="10">
        <f t="shared" si="56"/>
        <v>1437</v>
      </c>
      <c r="D1447" s="45">
        <f t="shared" si="57"/>
        <v>1033193</v>
      </c>
    </row>
    <row r="1448" spans="1:4" x14ac:dyDescent="0.3">
      <c r="A1448" s="42">
        <v>1433</v>
      </c>
      <c r="B1448" s="43">
        <f t="shared" si="55"/>
        <v>2433</v>
      </c>
      <c r="C1448" s="10">
        <f t="shared" si="56"/>
        <v>1438</v>
      </c>
      <c r="D1448" s="45">
        <f t="shared" si="57"/>
        <v>1034631</v>
      </c>
    </row>
    <row r="1449" spans="1:4" x14ac:dyDescent="0.3">
      <c r="A1449" s="42">
        <v>1434</v>
      </c>
      <c r="B1449" s="43">
        <f t="shared" si="55"/>
        <v>2434</v>
      </c>
      <c r="C1449" s="10">
        <f t="shared" si="56"/>
        <v>1439</v>
      </c>
      <c r="D1449" s="45">
        <f t="shared" si="57"/>
        <v>1036070</v>
      </c>
    </row>
    <row r="1450" spans="1:4" x14ac:dyDescent="0.3">
      <c r="A1450" s="42">
        <v>1435</v>
      </c>
      <c r="B1450" s="43">
        <f t="shared" si="55"/>
        <v>2435</v>
      </c>
      <c r="C1450" s="10">
        <f t="shared" si="56"/>
        <v>1440</v>
      </c>
      <c r="D1450" s="45">
        <f t="shared" si="57"/>
        <v>1037510</v>
      </c>
    </row>
    <row r="1451" spans="1:4" x14ac:dyDescent="0.3">
      <c r="A1451" s="42">
        <v>1436</v>
      </c>
      <c r="B1451" s="43">
        <f t="shared" si="55"/>
        <v>2436</v>
      </c>
      <c r="C1451" s="10">
        <f t="shared" si="56"/>
        <v>1441</v>
      </c>
      <c r="D1451" s="45">
        <f t="shared" si="57"/>
        <v>1038951</v>
      </c>
    </row>
    <row r="1452" spans="1:4" x14ac:dyDescent="0.3">
      <c r="A1452" s="42">
        <v>1437</v>
      </c>
      <c r="B1452" s="43">
        <f t="shared" si="55"/>
        <v>2437</v>
      </c>
      <c r="C1452" s="10">
        <f t="shared" si="56"/>
        <v>1442</v>
      </c>
      <c r="D1452" s="45">
        <f t="shared" si="57"/>
        <v>1040393</v>
      </c>
    </row>
    <row r="1453" spans="1:4" x14ac:dyDescent="0.3">
      <c r="A1453" s="42">
        <v>1438</v>
      </c>
      <c r="B1453" s="43">
        <f t="shared" si="55"/>
        <v>2438</v>
      </c>
      <c r="C1453" s="10">
        <f t="shared" si="56"/>
        <v>1443</v>
      </c>
      <c r="D1453" s="45">
        <f t="shared" si="57"/>
        <v>1041836</v>
      </c>
    </row>
    <row r="1454" spans="1:4" x14ac:dyDescent="0.3">
      <c r="A1454" s="42">
        <v>1439</v>
      </c>
      <c r="B1454" s="43">
        <f t="shared" si="55"/>
        <v>2439</v>
      </c>
      <c r="C1454" s="10">
        <f t="shared" si="56"/>
        <v>1444</v>
      </c>
      <c r="D1454" s="45">
        <f t="shared" si="57"/>
        <v>1043280</v>
      </c>
    </row>
    <row r="1455" spans="1:4" x14ac:dyDescent="0.3">
      <c r="A1455" s="42">
        <v>1440</v>
      </c>
      <c r="B1455" s="43">
        <f t="shared" si="55"/>
        <v>2440</v>
      </c>
      <c r="C1455" s="10">
        <f t="shared" si="56"/>
        <v>1445</v>
      </c>
      <c r="D1455" s="45">
        <f t="shared" si="57"/>
        <v>1044725</v>
      </c>
    </row>
    <row r="1456" spans="1:4" x14ac:dyDescent="0.3">
      <c r="A1456" s="42">
        <v>1441</v>
      </c>
      <c r="B1456" s="43">
        <f t="shared" si="55"/>
        <v>2441</v>
      </c>
      <c r="C1456" s="10">
        <f t="shared" si="56"/>
        <v>1446</v>
      </c>
      <c r="D1456" s="45">
        <f t="shared" si="57"/>
        <v>1046171</v>
      </c>
    </row>
    <row r="1457" spans="1:4" x14ac:dyDescent="0.3">
      <c r="A1457" s="42">
        <v>1442</v>
      </c>
      <c r="B1457" s="43">
        <f t="shared" si="55"/>
        <v>2442</v>
      </c>
      <c r="C1457" s="10">
        <f t="shared" si="56"/>
        <v>1447</v>
      </c>
      <c r="D1457" s="45">
        <f t="shared" si="57"/>
        <v>1047618</v>
      </c>
    </row>
    <row r="1458" spans="1:4" x14ac:dyDescent="0.3">
      <c r="A1458" s="42">
        <v>1443</v>
      </c>
      <c r="B1458" s="43">
        <f t="shared" si="55"/>
        <v>2443</v>
      </c>
      <c r="C1458" s="10">
        <f t="shared" si="56"/>
        <v>1448</v>
      </c>
      <c r="D1458" s="45">
        <f t="shared" si="57"/>
        <v>1049066</v>
      </c>
    </row>
    <row r="1459" spans="1:4" x14ac:dyDescent="0.3">
      <c r="A1459" s="42">
        <v>1444</v>
      </c>
      <c r="B1459" s="43">
        <f t="shared" si="55"/>
        <v>2444</v>
      </c>
      <c r="C1459" s="10">
        <f t="shared" si="56"/>
        <v>1449</v>
      </c>
      <c r="D1459" s="45">
        <f t="shared" si="57"/>
        <v>1050515</v>
      </c>
    </row>
    <row r="1460" spans="1:4" x14ac:dyDescent="0.3">
      <c r="A1460" s="42">
        <v>1445</v>
      </c>
      <c r="B1460" s="43">
        <f t="shared" si="55"/>
        <v>2445</v>
      </c>
      <c r="C1460" s="10">
        <f t="shared" si="56"/>
        <v>1450</v>
      </c>
      <c r="D1460" s="45">
        <f t="shared" si="57"/>
        <v>1051965</v>
      </c>
    </row>
    <row r="1461" spans="1:4" x14ac:dyDescent="0.3">
      <c r="A1461" s="42">
        <v>1446</v>
      </c>
      <c r="B1461" s="43">
        <f t="shared" si="55"/>
        <v>2446</v>
      </c>
      <c r="C1461" s="10">
        <f t="shared" si="56"/>
        <v>1451</v>
      </c>
      <c r="D1461" s="45">
        <f t="shared" si="57"/>
        <v>1053416</v>
      </c>
    </row>
    <row r="1462" spans="1:4" x14ac:dyDescent="0.3">
      <c r="A1462" s="42">
        <v>1447</v>
      </c>
      <c r="B1462" s="43">
        <f t="shared" si="55"/>
        <v>2447</v>
      </c>
      <c r="C1462" s="10">
        <f t="shared" si="56"/>
        <v>1452</v>
      </c>
      <c r="D1462" s="45">
        <f t="shared" si="57"/>
        <v>1054868</v>
      </c>
    </row>
    <row r="1463" spans="1:4" x14ac:dyDescent="0.3">
      <c r="A1463" s="42">
        <v>1448</v>
      </c>
      <c r="B1463" s="43">
        <f t="shared" si="55"/>
        <v>2448</v>
      </c>
      <c r="C1463" s="10">
        <f t="shared" si="56"/>
        <v>1453</v>
      </c>
      <c r="D1463" s="45">
        <f t="shared" si="57"/>
        <v>1056321</v>
      </c>
    </row>
    <row r="1464" spans="1:4" x14ac:dyDescent="0.3">
      <c r="A1464" s="42">
        <v>1449</v>
      </c>
      <c r="B1464" s="43">
        <f t="shared" si="55"/>
        <v>2449</v>
      </c>
      <c r="C1464" s="10">
        <f t="shared" si="56"/>
        <v>1454</v>
      </c>
      <c r="D1464" s="45">
        <f t="shared" si="57"/>
        <v>1057775</v>
      </c>
    </row>
    <row r="1465" spans="1:4" x14ac:dyDescent="0.3">
      <c r="A1465" s="42">
        <v>1450</v>
      </c>
      <c r="B1465" s="43">
        <f t="shared" si="55"/>
        <v>2450</v>
      </c>
      <c r="C1465" s="10">
        <f t="shared" si="56"/>
        <v>1455</v>
      </c>
      <c r="D1465" s="45">
        <f t="shared" si="57"/>
        <v>1059230</v>
      </c>
    </row>
    <row r="1466" spans="1:4" x14ac:dyDescent="0.3">
      <c r="A1466" s="42">
        <v>1451</v>
      </c>
      <c r="B1466" s="43">
        <f t="shared" si="55"/>
        <v>2451</v>
      </c>
      <c r="C1466" s="10">
        <f t="shared" si="56"/>
        <v>1456</v>
      </c>
      <c r="D1466" s="45">
        <f t="shared" si="57"/>
        <v>1060686</v>
      </c>
    </row>
    <row r="1467" spans="1:4" x14ac:dyDescent="0.3">
      <c r="A1467" s="42">
        <v>1452</v>
      </c>
      <c r="B1467" s="43">
        <f t="shared" si="55"/>
        <v>2452</v>
      </c>
      <c r="C1467" s="10">
        <f t="shared" si="56"/>
        <v>1457</v>
      </c>
      <c r="D1467" s="45">
        <f t="shared" si="57"/>
        <v>1062143</v>
      </c>
    </row>
    <row r="1468" spans="1:4" x14ac:dyDescent="0.3">
      <c r="A1468" s="42">
        <v>1453</v>
      </c>
      <c r="B1468" s="43">
        <f t="shared" si="55"/>
        <v>2453</v>
      </c>
      <c r="C1468" s="10">
        <f t="shared" si="56"/>
        <v>1458</v>
      </c>
      <c r="D1468" s="45">
        <f t="shared" si="57"/>
        <v>1063601</v>
      </c>
    </row>
    <row r="1469" spans="1:4" x14ac:dyDescent="0.3">
      <c r="A1469" s="42">
        <v>1454</v>
      </c>
      <c r="B1469" s="43">
        <f t="shared" si="55"/>
        <v>2454</v>
      </c>
      <c r="C1469" s="10">
        <f t="shared" si="56"/>
        <v>1459</v>
      </c>
      <c r="D1469" s="45">
        <f t="shared" si="57"/>
        <v>1065060</v>
      </c>
    </row>
    <row r="1470" spans="1:4" x14ac:dyDescent="0.3">
      <c r="A1470" s="42">
        <v>1455</v>
      </c>
      <c r="B1470" s="43">
        <f t="shared" si="55"/>
        <v>2455</v>
      </c>
      <c r="C1470" s="10">
        <f t="shared" si="56"/>
        <v>1460</v>
      </c>
      <c r="D1470" s="45">
        <f t="shared" si="57"/>
        <v>1066520</v>
      </c>
    </row>
    <row r="1471" spans="1:4" x14ac:dyDescent="0.3">
      <c r="A1471" s="42">
        <v>1456</v>
      </c>
      <c r="B1471" s="43">
        <f t="shared" si="55"/>
        <v>2456</v>
      </c>
      <c r="C1471" s="10">
        <f t="shared" si="56"/>
        <v>1461</v>
      </c>
      <c r="D1471" s="45">
        <f t="shared" si="57"/>
        <v>1067981</v>
      </c>
    </row>
    <row r="1472" spans="1:4" x14ac:dyDescent="0.3">
      <c r="A1472" s="42">
        <v>1457</v>
      </c>
      <c r="B1472" s="43">
        <f t="shared" si="55"/>
        <v>2457</v>
      </c>
      <c r="C1472" s="10">
        <f t="shared" si="56"/>
        <v>1462</v>
      </c>
      <c r="D1472" s="45">
        <f t="shared" si="57"/>
        <v>1069443</v>
      </c>
    </row>
    <row r="1473" spans="1:4" x14ac:dyDescent="0.3">
      <c r="A1473" s="42">
        <v>1458</v>
      </c>
      <c r="B1473" s="43">
        <f t="shared" si="55"/>
        <v>2458</v>
      </c>
      <c r="C1473" s="10">
        <f t="shared" si="56"/>
        <v>1463</v>
      </c>
      <c r="D1473" s="45">
        <f t="shared" si="57"/>
        <v>1070906</v>
      </c>
    </row>
    <row r="1474" spans="1:4" x14ac:dyDescent="0.3">
      <c r="A1474" s="42">
        <v>1459</v>
      </c>
      <c r="B1474" s="43">
        <f t="shared" si="55"/>
        <v>2459</v>
      </c>
      <c r="C1474" s="10">
        <f t="shared" si="56"/>
        <v>1464</v>
      </c>
      <c r="D1474" s="45">
        <f t="shared" si="57"/>
        <v>1072370</v>
      </c>
    </row>
    <row r="1475" spans="1:4" x14ac:dyDescent="0.3">
      <c r="A1475" s="42">
        <v>1460</v>
      </c>
      <c r="B1475" s="43">
        <f t="shared" si="55"/>
        <v>2460</v>
      </c>
      <c r="C1475" s="10">
        <f t="shared" si="56"/>
        <v>1465</v>
      </c>
      <c r="D1475" s="45">
        <f t="shared" si="57"/>
        <v>1073835</v>
      </c>
    </row>
    <row r="1476" spans="1:4" x14ac:dyDescent="0.3">
      <c r="A1476" s="42">
        <v>1461</v>
      </c>
      <c r="B1476" s="43">
        <f t="shared" si="55"/>
        <v>2461</v>
      </c>
      <c r="C1476" s="10">
        <f t="shared" si="56"/>
        <v>1466</v>
      </c>
      <c r="D1476" s="45">
        <f t="shared" si="57"/>
        <v>1075301</v>
      </c>
    </row>
    <row r="1477" spans="1:4" x14ac:dyDescent="0.3">
      <c r="A1477" s="42">
        <v>1462</v>
      </c>
      <c r="B1477" s="43">
        <f t="shared" si="55"/>
        <v>2462</v>
      </c>
      <c r="C1477" s="10">
        <f t="shared" si="56"/>
        <v>1467</v>
      </c>
      <c r="D1477" s="45">
        <f t="shared" si="57"/>
        <v>1076768</v>
      </c>
    </row>
    <row r="1478" spans="1:4" x14ac:dyDescent="0.3">
      <c r="A1478" s="42">
        <v>1463</v>
      </c>
      <c r="B1478" s="43">
        <f t="shared" si="55"/>
        <v>2463</v>
      </c>
      <c r="C1478" s="10">
        <f t="shared" si="56"/>
        <v>1468</v>
      </c>
      <c r="D1478" s="45">
        <f t="shared" si="57"/>
        <v>1078236</v>
      </c>
    </row>
    <row r="1479" spans="1:4" x14ac:dyDescent="0.3">
      <c r="A1479" s="42">
        <v>1464</v>
      </c>
      <c r="B1479" s="43">
        <f t="shared" si="55"/>
        <v>2464</v>
      </c>
      <c r="C1479" s="10">
        <f t="shared" si="56"/>
        <v>1469</v>
      </c>
      <c r="D1479" s="45">
        <f t="shared" si="57"/>
        <v>1079705</v>
      </c>
    </row>
    <row r="1480" spans="1:4" x14ac:dyDescent="0.3">
      <c r="A1480" s="42">
        <v>1465</v>
      </c>
      <c r="B1480" s="43">
        <f t="shared" si="55"/>
        <v>2465</v>
      </c>
      <c r="C1480" s="10">
        <f t="shared" si="56"/>
        <v>1470</v>
      </c>
      <c r="D1480" s="45">
        <f t="shared" si="57"/>
        <v>1081175</v>
      </c>
    </row>
    <row r="1481" spans="1:4" x14ac:dyDescent="0.3">
      <c r="A1481" s="42">
        <v>1466</v>
      </c>
      <c r="B1481" s="43">
        <f t="shared" si="55"/>
        <v>2466</v>
      </c>
      <c r="C1481" s="10">
        <f t="shared" si="56"/>
        <v>1471</v>
      </c>
      <c r="D1481" s="45">
        <f t="shared" si="57"/>
        <v>1082646</v>
      </c>
    </row>
    <row r="1482" spans="1:4" x14ac:dyDescent="0.3">
      <c r="A1482" s="42">
        <v>1467</v>
      </c>
      <c r="B1482" s="43">
        <f t="shared" si="55"/>
        <v>2467</v>
      </c>
      <c r="C1482" s="10">
        <f t="shared" si="56"/>
        <v>1472</v>
      </c>
      <c r="D1482" s="45">
        <f t="shared" si="57"/>
        <v>1084118</v>
      </c>
    </row>
    <row r="1483" spans="1:4" x14ac:dyDescent="0.3">
      <c r="A1483" s="42">
        <v>1468</v>
      </c>
      <c r="B1483" s="43">
        <f t="shared" si="55"/>
        <v>2468</v>
      </c>
      <c r="C1483" s="10">
        <f t="shared" si="56"/>
        <v>1473</v>
      </c>
      <c r="D1483" s="45">
        <f t="shared" si="57"/>
        <v>1085591</v>
      </c>
    </row>
    <row r="1484" spans="1:4" x14ac:dyDescent="0.3">
      <c r="A1484" s="42">
        <v>1469</v>
      </c>
      <c r="B1484" s="43">
        <f t="shared" si="55"/>
        <v>2469</v>
      </c>
      <c r="C1484" s="10">
        <f t="shared" si="56"/>
        <v>1474</v>
      </c>
      <c r="D1484" s="45">
        <f t="shared" si="57"/>
        <v>1087065</v>
      </c>
    </row>
    <row r="1485" spans="1:4" x14ac:dyDescent="0.3">
      <c r="A1485" s="42">
        <v>1470</v>
      </c>
      <c r="B1485" s="43">
        <f t="shared" si="55"/>
        <v>2470</v>
      </c>
      <c r="C1485" s="10">
        <f t="shared" si="56"/>
        <v>1475</v>
      </c>
      <c r="D1485" s="45">
        <f t="shared" si="57"/>
        <v>1088540</v>
      </c>
    </row>
    <row r="1486" spans="1:4" x14ac:dyDescent="0.3">
      <c r="A1486" s="42">
        <v>1471</v>
      </c>
      <c r="B1486" s="43">
        <f t="shared" si="55"/>
        <v>2471</v>
      </c>
      <c r="C1486" s="10">
        <f t="shared" si="56"/>
        <v>1476</v>
      </c>
      <c r="D1486" s="45">
        <f t="shared" si="57"/>
        <v>1090016</v>
      </c>
    </row>
    <row r="1487" spans="1:4" x14ac:dyDescent="0.3">
      <c r="A1487" s="42">
        <v>1472</v>
      </c>
      <c r="B1487" s="43">
        <f t="shared" si="55"/>
        <v>2472</v>
      </c>
      <c r="C1487" s="10">
        <f t="shared" si="56"/>
        <v>1477</v>
      </c>
      <c r="D1487" s="45">
        <f t="shared" si="57"/>
        <v>1091493</v>
      </c>
    </row>
    <row r="1488" spans="1:4" x14ac:dyDescent="0.3">
      <c r="A1488" s="42">
        <v>1473</v>
      </c>
      <c r="B1488" s="43">
        <f t="shared" si="55"/>
        <v>2473</v>
      </c>
      <c r="C1488" s="10">
        <f t="shared" si="56"/>
        <v>1478</v>
      </c>
      <c r="D1488" s="45">
        <f t="shared" si="57"/>
        <v>1092971</v>
      </c>
    </row>
    <row r="1489" spans="1:4" x14ac:dyDescent="0.3">
      <c r="A1489" s="42">
        <v>1474</v>
      </c>
      <c r="B1489" s="43">
        <f t="shared" si="55"/>
        <v>2474</v>
      </c>
      <c r="C1489" s="10">
        <f t="shared" si="56"/>
        <v>1479</v>
      </c>
      <c r="D1489" s="45">
        <f t="shared" si="57"/>
        <v>1094450</v>
      </c>
    </row>
    <row r="1490" spans="1:4" x14ac:dyDescent="0.3">
      <c r="A1490" s="42">
        <v>1475</v>
      </c>
      <c r="B1490" s="43">
        <f t="shared" si="55"/>
        <v>2475</v>
      </c>
      <c r="C1490" s="10">
        <f t="shared" si="56"/>
        <v>1480</v>
      </c>
      <c r="D1490" s="45">
        <f t="shared" si="57"/>
        <v>1095930</v>
      </c>
    </row>
    <row r="1491" spans="1:4" x14ac:dyDescent="0.3">
      <c r="A1491" s="42">
        <v>1476</v>
      </c>
      <c r="B1491" s="43">
        <f t="shared" si="55"/>
        <v>2476</v>
      </c>
      <c r="C1491" s="10">
        <f t="shared" si="56"/>
        <v>1481</v>
      </c>
      <c r="D1491" s="45">
        <f t="shared" si="57"/>
        <v>1097411</v>
      </c>
    </row>
    <row r="1492" spans="1:4" x14ac:dyDescent="0.3">
      <c r="A1492" s="42">
        <v>1477</v>
      </c>
      <c r="B1492" s="43">
        <f t="shared" si="55"/>
        <v>2477</v>
      </c>
      <c r="C1492" s="10">
        <f t="shared" si="56"/>
        <v>1482</v>
      </c>
      <c r="D1492" s="45">
        <f t="shared" si="57"/>
        <v>1098893</v>
      </c>
    </row>
    <row r="1493" spans="1:4" x14ac:dyDescent="0.3">
      <c r="A1493" s="42">
        <v>1478</v>
      </c>
      <c r="B1493" s="43">
        <f t="shared" si="55"/>
        <v>2478</v>
      </c>
      <c r="C1493" s="10">
        <f t="shared" si="56"/>
        <v>1483</v>
      </c>
      <c r="D1493" s="45">
        <f t="shared" si="57"/>
        <v>1100376</v>
      </c>
    </row>
    <row r="1494" spans="1:4" x14ac:dyDescent="0.3">
      <c r="A1494" s="42">
        <v>1479</v>
      </c>
      <c r="B1494" s="43">
        <f t="shared" si="55"/>
        <v>2479</v>
      </c>
      <c r="C1494" s="10">
        <f t="shared" si="56"/>
        <v>1484</v>
      </c>
      <c r="D1494" s="45">
        <f t="shared" si="57"/>
        <v>1101860</v>
      </c>
    </row>
    <row r="1495" spans="1:4" x14ac:dyDescent="0.3">
      <c r="A1495" s="42">
        <v>1480</v>
      </c>
      <c r="B1495" s="43">
        <f t="shared" si="55"/>
        <v>2480</v>
      </c>
      <c r="C1495" s="10">
        <f t="shared" si="56"/>
        <v>1485</v>
      </c>
      <c r="D1495" s="45">
        <f t="shared" si="57"/>
        <v>1103345</v>
      </c>
    </row>
    <row r="1496" spans="1:4" x14ac:dyDescent="0.3">
      <c r="A1496" s="42">
        <v>1481</v>
      </c>
      <c r="B1496" s="43">
        <f t="shared" si="55"/>
        <v>2481</v>
      </c>
      <c r="C1496" s="10">
        <f t="shared" si="56"/>
        <v>1486</v>
      </c>
      <c r="D1496" s="45">
        <f t="shared" si="57"/>
        <v>1104831</v>
      </c>
    </row>
    <row r="1497" spans="1:4" x14ac:dyDescent="0.3">
      <c r="A1497" s="42">
        <v>1482</v>
      </c>
      <c r="B1497" s="43">
        <f t="shared" si="55"/>
        <v>2482</v>
      </c>
      <c r="C1497" s="10">
        <f t="shared" si="56"/>
        <v>1487</v>
      </c>
      <c r="D1497" s="45">
        <f t="shared" si="57"/>
        <v>1106318</v>
      </c>
    </row>
    <row r="1498" spans="1:4" x14ac:dyDescent="0.3">
      <c r="A1498" s="42">
        <v>1483</v>
      </c>
      <c r="B1498" s="43">
        <f t="shared" si="55"/>
        <v>2483</v>
      </c>
      <c r="C1498" s="10">
        <f t="shared" si="56"/>
        <v>1488</v>
      </c>
      <c r="D1498" s="45">
        <f t="shared" si="57"/>
        <v>1107806</v>
      </c>
    </row>
    <row r="1499" spans="1:4" x14ac:dyDescent="0.3">
      <c r="A1499" s="42">
        <v>1484</v>
      </c>
      <c r="B1499" s="43">
        <f t="shared" si="55"/>
        <v>2484</v>
      </c>
      <c r="C1499" s="10">
        <f t="shared" si="56"/>
        <v>1489</v>
      </c>
      <c r="D1499" s="45">
        <f t="shared" si="57"/>
        <v>1109295</v>
      </c>
    </row>
    <row r="1500" spans="1:4" x14ac:dyDescent="0.3">
      <c r="A1500" s="42">
        <v>1485</v>
      </c>
      <c r="B1500" s="43">
        <f t="shared" si="55"/>
        <v>2485</v>
      </c>
      <c r="C1500" s="10">
        <f t="shared" si="56"/>
        <v>1490</v>
      </c>
      <c r="D1500" s="45">
        <f t="shared" si="57"/>
        <v>1110785</v>
      </c>
    </row>
    <row r="1501" spans="1:4" x14ac:dyDescent="0.3">
      <c r="A1501" s="42">
        <v>1486</v>
      </c>
      <c r="B1501" s="43">
        <f t="shared" si="55"/>
        <v>2486</v>
      </c>
      <c r="C1501" s="10">
        <f t="shared" si="56"/>
        <v>1491</v>
      </c>
      <c r="D1501" s="45">
        <f t="shared" si="57"/>
        <v>1112276</v>
      </c>
    </row>
    <row r="1502" spans="1:4" x14ac:dyDescent="0.3">
      <c r="A1502" s="42">
        <v>1487</v>
      </c>
      <c r="B1502" s="43">
        <f t="shared" si="55"/>
        <v>2487</v>
      </c>
      <c r="C1502" s="10">
        <f t="shared" si="56"/>
        <v>1492</v>
      </c>
      <c r="D1502" s="45">
        <f t="shared" si="57"/>
        <v>1113768</v>
      </c>
    </row>
    <row r="1503" spans="1:4" x14ac:dyDescent="0.3">
      <c r="A1503" s="42">
        <v>1488</v>
      </c>
      <c r="B1503" s="43">
        <f t="shared" si="55"/>
        <v>2488</v>
      </c>
      <c r="C1503" s="10">
        <f t="shared" si="56"/>
        <v>1493</v>
      </c>
      <c r="D1503" s="45">
        <f t="shared" si="57"/>
        <v>1115261</v>
      </c>
    </row>
    <row r="1504" spans="1:4" x14ac:dyDescent="0.3">
      <c r="A1504" s="42">
        <v>1489</v>
      </c>
      <c r="B1504" s="43">
        <f t="shared" si="55"/>
        <v>2489</v>
      </c>
      <c r="C1504" s="10">
        <f t="shared" si="56"/>
        <v>1494</v>
      </c>
      <c r="D1504" s="45">
        <f t="shared" si="57"/>
        <v>1116755</v>
      </c>
    </row>
    <row r="1505" spans="1:4" x14ac:dyDescent="0.3">
      <c r="A1505" s="42">
        <v>1490</v>
      </c>
      <c r="B1505" s="43">
        <f t="shared" si="55"/>
        <v>2490</v>
      </c>
      <c r="C1505" s="10">
        <f t="shared" si="56"/>
        <v>1495</v>
      </c>
      <c r="D1505" s="45">
        <f t="shared" si="57"/>
        <v>1118250</v>
      </c>
    </row>
    <row r="1506" spans="1:4" x14ac:dyDescent="0.3">
      <c r="A1506" s="42">
        <v>1491</v>
      </c>
      <c r="B1506" s="43">
        <f t="shared" si="55"/>
        <v>2491</v>
      </c>
      <c r="C1506" s="10">
        <f t="shared" si="56"/>
        <v>1496</v>
      </c>
      <c r="D1506" s="45">
        <f t="shared" si="57"/>
        <v>1119746</v>
      </c>
    </row>
    <row r="1507" spans="1:4" x14ac:dyDescent="0.3">
      <c r="A1507" s="42">
        <v>1492</v>
      </c>
      <c r="B1507" s="43">
        <f t="shared" si="55"/>
        <v>2492</v>
      </c>
      <c r="C1507" s="10">
        <f t="shared" si="56"/>
        <v>1497</v>
      </c>
      <c r="D1507" s="45">
        <f t="shared" si="57"/>
        <v>1121243</v>
      </c>
    </row>
    <row r="1508" spans="1:4" x14ac:dyDescent="0.3">
      <c r="A1508" s="42">
        <v>1493</v>
      </c>
      <c r="B1508" s="43">
        <f t="shared" si="55"/>
        <v>2493</v>
      </c>
      <c r="C1508" s="10">
        <f t="shared" si="56"/>
        <v>1498</v>
      </c>
      <c r="D1508" s="45">
        <f t="shared" si="57"/>
        <v>1122741</v>
      </c>
    </row>
    <row r="1509" spans="1:4" x14ac:dyDescent="0.3">
      <c r="A1509" s="42">
        <v>1494</v>
      </c>
      <c r="B1509" s="43">
        <f t="shared" si="55"/>
        <v>2494</v>
      </c>
      <c r="C1509" s="10">
        <f t="shared" si="56"/>
        <v>1499</v>
      </c>
      <c r="D1509" s="45">
        <f t="shared" si="57"/>
        <v>1124240</v>
      </c>
    </row>
    <row r="1510" spans="1:4" x14ac:dyDescent="0.3">
      <c r="A1510" s="42">
        <v>1495</v>
      </c>
      <c r="B1510" s="43">
        <f t="shared" ref="B1510:B1573" si="58">B1509+R$8</f>
        <v>2495</v>
      </c>
      <c r="C1510" s="10">
        <f t="shared" ref="C1510:C1573" si="59">C1509+R$7</f>
        <v>1500</v>
      </c>
      <c r="D1510" s="45">
        <f t="shared" ref="D1510:D1573" si="60">D1509+C1510</f>
        <v>1125740</v>
      </c>
    </row>
    <row r="1511" spans="1:4" x14ac:dyDescent="0.3">
      <c r="A1511" s="42">
        <v>1496</v>
      </c>
      <c r="B1511" s="43">
        <f t="shared" si="58"/>
        <v>2496</v>
      </c>
      <c r="C1511" s="10">
        <f t="shared" si="59"/>
        <v>1501</v>
      </c>
      <c r="D1511" s="45">
        <f t="shared" si="60"/>
        <v>1127241</v>
      </c>
    </row>
    <row r="1512" spans="1:4" x14ac:dyDescent="0.3">
      <c r="A1512" s="42">
        <v>1497</v>
      </c>
      <c r="B1512" s="43">
        <f t="shared" si="58"/>
        <v>2497</v>
      </c>
      <c r="C1512" s="10">
        <f t="shared" si="59"/>
        <v>1502</v>
      </c>
      <c r="D1512" s="45">
        <f t="shared" si="60"/>
        <v>1128743</v>
      </c>
    </row>
    <row r="1513" spans="1:4" x14ac:dyDescent="0.3">
      <c r="A1513" s="42">
        <v>1498</v>
      </c>
      <c r="B1513" s="43">
        <f t="shared" si="58"/>
        <v>2498</v>
      </c>
      <c r="C1513" s="10">
        <f t="shared" si="59"/>
        <v>1503</v>
      </c>
      <c r="D1513" s="45">
        <f t="shared" si="60"/>
        <v>1130246</v>
      </c>
    </row>
    <row r="1514" spans="1:4" x14ac:dyDescent="0.3">
      <c r="A1514" s="42">
        <v>1499</v>
      </c>
      <c r="B1514" s="43">
        <f t="shared" si="58"/>
        <v>2499</v>
      </c>
      <c r="C1514" s="10">
        <f t="shared" si="59"/>
        <v>1504</v>
      </c>
      <c r="D1514" s="45">
        <f t="shared" si="60"/>
        <v>1131750</v>
      </c>
    </row>
    <row r="1515" spans="1:4" x14ac:dyDescent="0.3">
      <c r="A1515" s="42">
        <v>1500</v>
      </c>
      <c r="B1515" s="43">
        <f t="shared" si="58"/>
        <v>2500</v>
      </c>
      <c r="C1515" s="10">
        <f t="shared" si="59"/>
        <v>1505</v>
      </c>
      <c r="D1515" s="45">
        <f t="shared" si="60"/>
        <v>1133255</v>
      </c>
    </row>
    <row r="1516" spans="1:4" x14ac:dyDescent="0.3">
      <c r="A1516" s="42">
        <v>1501</v>
      </c>
      <c r="B1516" s="43">
        <f t="shared" si="58"/>
        <v>2501</v>
      </c>
      <c r="C1516" s="10">
        <f t="shared" si="59"/>
        <v>1506</v>
      </c>
      <c r="D1516" s="45">
        <f t="shared" si="60"/>
        <v>1134761</v>
      </c>
    </row>
    <row r="1517" spans="1:4" x14ac:dyDescent="0.3">
      <c r="A1517" s="42">
        <v>1502</v>
      </c>
      <c r="B1517" s="43">
        <f t="shared" si="58"/>
        <v>2502</v>
      </c>
      <c r="C1517" s="10">
        <f t="shared" si="59"/>
        <v>1507</v>
      </c>
      <c r="D1517" s="45">
        <f t="shared" si="60"/>
        <v>1136268</v>
      </c>
    </row>
    <row r="1518" spans="1:4" x14ac:dyDescent="0.3">
      <c r="A1518" s="42">
        <v>1503</v>
      </c>
      <c r="B1518" s="43">
        <f t="shared" si="58"/>
        <v>2503</v>
      </c>
      <c r="C1518" s="10">
        <f t="shared" si="59"/>
        <v>1508</v>
      </c>
      <c r="D1518" s="45">
        <f t="shared" si="60"/>
        <v>1137776</v>
      </c>
    </row>
    <row r="1519" spans="1:4" x14ac:dyDescent="0.3">
      <c r="A1519" s="42">
        <v>1504</v>
      </c>
      <c r="B1519" s="43">
        <f t="shared" si="58"/>
        <v>2504</v>
      </c>
      <c r="C1519" s="10">
        <f t="shared" si="59"/>
        <v>1509</v>
      </c>
      <c r="D1519" s="45">
        <f t="shared" si="60"/>
        <v>1139285</v>
      </c>
    </row>
    <row r="1520" spans="1:4" x14ac:dyDescent="0.3">
      <c r="A1520" s="42">
        <v>1505</v>
      </c>
      <c r="B1520" s="43">
        <f t="shared" si="58"/>
        <v>2505</v>
      </c>
      <c r="C1520" s="10">
        <f t="shared" si="59"/>
        <v>1510</v>
      </c>
      <c r="D1520" s="45">
        <f t="shared" si="60"/>
        <v>1140795</v>
      </c>
    </row>
    <row r="1521" spans="1:4" x14ac:dyDescent="0.3">
      <c r="A1521" s="42">
        <v>1506</v>
      </c>
      <c r="B1521" s="43">
        <f t="shared" si="58"/>
        <v>2506</v>
      </c>
      <c r="C1521" s="10">
        <f t="shared" si="59"/>
        <v>1511</v>
      </c>
      <c r="D1521" s="45">
        <f t="shared" si="60"/>
        <v>1142306</v>
      </c>
    </row>
    <row r="1522" spans="1:4" x14ac:dyDescent="0.3">
      <c r="A1522" s="42">
        <v>1507</v>
      </c>
      <c r="B1522" s="43">
        <f t="shared" si="58"/>
        <v>2507</v>
      </c>
      <c r="C1522" s="10">
        <f t="shared" si="59"/>
        <v>1512</v>
      </c>
      <c r="D1522" s="45">
        <f t="shared" si="60"/>
        <v>1143818</v>
      </c>
    </row>
    <row r="1523" spans="1:4" x14ac:dyDescent="0.3">
      <c r="A1523" s="42">
        <v>1508</v>
      </c>
      <c r="B1523" s="43">
        <f t="shared" si="58"/>
        <v>2508</v>
      </c>
      <c r="C1523" s="10">
        <f t="shared" si="59"/>
        <v>1513</v>
      </c>
      <c r="D1523" s="45">
        <f t="shared" si="60"/>
        <v>1145331</v>
      </c>
    </row>
    <row r="1524" spans="1:4" x14ac:dyDescent="0.3">
      <c r="A1524" s="42">
        <v>1509</v>
      </c>
      <c r="B1524" s="43">
        <f t="shared" si="58"/>
        <v>2509</v>
      </c>
      <c r="C1524" s="10">
        <f t="shared" si="59"/>
        <v>1514</v>
      </c>
      <c r="D1524" s="45">
        <f t="shared" si="60"/>
        <v>1146845</v>
      </c>
    </row>
    <row r="1525" spans="1:4" x14ac:dyDescent="0.3">
      <c r="A1525" s="42">
        <v>1510</v>
      </c>
      <c r="B1525" s="43">
        <f t="shared" si="58"/>
        <v>2510</v>
      </c>
      <c r="C1525" s="10">
        <f t="shared" si="59"/>
        <v>1515</v>
      </c>
      <c r="D1525" s="45">
        <f t="shared" si="60"/>
        <v>1148360</v>
      </c>
    </row>
    <row r="1526" spans="1:4" x14ac:dyDescent="0.3">
      <c r="A1526" s="42">
        <v>1511</v>
      </c>
      <c r="B1526" s="43">
        <f t="shared" si="58"/>
        <v>2511</v>
      </c>
      <c r="C1526" s="10">
        <f t="shared" si="59"/>
        <v>1516</v>
      </c>
      <c r="D1526" s="45">
        <f t="shared" si="60"/>
        <v>1149876</v>
      </c>
    </row>
    <row r="1527" spans="1:4" x14ac:dyDescent="0.3">
      <c r="A1527" s="42">
        <v>1512</v>
      </c>
      <c r="B1527" s="43">
        <f t="shared" si="58"/>
        <v>2512</v>
      </c>
      <c r="C1527" s="10">
        <f t="shared" si="59"/>
        <v>1517</v>
      </c>
      <c r="D1527" s="45">
        <f t="shared" si="60"/>
        <v>1151393</v>
      </c>
    </row>
    <row r="1528" spans="1:4" x14ac:dyDescent="0.3">
      <c r="A1528" s="42">
        <v>1513</v>
      </c>
      <c r="B1528" s="43">
        <f t="shared" si="58"/>
        <v>2513</v>
      </c>
      <c r="C1528" s="10">
        <f t="shared" si="59"/>
        <v>1518</v>
      </c>
      <c r="D1528" s="45">
        <f t="shared" si="60"/>
        <v>1152911</v>
      </c>
    </row>
    <row r="1529" spans="1:4" x14ac:dyDescent="0.3">
      <c r="A1529" s="42">
        <v>1514</v>
      </c>
      <c r="B1529" s="43">
        <f t="shared" si="58"/>
        <v>2514</v>
      </c>
      <c r="C1529" s="10">
        <f t="shared" si="59"/>
        <v>1519</v>
      </c>
      <c r="D1529" s="45">
        <f t="shared" si="60"/>
        <v>1154430</v>
      </c>
    </row>
    <row r="1530" spans="1:4" x14ac:dyDescent="0.3">
      <c r="A1530" s="42">
        <v>1515</v>
      </c>
      <c r="B1530" s="43">
        <f t="shared" si="58"/>
        <v>2515</v>
      </c>
      <c r="C1530" s="10">
        <f t="shared" si="59"/>
        <v>1520</v>
      </c>
      <c r="D1530" s="45">
        <f t="shared" si="60"/>
        <v>1155950</v>
      </c>
    </row>
    <row r="1531" spans="1:4" x14ac:dyDescent="0.3">
      <c r="A1531" s="42">
        <v>1516</v>
      </c>
      <c r="B1531" s="43">
        <f t="shared" si="58"/>
        <v>2516</v>
      </c>
      <c r="C1531" s="10">
        <f t="shared" si="59"/>
        <v>1521</v>
      </c>
      <c r="D1531" s="45">
        <f t="shared" si="60"/>
        <v>1157471</v>
      </c>
    </row>
    <row r="1532" spans="1:4" x14ac:dyDescent="0.3">
      <c r="A1532" s="42">
        <v>1517</v>
      </c>
      <c r="B1532" s="43">
        <f t="shared" si="58"/>
        <v>2517</v>
      </c>
      <c r="C1532" s="10">
        <f t="shared" si="59"/>
        <v>1522</v>
      </c>
      <c r="D1532" s="45">
        <f t="shared" si="60"/>
        <v>1158993</v>
      </c>
    </row>
    <row r="1533" spans="1:4" x14ac:dyDescent="0.3">
      <c r="A1533" s="42">
        <v>1518</v>
      </c>
      <c r="B1533" s="43">
        <f t="shared" si="58"/>
        <v>2518</v>
      </c>
      <c r="C1533" s="10">
        <f t="shared" si="59"/>
        <v>1523</v>
      </c>
      <c r="D1533" s="45">
        <f t="shared" si="60"/>
        <v>1160516</v>
      </c>
    </row>
    <row r="1534" spans="1:4" x14ac:dyDescent="0.3">
      <c r="A1534" s="42">
        <v>1519</v>
      </c>
      <c r="B1534" s="43">
        <f t="shared" si="58"/>
        <v>2519</v>
      </c>
      <c r="C1534" s="10">
        <f t="shared" si="59"/>
        <v>1524</v>
      </c>
      <c r="D1534" s="45">
        <f t="shared" si="60"/>
        <v>1162040</v>
      </c>
    </row>
    <row r="1535" spans="1:4" x14ac:dyDescent="0.3">
      <c r="A1535" s="42">
        <v>1520</v>
      </c>
      <c r="B1535" s="43">
        <f t="shared" si="58"/>
        <v>2520</v>
      </c>
      <c r="C1535" s="10">
        <f t="shared" si="59"/>
        <v>1525</v>
      </c>
      <c r="D1535" s="45">
        <f t="shared" si="60"/>
        <v>1163565</v>
      </c>
    </row>
    <row r="1536" spans="1:4" x14ac:dyDescent="0.3">
      <c r="A1536" s="42">
        <v>1521</v>
      </c>
      <c r="B1536" s="43">
        <f t="shared" si="58"/>
        <v>2521</v>
      </c>
      <c r="C1536" s="10">
        <f t="shared" si="59"/>
        <v>1526</v>
      </c>
      <c r="D1536" s="45">
        <f t="shared" si="60"/>
        <v>1165091</v>
      </c>
    </row>
    <row r="1537" spans="1:4" x14ac:dyDescent="0.3">
      <c r="A1537" s="42">
        <v>1522</v>
      </c>
      <c r="B1537" s="43">
        <f t="shared" si="58"/>
        <v>2522</v>
      </c>
      <c r="C1537" s="10">
        <f t="shared" si="59"/>
        <v>1527</v>
      </c>
      <c r="D1537" s="45">
        <f t="shared" si="60"/>
        <v>1166618</v>
      </c>
    </row>
    <row r="1538" spans="1:4" x14ac:dyDescent="0.3">
      <c r="A1538" s="42">
        <v>1523</v>
      </c>
      <c r="B1538" s="43">
        <f t="shared" si="58"/>
        <v>2523</v>
      </c>
      <c r="C1538" s="10">
        <f t="shared" si="59"/>
        <v>1528</v>
      </c>
      <c r="D1538" s="45">
        <f t="shared" si="60"/>
        <v>1168146</v>
      </c>
    </row>
    <row r="1539" spans="1:4" x14ac:dyDescent="0.3">
      <c r="A1539" s="42">
        <v>1524</v>
      </c>
      <c r="B1539" s="43">
        <f t="shared" si="58"/>
        <v>2524</v>
      </c>
      <c r="C1539" s="10">
        <f t="shared" si="59"/>
        <v>1529</v>
      </c>
      <c r="D1539" s="45">
        <f t="shared" si="60"/>
        <v>1169675</v>
      </c>
    </row>
    <row r="1540" spans="1:4" x14ac:dyDescent="0.3">
      <c r="A1540" s="42">
        <v>1525</v>
      </c>
      <c r="B1540" s="43">
        <f t="shared" si="58"/>
        <v>2525</v>
      </c>
      <c r="C1540" s="10">
        <f t="shared" si="59"/>
        <v>1530</v>
      </c>
      <c r="D1540" s="45">
        <f t="shared" si="60"/>
        <v>1171205</v>
      </c>
    </row>
    <row r="1541" spans="1:4" x14ac:dyDescent="0.3">
      <c r="A1541" s="42">
        <v>1526</v>
      </c>
      <c r="B1541" s="43">
        <f t="shared" si="58"/>
        <v>2526</v>
      </c>
      <c r="C1541" s="10">
        <f t="shared" si="59"/>
        <v>1531</v>
      </c>
      <c r="D1541" s="45">
        <f t="shared" si="60"/>
        <v>1172736</v>
      </c>
    </row>
    <row r="1542" spans="1:4" x14ac:dyDescent="0.3">
      <c r="A1542" s="42">
        <v>1527</v>
      </c>
      <c r="B1542" s="43">
        <f t="shared" si="58"/>
        <v>2527</v>
      </c>
      <c r="C1542" s="10">
        <f t="shared" si="59"/>
        <v>1532</v>
      </c>
      <c r="D1542" s="45">
        <f t="shared" si="60"/>
        <v>1174268</v>
      </c>
    </row>
    <row r="1543" spans="1:4" x14ac:dyDescent="0.3">
      <c r="A1543" s="42">
        <v>1528</v>
      </c>
      <c r="B1543" s="43">
        <f t="shared" si="58"/>
        <v>2528</v>
      </c>
      <c r="C1543" s="10">
        <f t="shared" si="59"/>
        <v>1533</v>
      </c>
      <c r="D1543" s="45">
        <f t="shared" si="60"/>
        <v>1175801</v>
      </c>
    </row>
    <row r="1544" spans="1:4" x14ac:dyDescent="0.3">
      <c r="A1544" s="42">
        <v>1529</v>
      </c>
      <c r="B1544" s="43">
        <f t="shared" si="58"/>
        <v>2529</v>
      </c>
      <c r="C1544" s="10">
        <f t="shared" si="59"/>
        <v>1534</v>
      </c>
      <c r="D1544" s="45">
        <f t="shared" si="60"/>
        <v>1177335</v>
      </c>
    </row>
    <row r="1545" spans="1:4" x14ac:dyDescent="0.3">
      <c r="A1545" s="42">
        <v>1530</v>
      </c>
      <c r="B1545" s="43">
        <f t="shared" si="58"/>
        <v>2530</v>
      </c>
      <c r="C1545" s="10">
        <f t="shared" si="59"/>
        <v>1535</v>
      </c>
      <c r="D1545" s="45">
        <f t="shared" si="60"/>
        <v>1178870</v>
      </c>
    </row>
    <row r="1546" spans="1:4" x14ac:dyDescent="0.3">
      <c r="A1546" s="42">
        <v>1531</v>
      </c>
      <c r="B1546" s="43">
        <f t="shared" si="58"/>
        <v>2531</v>
      </c>
      <c r="C1546" s="10">
        <f t="shared" si="59"/>
        <v>1536</v>
      </c>
      <c r="D1546" s="45">
        <f t="shared" si="60"/>
        <v>1180406</v>
      </c>
    </row>
    <row r="1547" spans="1:4" x14ac:dyDescent="0.3">
      <c r="A1547" s="42">
        <v>1532</v>
      </c>
      <c r="B1547" s="43">
        <f t="shared" si="58"/>
        <v>2532</v>
      </c>
      <c r="C1547" s="10">
        <f t="shared" si="59"/>
        <v>1537</v>
      </c>
      <c r="D1547" s="45">
        <f t="shared" si="60"/>
        <v>1181943</v>
      </c>
    </row>
    <row r="1548" spans="1:4" x14ac:dyDescent="0.3">
      <c r="A1548" s="42">
        <v>1533</v>
      </c>
      <c r="B1548" s="43">
        <f t="shared" si="58"/>
        <v>2533</v>
      </c>
      <c r="C1548" s="10">
        <f t="shared" si="59"/>
        <v>1538</v>
      </c>
      <c r="D1548" s="45">
        <f t="shared" si="60"/>
        <v>1183481</v>
      </c>
    </row>
    <row r="1549" spans="1:4" x14ac:dyDescent="0.3">
      <c r="A1549" s="42">
        <v>1534</v>
      </c>
      <c r="B1549" s="43">
        <f t="shared" si="58"/>
        <v>2534</v>
      </c>
      <c r="C1549" s="10">
        <f t="shared" si="59"/>
        <v>1539</v>
      </c>
      <c r="D1549" s="45">
        <f t="shared" si="60"/>
        <v>1185020</v>
      </c>
    </row>
    <row r="1550" spans="1:4" x14ac:dyDescent="0.3">
      <c r="A1550" s="42">
        <v>1535</v>
      </c>
      <c r="B1550" s="43">
        <f t="shared" si="58"/>
        <v>2535</v>
      </c>
      <c r="C1550" s="10">
        <f t="shared" si="59"/>
        <v>1540</v>
      </c>
      <c r="D1550" s="45">
        <f t="shared" si="60"/>
        <v>1186560</v>
      </c>
    </row>
    <row r="1551" spans="1:4" x14ac:dyDescent="0.3">
      <c r="A1551" s="42">
        <v>1536</v>
      </c>
      <c r="B1551" s="43">
        <f t="shared" si="58"/>
        <v>2536</v>
      </c>
      <c r="C1551" s="10">
        <f t="shared" si="59"/>
        <v>1541</v>
      </c>
      <c r="D1551" s="45">
        <f t="shared" si="60"/>
        <v>1188101</v>
      </c>
    </row>
    <row r="1552" spans="1:4" x14ac:dyDescent="0.3">
      <c r="A1552" s="42">
        <v>1537</v>
      </c>
      <c r="B1552" s="43">
        <f t="shared" si="58"/>
        <v>2537</v>
      </c>
      <c r="C1552" s="10">
        <f t="shared" si="59"/>
        <v>1542</v>
      </c>
      <c r="D1552" s="45">
        <f t="shared" si="60"/>
        <v>1189643</v>
      </c>
    </row>
    <row r="1553" spans="1:4" x14ac:dyDescent="0.3">
      <c r="A1553" s="42">
        <v>1538</v>
      </c>
      <c r="B1553" s="43">
        <f t="shared" si="58"/>
        <v>2538</v>
      </c>
      <c r="C1553" s="10">
        <f t="shared" si="59"/>
        <v>1543</v>
      </c>
      <c r="D1553" s="45">
        <f t="shared" si="60"/>
        <v>1191186</v>
      </c>
    </row>
    <row r="1554" spans="1:4" x14ac:dyDescent="0.3">
      <c r="A1554" s="42">
        <v>1539</v>
      </c>
      <c r="B1554" s="43">
        <f t="shared" si="58"/>
        <v>2539</v>
      </c>
      <c r="C1554" s="10">
        <f t="shared" si="59"/>
        <v>1544</v>
      </c>
      <c r="D1554" s="45">
        <f t="shared" si="60"/>
        <v>1192730</v>
      </c>
    </row>
    <row r="1555" spans="1:4" x14ac:dyDescent="0.3">
      <c r="A1555" s="42">
        <v>1540</v>
      </c>
      <c r="B1555" s="43">
        <f t="shared" si="58"/>
        <v>2540</v>
      </c>
      <c r="C1555" s="10">
        <f t="shared" si="59"/>
        <v>1545</v>
      </c>
      <c r="D1555" s="45">
        <f t="shared" si="60"/>
        <v>1194275</v>
      </c>
    </row>
    <row r="1556" spans="1:4" x14ac:dyDescent="0.3">
      <c r="A1556" s="42">
        <v>1541</v>
      </c>
      <c r="B1556" s="43">
        <f t="shared" si="58"/>
        <v>2541</v>
      </c>
      <c r="C1556" s="10">
        <f t="shared" si="59"/>
        <v>1546</v>
      </c>
      <c r="D1556" s="45">
        <f t="shared" si="60"/>
        <v>1195821</v>
      </c>
    </row>
    <row r="1557" spans="1:4" x14ac:dyDescent="0.3">
      <c r="A1557" s="42">
        <v>1542</v>
      </c>
      <c r="B1557" s="43">
        <f t="shared" si="58"/>
        <v>2542</v>
      </c>
      <c r="C1557" s="10">
        <f t="shared" si="59"/>
        <v>1547</v>
      </c>
      <c r="D1557" s="45">
        <f t="shared" si="60"/>
        <v>1197368</v>
      </c>
    </row>
    <row r="1558" spans="1:4" x14ac:dyDescent="0.3">
      <c r="A1558" s="42">
        <v>1543</v>
      </c>
      <c r="B1558" s="43">
        <f t="shared" si="58"/>
        <v>2543</v>
      </c>
      <c r="C1558" s="10">
        <f t="shared" si="59"/>
        <v>1548</v>
      </c>
      <c r="D1558" s="45">
        <f t="shared" si="60"/>
        <v>1198916</v>
      </c>
    </row>
    <row r="1559" spans="1:4" x14ac:dyDescent="0.3">
      <c r="A1559" s="42">
        <v>1544</v>
      </c>
      <c r="B1559" s="43">
        <f t="shared" si="58"/>
        <v>2544</v>
      </c>
      <c r="C1559" s="10">
        <f t="shared" si="59"/>
        <v>1549</v>
      </c>
      <c r="D1559" s="45">
        <f t="shared" si="60"/>
        <v>1200465</v>
      </c>
    </row>
    <row r="1560" spans="1:4" x14ac:dyDescent="0.3">
      <c r="A1560" s="42">
        <v>1545</v>
      </c>
      <c r="B1560" s="43">
        <f t="shared" si="58"/>
        <v>2545</v>
      </c>
      <c r="C1560" s="10">
        <f t="shared" si="59"/>
        <v>1550</v>
      </c>
      <c r="D1560" s="45">
        <f t="shared" si="60"/>
        <v>1202015</v>
      </c>
    </row>
    <row r="1561" spans="1:4" x14ac:dyDescent="0.3">
      <c r="A1561" s="42">
        <v>1546</v>
      </c>
      <c r="B1561" s="43">
        <f t="shared" si="58"/>
        <v>2546</v>
      </c>
      <c r="C1561" s="10">
        <f t="shared" si="59"/>
        <v>1551</v>
      </c>
      <c r="D1561" s="45">
        <f t="shared" si="60"/>
        <v>1203566</v>
      </c>
    </row>
    <row r="1562" spans="1:4" x14ac:dyDescent="0.3">
      <c r="A1562" s="42">
        <v>1547</v>
      </c>
      <c r="B1562" s="43">
        <f t="shared" si="58"/>
        <v>2547</v>
      </c>
      <c r="C1562" s="10">
        <f t="shared" si="59"/>
        <v>1552</v>
      </c>
      <c r="D1562" s="45">
        <f t="shared" si="60"/>
        <v>1205118</v>
      </c>
    </row>
    <row r="1563" spans="1:4" x14ac:dyDescent="0.3">
      <c r="A1563" s="42">
        <v>1548</v>
      </c>
      <c r="B1563" s="43">
        <f t="shared" si="58"/>
        <v>2548</v>
      </c>
      <c r="C1563" s="10">
        <f t="shared" si="59"/>
        <v>1553</v>
      </c>
      <c r="D1563" s="45">
        <f t="shared" si="60"/>
        <v>1206671</v>
      </c>
    </row>
    <row r="1564" spans="1:4" x14ac:dyDescent="0.3">
      <c r="A1564" s="42">
        <v>1549</v>
      </c>
      <c r="B1564" s="43">
        <f t="shared" si="58"/>
        <v>2549</v>
      </c>
      <c r="C1564" s="10">
        <f t="shared" si="59"/>
        <v>1554</v>
      </c>
      <c r="D1564" s="45">
        <f t="shared" si="60"/>
        <v>1208225</v>
      </c>
    </row>
    <row r="1565" spans="1:4" x14ac:dyDescent="0.3">
      <c r="A1565" s="42">
        <v>1550</v>
      </c>
      <c r="B1565" s="43">
        <f t="shared" si="58"/>
        <v>2550</v>
      </c>
      <c r="C1565" s="10">
        <f t="shared" si="59"/>
        <v>1555</v>
      </c>
      <c r="D1565" s="45">
        <f t="shared" si="60"/>
        <v>1209780</v>
      </c>
    </row>
    <row r="1566" spans="1:4" x14ac:dyDescent="0.3">
      <c r="A1566" s="42">
        <v>1551</v>
      </c>
      <c r="B1566" s="43">
        <f t="shared" si="58"/>
        <v>2551</v>
      </c>
      <c r="C1566" s="10">
        <f t="shared" si="59"/>
        <v>1556</v>
      </c>
      <c r="D1566" s="45">
        <f t="shared" si="60"/>
        <v>1211336</v>
      </c>
    </row>
    <row r="1567" spans="1:4" x14ac:dyDescent="0.3">
      <c r="A1567" s="42">
        <v>1552</v>
      </c>
      <c r="B1567" s="43">
        <f t="shared" si="58"/>
        <v>2552</v>
      </c>
      <c r="C1567" s="10">
        <f t="shared" si="59"/>
        <v>1557</v>
      </c>
      <c r="D1567" s="45">
        <f t="shared" si="60"/>
        <v>1212893</v>
      </c>
    </row>
    <row r="1568" spans="1:4" x14ac:dyDescent="0.3">
      <c r="A1568" s="42">
        <v>1553</v>
      </c>
      <c r="B1568" s="43">
        <f t="shared" si="58"/>
        <v>2553</v>
      </c>
      <c r="C1568" s="10">
        <f t="shared" si="59"/>
        <v>1558</v>
      </c>
      <c r="D1568" s="45">
        <f t="shared" si="60"/>
        <v>1214451</v>
      </c>
    </row>
    <row r="1569" spans="1:4" x14ac:dyDescent="0.3">
      <c r="A1569" s="42">
        <v>1554</v>
      </c>
      <c r="B1569" s="43">
        <f t="shared" si="58"/>
        <v>2554</v>
      </c>
      <c r="C1569" s="10">
        <f t="shared" si="59"/>
        <v>1559</v>
      </c>
      <c r="D1569" s="45">
        <f t="shared" si="60"/>
        <v>1216010</v>
      </c>
    </row>
    <row r="1570" spans="1:4" x14ac:dyDescent="0.3">
      <c r="A1570" s="42">
        <v>1555</v>
      </c>
      <c r="B1570" s="43">
        <f t="shared" si="58"/>
        <v>2555</v>
      </c>
      <c r="C1570" s="10">
        <f t="shared" si="59"/>
        <v>1560</v>
      </c>
      <c r="D1570" s="45">
        <f t="shared" si="60"/>
        <v>1217570</v>
      </c>
    </row>
    <row r="1571" spans="1:4" x14ac:dyDescent="0.3">
      <c r="A1571" s="42">
        <v>1556</v>
      </c>
      <c r="B1571" s="43">
        <f t="shared" si="58"/>
        <v>2556</v>
      </c>
      <c r="C1571" s="10">
        <f t="shared" si="59"/>
        <v>1561</v>
      </c>
      <c r="D1571" s="45">
        <f t="shared" si="60"/>
        <v>1219131</v>
      </c>
    </row>
    <row r="1572" spans="1:4" x14ac:dyDescent="0.3">
      <c r="A1572" s="42">
        <v>1557</v>
      </c>
      <c r="B1572" s="43">
        <f t="shared" si="58"/>
        <v>2557</v>
      </c>
      <c r="C1572" s="10">
        <f t="shared" si="59"/>
        <v>1562</v>
      </c>
      <c r="D1572" s="45">
        <f t="shared" si="60"/>
        <v>1220693</v>
      </c>
    </row>
    <row r="1573" spans="1:4" x14ac:dyDescent="0.3">
      <c r="A1573" s="42">
        <v>1558</v>
      </c>
      <c r="B1573" s="43">
        <f t="shared" si="58"/>
        <v>2558</v>
      </c>
      <c r="C1573" s="10">
        <f t="shared" si="59"/>
        <v>1563</v>
      </c>
      <c r="D1573" s="45">
        <f t="shared" si="60"/>
        <v>1222256</v>
      </c>
    </row>
    <row r="1574" spans="1:4" x14ac:dyDescent="0.3">
      <c r="A1574" s="42">
        <v>1559</v>
      </c>
      <c r="B1574" s="43">
        <f t="shared" ref="B1574:B1637" si="61">B1573+R$8</f>
        <v>2559</v>
      </c>
      <c r="C1574" s="10">
        <f t="shared" ref="C1574:C1637" si="62">C1573+R$7</f>
        <v>1564</v>
      </c>
      <c r="D1574" s="45">
        <f t="shared" ref="D1574:D1637" si="63">D1573+C1574</f>
        <v>1223820</v>
      </c>
    </row>
    <row r="1575" spans="1:4" x14ac:dyDescent="0.3">
      <c r="A1575" s="42">
        <v>1560</v>
      </c>
      <c r="B1575" s="43">
        <f t="shared" si="61"/>
        <v>2560</v>
      </c>
      <c r="C1575" s="10">
        <f t="shared" si="62"/>
        <v>1565</v>
      </c>
      <c r="D1575" s="45">
        <f t="shared" si="63"/>
        <v>1225385</v>
      </c>
    </row>
    <row r="1576" spans="1:4" x14ac:dyDescent="0.3">
      <c r="A1576" s="42">
        <v>1561</v>
      </c>
      <c r="B1576" s="43">
        <f t="shared" si="61"/>
        <v>2561</v>
      </c>
      <c r="C1576" s="10">
        <f t="shared" si="62"/>
        <v>1566</v>
      </c>
      <c r="D1576" s="45">
        <f t="shared" si="63"/>
        <v>1226951</v>
      </c>
    </row>
    <row r="1577" spans="1:4" x14ac:dyDescent="0.3">
      <c r="A1577" s="42">
        <v>1562</v>
      </c>
      <c r="B1577" s="43">
        <f t="shared" si="61"/>
        <v>2562</v>
      </c>
      <c r="C1577" s="10">
        <f t="shared" si="62"/>
        <v>1567</v>
      </c>
      <c r="D1577" s="45">
        <f t="shared" si="63"/>
        <v>1228518</v>
      </c>
    </row>
    <row r="1578" spans="1:4" x14ac:dyDescent="0.3">
      <c r="A1578" s="42">
        <v>1563</v>
      </c>
      <c r="B1578" s="43">
        <f t="shared" si="61"/>
        <v>2563</v>
      </c>
      <c r="C1578" s="10">
        <f t="shared" si="62"/>
        <v>1568</v>
      </c>
      <c r="D1578" s="45">
        <f t="shared" si="63"/>
        <v>1230086</v>
      </c>
    </row>
    <row r="1579" spans="1:4" x14ac:dyDescent="0.3">
      <c r="A1579" s="42">
        <v>1564</v>
      </c>
      <c r="B1579" s="43">
        <f t="shared" si="61"/>
        <v>2564</v>
      </c>
      <c r="C1579" s="10">
        <f t="shared" si="62"/>
        <v>1569</v>
      </c>
      <c r="D1579" s="45">
        <f t="shared" si="63"/>
        <v>1231655</v>
      </c>
    </row>
    <row r="1580" spans="1:4" x14ac:dyDescent="0.3">
      <c r="A1580" s="42">
        <v>1565</v>
      </c>
      <c r="B1580" s="43">
        <f t="shared" si="61"/>
        <v>2565</v>
      </c>
      <c r="C1580" s="10">
        <f t="shared" si="62"/>
        <v>1570</v>
      </c>
      <c r="D1580" s="45">
        <f t="shared" si="63"/>
        <v>1233225</v>
      </c>
    </row>
    <row r="1581" spans="1:4" x14ac:dyDescent="0.3">
      <c r="A1581" s="42">
        <v>1566</v>
      </c>
      <c r="B1581" s="43">
        <f t="shared" si="61"/>
        <v>2566</v>
      </c>
      <c r="C1581" s="10">
        <f t="shared" si="62"/>
        <v>1571</v>
      </c>
      <c r="D1581" s="45">
        <f t="shared" si="63"/>
        <v>1234796</v>
      </c>
    </row>
    <row r="1582" spans="1:4" x14ac:dyDescent="0.3">
      <c r="A1582" s="42">
        <v>1567</v>
      </c>
      <c r="B1582" s="43">
        <f t="shared" si="61"/>
        <v>2567</v>
      </c>
      <c r="C1582" s="10">
        <f t="shared" si="62"/>
        <v>1572</v>
      </c>
      <c r="D1582" s="45">
        <f t="shared" si="63"/>
        <v>1236368</v>
      </c>
    </row>
    <row r="1583" spans="1:4" x14ac:dyDescent="0.3">
      <c r="A1583" s="42">
        <v>1568</v>
      </c>
      <c r="B1583" s="43">
        <f t="shared" si="61"/>
        <v>2568</v>
      </c>
      <c r="C1583" s="10">
        <f t="shared" si="62"/>
        <v>1573</v>
      </c>
      <c r="D1583" s="45">
        <f t="shared" si="63"/>
        <v>1237941</v>
      </c>
    </row>
    <row r="1584" spans="1:4" x14ac:dyDescent="0.3">
      <c r="A1584" s="42">
        <v>1569</v>
      </c>
      <c r="B1584" s="43">
        <f t="shared" si="61"/>
        <v>2569</v>
      </c>
      <c r="C1584" s="10">
        <f t="shared" si="62"/>
        <v>1574</v>
      </c>
      <c r="D1584" s="45">
        <f t="shared" si="63"/>
        <v>1239515</v>
      </c>
    </row>
    <row r="1585" spans="1:4" x14ac:dyDescent="0.3">
      <c r="A1585" s="42">
        <v>1570</v>
      </c>
      <c r="B1585" s="43">
        <f t="shared" si="61"/>
        <v>2570</v>
      </c>
      <c r="C1585" s="10">
        <f t="shared" si="62"/>
        <v>1575</v>
      </c>
      <c r="D1585" s="45">
        <f t="shared" si="63"/>
        <v>1241090</v>
      </c>
    </row>
    <row r="1586" spans="1:4" x14ac:dyDescent="0.3">
      <c r="A1586" s="42">
        <v>1571</v>
      </c>
      <c r="B1586" s="43">
        <f t="shared" si="61"/>
        <v>2571</v>
      </c>
      <c r="C1586" s="10">
        <f t="shared" si="62"/>
        <v>1576</v>
      </c>
      <c r="D1586" s="45">
        <f t="shared" si="63"/>
        <v>1242666</v>
      </c>
    </row>
    <row r="1587" spans="1:4" x14ac:dyDescent="0.3">
      <c r="A1587" s="42">
        <v>1572</v>
      </c>
      <c r="B1587" s="43">
        <f t="shared" si="61"/>
        <v>2572</v>
      </c>
      <c r="C1587" s="10">
        <f t="shared" si="62"/>
        <v>1577</v>
      </c>
      <c r="D1587" s="45">
        <f t="shared" si="63"/>
        <v>1244243</v>
      </c>
    </row>
    <row r="1588" spans="1:4" x14ac:dyDescent="0.3">
      <c r="A1588" s="42">
        <v>1573</v>
      </c>
      <c r="B1588" s="43">
        <f t="shared" si="61"/>
        <v>2573</v>
      </c>
      <c r="C1588" s="10">
        <f t="shared" si="62"/>
        <v>1578</v>
      </c>
      <c r="D1588" s="45">
        <f t="shared" si="63"/>
        <v>1245821</v>
      </c>
    </row>
    <row r="1589" spans="1:4" x14ac:dyDescent="0.3">
      <c r="A1589" s="42">
        <v>1574</v>
      </c>
      <c r="B1589" s="43">
        <f t="shared" si="61"/>
        <v>2574</v>
      </c>
      <c r="C1589" s="10">
        <f t="shared" si="62"/>
        <v>1579</v>
      </c>
      <c r="D1589" s="45">
        <f t="shared" si="63"/>
        <v>1247400</v>
      </c>
    </row>
    <row r="1590" spans="1:4" x14ac:dyDescent="0.3">
      <c r="A1590" s="42">
        <v>1575</v>
      </c>
      <c r="B1590" s="43">
        <f t="shared" si="61"/>
        <v>2575</v>
      </c>
      <c r="C1590" s="10">
        <f t="shared" si="62"/>
        <v>1580</v>
      </c>
      <c r="D1590" s="45">
        <f t="shared" si="63"/>
        <v>1248980</v>
      </c>
    </row>
    <row r="1591" spans="1:4" x14ac:dyDescent="0.3">
      <c r="A1591" s="42">
        <v>1576</v>
      </c>
      <c r="B1591" s="43">
        <f t="shared" si="61"/>
        <v>2576</v>
      </c>
      <c r="C1591" s="10">
        <f t="shared" si="62"/>
        <v>1581</v>
      </c>
      <c r="D1591" s="45">
        <f t="shared" si="63"/>
        <v>1250561</v>
      </c>
    </row>
    <row r="1592" spans="1:4" x14ac:dyDescent="0.3">
      <c r="A1592" s="42">
        <v>1577</v>
      </c>
      <c r="B1592" s="43">
        <f t="shared" si="61"/>
        <v>2577</v>
      </c>
      <c r="C1592" s="10">
        <f t="shared" si="62"/>
        <v>1582</v>
      </c>
      <c r="D1592" s="45">
        <f t="shared" si="63"/>
        <v>1252143</v>
      </c>
    </row>
    <row r="1593" spans="1:4" x14ac:dyDescent="0.3">
      <c r="A1593" s="42">
        <v>1578</v>
      </c>
      <c r="B1593" s="43">
        <f t="shared" si="61"/>
        <v>2578</v>
      </c>
      <c r="C1593" s="10">
        <f t="shared" si="62"/>
        <v>1583</v>
      </c>
      <c r="D1593" s="45">
        <f t="shared" si="63"/>
        <v>1253726</v>
      </c>
    </row>
    <row r="1594" spans="1:4" x14ac:dyDescent="0.3">
      <c r="A1594" s="42">
        <v>1579</v>
      </c>
      <c r="B1594" s="43">
        <f t="shared" si="61"/>
        <v>2579</v>
      </c>
      <c r="C1594" s="10">
        <f t="shared" si="62"/>
        <v>1584</v>
      </c>
      <c r="D1594" s="45">
        <f t="shared" si="63"/>
        <v>1255310</v>
      </c>
    </row>
    <row r="1595" spans="1:4" x14ac:dyDescent="0.3">
      <c r="A1595" s="42">
        <v>1580</v>
      </c>
      <c r="B1595" s="43">
        <f t="shared" si="61"/>
        <v>2580</v>
      </c>
      <c r="C1595" s="10">
        <f t="shared" si="62"/>
        <v>1585</v>
      </c>
      <c r="D1595" s="45">
        <f t="shared" si="63"/>
        <v>1256895</v>
      </c>
    </row>
    <row r="1596" spans="1:4" x14ac:dyDescent="0.3">
      <c r="A1596" s="42">
        <v>1581</v>
      </c>
      <c r="B1596" s="43">
        <f t="shared" si="61"/>
        <v>2581</v>
      </c>
      <c r="C1596" s="10">
        <f t="shared" si="62"/>
        <v>1586</v>
      </c>
      <c r="D1596" s="45">
        <f t="shared" si="63"/>
        <v>1258481</v>
      </c>
    </row>
    <row r="1597" spans="1:4" x14ac:dyDescent="0.3">
      <c r="A1597" s="42">
        <v>1582</v>
      </c>
      <c r="B1597" s="43">
        <f t="shared" si="61"/>
        <v>2582</v>
      </c>
      <c r="C1597" s="10">
        <f t="shared" si="62"/>
        <v>1587</v>
      </c>
      <c r="D1597" s="45">
        <f t="shared" si="63"/>
        <v>1260068</v>
      </c>
    </row>
    <row r="1598" spans="1:4" x14ac:dyDescent="0.3">
      <c r="A1598" s="42">
        <v>1583</v>
      </c>
      <c r="B1598" s="43">
        <f t="shared" si="61"/>
        <v>2583</v>
      </c>
      <c r="C1598" s="10">
        <f t="shared" si="62"/>
        <v>1588</v>
      </c>
      <c r="D1598" s="45">
        <f t="shared" si="63"/>
        <v>1261656</v>
      </c>
    </row>
    <row r="1599" spans="1:4" x14ac:dyDescent="0.3">
      <c r="A1599" s="42">
        <v>1584</v>
      </c>
      <c r="B1599" s="43">
        <f t="shared" si="61"/>
        <v>2584</v>
      </c>
      <c r="C1599" s="10">
        <f t="shared" si="62"/>
        <v>1589</v>
      </c>
      <c r="D1599" s="45">
        <f t="shared" si="63"/>
        <v>1263245</v>
      </c>
    </row>
    <row r="1600" spans="1:4" x14ac:dyDescent="0.3">
      <c r="A1600" s="42">
        <v>1585</v>
      </c>
      <c r="B1600" s="43">
        <f t="shared" si="61"/>
        <v>2585</v>
      </c>
      <c r="C1600" s="10">
        <f t="shared" si="62"/>
        <v>1590</v>
      </c>
      <c r="D1600" s="45">
        <f t="shared" si="63"/>
        <v>1264835</v>
      </c>
    </row>
    <row r="1601" spans="1:4" x14ac:dyDescent="0.3">
      <c r="A1601" s="42">
        <v>1586</v>
      </c>
      <c r="B1601" s="43">
        <f t="shared" si="61"/>
        <v>2586</v>
      </c>
      <c r="C1601" s="10">
        <f t="shared" si="62"/>
        <v>1591</v>
      </c>
      <c r="D1601" s="45">
        <f t="shared" si="63"/>
        <v>1266426</v>
      </c>
    </row>
    <row r="1602" spans="1:4" x14ac:dyDescent="0.3">
      <c r="A1602" s="42">
        <v>1587</v>
      </c>
      <c r="B1602" s="43">
        <f t="shared" si="61"/>
        <v>2587</v>
      </c>
      <c r="C1602" s="10">
        <f t="shared" si="62"/>
        <v>1592</v>
      </c>
      <c r="D1602" s="45">
        <f t="shared" si="63"/>
        <v>1268018</v>
      </c>
    </row>
    <row r="1603" spans="1:4" x14ac:dyDescent="0.3">
      <c r="A1603" s="42">
        <v>1588</v>
      </c>
      <c r="B1603" s="43">
        <f t="shared" si="61"/>
        <v>2588</v>
      </c>
      <c r="C1603" s="10">
        <f t="shared" si="62"/>
        <v>1593</v>
      </c>
      <c r="D1603" s="45">
        <f t="shared" si="63"/>
        <v>1269611</v>
      </c>
    </row>
    <row r="1604" spans="1:4" x14ac:dyDescent="0.3">
      <c r="A1604" s="42">
        <v>1589</v>
      </c>
      <c r="B1604" s="43">
        <f t="shared" si="61"/>
        <v>2589</v>
      </c>
      <c r="C1604" s="10">
        <f t="shared" si="62"/>
        <v>1594</v>
      </c>
      <c r="D1604" s="45">
        <f t="shared" si="63"/>
        <v>1271205</v>
      </c>
    </row>
    <row r="1605" spans="1:4" x14ac:dyDescent="0.3">
      <c r="A1605" s="42">
        <v>1590</v>
      </c>
      <c r="B1605" s="43">
        <f t="shared" si="61"/>
        <v>2590</v>
      </c>
      <c r="C1605" s="10">
        <f t="shared" si="62"/>
        <v>1595</v>
      </c>
      <c r="D1605" s="45">
        <f t="shared" si="63"/>
        <v>1272800</v>
      </c>
    </row>
    <row r="1606" spans="1:4" x14ac:dyDescent="0.3">
      <c r="A1606" s="42">
        <v>1591</v>
      </c>
      <c r="B1606" s="43">
        <f t="shared" si="61"/>
        <v>2591</v>
      </c>
      <c r="C1606" s="10">
        <f t="shared" si="62"/>
        <v>1596</v>
      </c>
      <c r="D1606" s="45">
        <f t="shared" si="63"/>
        <v>1274396</v>
      </c>
    </row>
    <row r="1607" spans="1:4" x14ac:dyDescent="0.3">
      <c r="A1607" s="42">
        <v>1592</v>
      </c>
      <c r="B1607" s="43">
        <f t="shared" si="61"/>
        <v>2592</v>
      </c>
      <c r="C1607" s="10">
        <f t="shared" si="62"/>
        <v>1597</v>
      </c>
      <c r="D1607" s="45">
        <f t="shared" si="63"/>
        <v>1275993</v>
      </c>
    </row>
    <row r="1608" spans="1:4" x14ac:dyDescent="0.3">
      <c r="A1608" s="42">
        <v>1593</v>
      </c>
      <c r="B1608" s="43">
        <f t="shared" si="61"/>
        <v>2593</v>
      </c>
      <c r="C1608" s="10">
        <f t="shared" si="62"/>
        <v>1598</v>
      </c>
      <c r="D1608" s="45">
        <f t="shared" si="63"/>
        <v>1277591</v>
      </c>
    </row>
    <row r="1609" spans="1:4" x14ac:dyDescent="0.3">
      <c r="A1609" s="42">
        <v>1594</v>
      </c>
      <c r="B1609" s="43">
        <f t="shared" si="61"/>
        <v>2594</v>
      </c>
      <c r="C1609" s="10">
        <f t="shared" si="62"/>
        <v>1599</v>
      </c>
      <c r="D1609" s="45">
        <f t="shared" si="63"/>
        <v>1279190</v>
      </c>
    </row>
    <row r="1610" spans="1:4" x14ac:dyDescent="0.3">
      <c r="A1610" s="42">
        <v>1595</v>
      </c>
      <c r="B1610" s="43">
        <f t="shared" si="61"/>
        <v>2595</v>
      </c>
      <c r="C1610" s="10">
        <f t="shared" si="62"/>
        <v>1600</v>
      </c>
      <c r="D1610" s="45">
        <f t="shared" si="63"/>
        <v>1280790</v>
      </c>
    </row>
    <row r="1611" spans="1:4" x14ac:dyDescent="0.3">
      <c r="A1611" s="42">
        <v>1596</v>
      </c>
      <c r="B1611" s="43">
        <f t="shared" si="61"/>
        <v>2596</v>
      </c>
      <c r="C1611" s="10">
        <f t="shared" si="62"/>
        <v>1601</v>
      </c>
      <c r="D1611" s="45">
        <f t="shared" si="63"/>
        <v>1282391</v>
      </c>
    </row>
    <row r="1612" spans="1:4" x14ac:dyDescent="0.3">
      <c r="A1612" s="42">
        <v>1597</v>
      </c>
      <c r="B1612" s="43">
        <f t="shared" si="61"/>
        <v>2597</v>
      </c>
      <c r="C1612" s="10">
        <f t="shared" si="62"/>
        <v>1602</v>
      </c>
      <c r="D1612" s="45">
        <f t="shared" si="63"/>
        <v>1283993</v>
      </c>
    </row>
    <row r="1613" spans="1:4" x14ac:dyDescent="0.3">
      <c r="A1613" s="42">
        <v>1598</v>
      </c>
      <c r="B1613" s="43">
        <f t="shared" si="61"/>
        <v>2598</v>
      </c>
      <c r="C1613" s="10">
        <f t="shared" si="62"/>
        <v>1603</v>
      </c>
      <c r="D1613" s="45">
        <f t="shared" si="63"/>
        <v>1285596</v>
      </c>
    </row>
    <row r="1614" spans="1:4" x14ac:dyDescent="0.3">
      <c r="A1614" s="42">
        <v>1599</v>
      </c>
      <c r="B1614" s="43">
        <f t="shared" si="61"/>
        <v>2599</v>
      </c>
      <c r="C1614" s="10">
        <f t="shared" si="62"/>
        <v>1604</v>
      </c>
      <c r="D1614" s="45">
        <f t="shared" si="63"/>
        <v>1287200</v>
      </c>
    </row>
    <row r="1615" spans="1:4" x14ac:dyDescent="0.3">
      <c r="A1615" s="42">
        <v>1600</v>
      </c>
      <c r="B1615" s="43">
        <f t="shared" si="61"/>
        <v>2600</v>
      </c>
      <c r="C1615" s="10">
        <f t="shared" si="62"/>
        <v>1605</v>
      </c>
      <c r="D1615" s="45">
        <f t="shared" si="63"/>
        <v>1288805</v>
      </c>
    </row>
    <row r="1616" spans="1:4" x14ac:dyDescent="0.3">
      <c r="A1616" s="42">
        <v>1601</v>
      </c>
      <c r="B1616" s="43">
        <f t="shared" si="61"/>
        <v>2601</v>
      </c>
      <c r="C1616" s="10">
        <f t="shared" si="62"/>
        <v>1606</v>
      </c>
      <c r="D1616" s="45">
        <f t="shared" si="63"/>
        <v>1290411</v>
      </c>
    </row>
    <row r="1617" spans="1:4" x14ac:dyDescent="0.3">
      <c r="A1617" s="42">
        <v>1602</v>
      </c>
      <c r="B1617" s="43">
        <f t="shared" si="61"/>
        <v>2602</v>
      </c>
      <c r="C1617" s="10">
        <f t="shared" si="62"/>
        <v>1607</v>
      </c>
      <c r="D1617" s="45">
        <f t="shared" si="63"/>
        <v>1292018</v>
      </c>
    </row>
    <row r="1618" spans="1:4" x14ac:dyDescent="0.3">
      <c r="A1618" s="42">
        <v>1603</v>
      </c>
      <c r="B1618" s="43">
        <f t="shared" si="61"/>
        <v>2603</v>
      </c>
      <c r="C1618" s="10">
        <f t="shared" si="62"/>
        <v>1608</v>
      </c>
      <c r="D1618" s="45">
        <f t="shared" si="63"/>
        <v>1293626</v>
      </c>
    </row>
    <row r="1619" spans="1:4" x14ac:dyDescent="0.3">
      <c r="A1619" s="42">
        <v>1604</v>
      </c>
      <c r="B1619" s="43">
        <f t="shared" si="61"/>
        <v>2604</v>
      </c>
      <c r="C1619" s="10">
        <f t="shared" si="62"/>
        <v>1609</v>
      </c>
      <c r="D1619" s="45">
        <f t="shared" si="63"/>
        <v>1295235</v>
      </c>
    </row>
    <row r="1620" spans="1:4" x14ac:dyDescent="0.3">
      <c r="A1620" s="42">
        <v>1605</v>
      </c>
      <c r="B1620" s="43">
        <f t="shared" si="61"/>
        <v>2605</v>
      </c>
      <c r="C1620" s="10">
        <f t="shared" si="62"/>
        <v>1610</v>
      </c>
      <c r="D1620" s="45">
        <f t="shared" si="63"/>
        <v>1296845</v>
      </c>
    </row>
    <row r="1621" spans="1:4" x14ac:dyDescent="0.3">
      <c r="A1621" s="42">
        <v>1606</v>
      </c>
      <c r="B1621" s="43">
        <f t="shared" si="61"/>
        <v>2606</v>
      </c>
      <c r="C1621" s="10">
        <f t="shared" si="62"/>
        <v>1611</v>
      </c>
      <c r="D1621" s="45">
        <f t="shared" si="63"/>
        <v>1298456</v>
      </c>
    </row>
    <row r="1622" spans="1:4" x14ac:dyDescent="0.3">
      <c r="A1622" s="42">
        <v>1607</v>
      </c>
      <c r="B1622" s="43">
        <f t="shared" si="61"/>
        <v>2607</v>
      </c>
      <c r="C1622" s="10">
        <f t="shared" si="62"/>
        <v>1612</v>
      </c>
      <c r="D1622" s="45">
        <f t="shared" si="63"/>
        <v>1300068</v>
      </c>
    </row>
    <row r="1623" spans="1:4" x14ac:dyDescent="0.3">
      <c r="A1623" s="42">
        <v>1608</v>
      </c>
      <c r="B1623" s="43">
        <f t="shared" si="61"/>
        <v>2608</v>
      </c>
      <c r="C1623" s="10">
        <f t="shared" si="62"/>
        <v>1613</v>
      </c>
      <c r="D1623" s="45">
        <f t="shared" si="63"/>
        <v>1301681</v>
      </c>
    </row>
    <row r="1624" spans="1:4" x14ac:dyDescent="0.3">
      <c r="A1624" s="42">
        <v>1609</v>
      </c>
      <c r="B1624" s="43">
        <f t="shared" si="61"/>
        <v>2609</v>
      </c>
      <c r="C1624" s="10">
        <f t="shared" si="62"/>
        <v>1614</v>
      </c>
      <c r="D1624" s="45">
        <f t="shared" si="63"/>
        <v>1303295</v>
      </c>
    </row>
    <row r="1625" spans="1:4" x14ac:dyDescent="0.3">
      <c r="A1625" s="42">
        <v>1610</v>
      </c>
      <c r="B1625" s="43">
        <f t="shared" si="61"/>
        <v>2610</v>
      </c>
      <c r="C1625" s="10">
        <f t="shared" si="62"/>
        <v>1615</v>
      </c>
      <c r="D1625" s="45">
        <f t="shared" si="63"/>
        <v>1304910</v>
      </c>
    </row>
    <row r="1626" spans="1:4" x14ac:dyDescent="0.3">
      <c r="A1626" s="42">
        <v>1611</v>
      </c>
      <c r="B1626" s="43">
        <f t="shared" si="61"/>
        <v>2611</v>
      </c>
      <c r="C1626" s="10">
        <f t="shared" si="62"/>
        <v>1616</v>
      </c>
      <c r="D1626" s="45">
        <f t="shared" si="63"/>
        <v>1306526</v>
      </c>
    </row>
    <row r="1627" spans="1:4" x14ac:dyDescent="0.3">
      <c r="A1627" s="42">
        <v>1612</v>
      </c>
      <c r="B1627" s="43">
        <f t="shared" si="61"/>
        <v>2612</v>
      </c>
      <c r="C1627" s="10">
        <f t="shared" si="62"/>
        <v>1617</v>
      </c>
      <c r="D1627" s="45">
        <f t="shared" si="63"/>
        <v>1308143</v>
      </c>
    </row>
    <row r="1628" spans="1:4" x14ac:dyDescent="0.3">
      <c r="A1628" s="42">
        <v>1613</v>
      </c>
      <c r="B1628" s="43">
        <f t="shared" si="61"/>
        <v>2613</v>
      </c>
      <c r="C1628" s="10">
        <f t="shared" si="62"/>
        <v>1618</v>
      </c>
      <c r="D1628" s="45">
        <f t="shared" si="63"/>
        <v>1309761</v>
      </c>
    </row>
    <row r="1629" spans="1:4" x14ac:dyDescent="0.3">
      <c r="A1629" s="42">
        <v>1614</v>
      </c>
      <c r="B1629" s="43">
        <f t="shared" si="61"/>
        <v>2614</v>
      </c>
      <c r="C1629" s="10">
        <f t="shared" si="62"/>
        <v>1619</v>
      </c>
      <c r="D1629" s="45">
        <f t="shared" si="63"/>
        <v>1311380</v>
      </c>
    </row>
    <row r="1630" spans="1:4" x14ac:dyDescent="0.3">
      <c r="A1630" s="42">
        <v>1615</v>
      </c>
      <c r="B1630" s="43">
        <f t="shared" si="61"/>
        <v>2615</v>
      </c>
      <c r="C1630" s="10">
        <f t="shared" si="62"/>
        <v>1620</v>
      </c>
      <c r="D1630" s="45">
        <f t="shared" si="63"/>
        <v>1313000</v>
      </c>
    </row>
    <row r="1631" spans="1:4" x14ac:dyDescent="0.3">
      <c r="A1631" s="42">
        <v>1616</v>
      </c>
      <c r="B1631" s="43">
        <f t="shared" si="61"/>
        <v>2616</v>
      </c>
      <c r="C1631" s="10">
        <f t="shared" si="62"/>
        <v>1621</v>
      </c>
      <c r="D1631" s="45">
        <f t="shared" si="63"/>
        <v>1314621</v>
      </c>
    </row>
    <row r="1632" spans="1:4" x14ac:dyDescent="0.3">
      <c r="A1632" s="42">
        <v>1617</v>
      </c>
      <c r="B1632" s="43">
        <f t="shared" si="61"/>
        <v>2617</v>
      </c>
      <c r="C1632" s="10">
        <f t="shared" si="62"/>
        <v>1622</v>
      </c>
      <c r="D1632" s="45">
        <f t="shared" si="63"/>
        <v>1316243</v>
      </c>
    </row>
    <row r="1633" spans="1:4" x14ac:dyDescent="0.3">
      <c r="A1633" s="42">
        <v>1618</v>
      </c>
      <c r="B1633" s="43">
        <f t="shared" si="61"/>
        <v>2618</v>
      </c>
      <c r="C1633" s="10">
        <f t="shared" si="62"/>
        <v>1623</v>
      </c>
      <c r="D1633" s="45">
        <f t="shared" si="63"/>
        <v>1317866</v>
      </c>
    </row>
    <row r="1634" spans="1:4" x14ac:dyDescent="0.3">
      <c r="A1634" s="42">
        <v>1619</v>
      </c>
      <c r="B1634" s="43">
        <f t="shared" si="61"/>
        <v>2619</v>
      </c>
      <c r="C1634" s="10">
        <f t="shared" si="62"/>
        <v>1624</v>
      </c>
      <c r="D1634" s="45">
        <f t="shared" si="63"/>
        <v>1319490</v>
      </c>
    </row>
    <row r="1635" spans="1:4" x14ac:dyDescent="0.3">
      <c r="A1635" s="42">
        <v>1620</v>
      </c>
      <c r="B1635" s="43">
        <f t="shared" si="61"/>
        <v>2620</v>
      </c>
      <c r="C1635" s="10">
        <f t="shared" si="62"/>
        <v>1625</v>
      </c>
      <c r="D1635" s="45">
        <f t="shared" si="63"/>
        <v>1321115</v>
      </c>
    </row>
    <row r="1636" spans="1:4" x14ac:dyDescent="0.3">
      <c r="A1636" s="42">
        <v>1621</v>
      </c>
      <c r="B1636" s="43">
        <f t="shared" si="61"/>
        <v>2621</v>
      </c>
      <c r="C1636" s="10">
        <f t="shared" si="62"/>
        <v>1626</v>
      </c>
      <c r="D1636" s="45">
        <f t="shared" si="63"/>
        <v>1322741</v>
      </c>
    </row>
    <row r="1637" spans="1:4" x14ac:dyDescent="0.3">
      <c r="A1637" s="42">
        <v>1622</v>
      </c>
      <c r="B1637" s="43">
        <f t="shared" si="61"/>
        <v>2622</v>
      </c>
      <c r="C1637" s="10">
        <f t="shared" si="62"/>
        <v>1627</v>
      </c>
      <c r="D1637" s="45">
        <f t="shared" si="63"/>
        <v>1324368</v>
      </c>
    </row>
    <row r="1638" spans="1:4" x14ac:dyDescent="0.3">
      <c r="A1638" s="42">
        <v>1623</v>
      </c>
      <c r="B1638" s="43">
        <f t="shared" ref="B1638:B1667" si="64">B1637+R$8</f>
        <v>2623</v>
      </c>
      <c r="C1638" s="10">
        <f t="shared" ref="C1638:C1667" si="65">C1637+R$7</f>
        <v>1628</v>
      </c>
      <c r="D1638" s="45">
        <f t="shared" ref="D1638:D1667" si="66">D1637+C1638</f>
        <v>1325996</v>
      </c>
    </row>
    <row r="1639" spans="1:4" x14ac:dyDescent="0.3">
      <c r="A1639" s="42">
        <v>1624</v>
      </c>
      <c r="B1639" s="43">
        <f t="shared" si="64"/>
        <v>2624</v>
      </c>
      <c r="C1639" s="10">
        <f t="shared" si="65"/>
        <v>1629</v>
      </c>
      <c r="D1639" s="45">
        <f t="shared" si="66"/>
        <v>1327625</v>
      </c>
    </row>
    <row r="1640" spans="1:4" x14ac:dyDescent="0.3">
      <c r="A1640" s="42">
        <v>1625</v>
      </c>
      <c r="B1640" s="43">
        <f t="shared" si="64"/>
        <v>2625</v>
      </c>
      <c r="C1640" s="10">
        <f t="shared" si="65"/>
        <v>1630</v>
      </c>
      <c r="D1640" s="45">
        <f t="shared" si="66"/>
        <v>1329255</v>
      </c>
    </row>
    <row r="1641" spans="1:4" x14ac:dyDescent="0.3">
      <c r="A1641" s="42">
        <v>1626</v>
      </c>
      <c r="B1641" s="43">
        <f t="shared" si="64"/>
        <v>2626</v>
      </c>
      <c r="C1641" s="10">
        <f t="shared" si="65"/>
        <v>1631</v>
      </c>
      <c r="D1641" s="45">
        <f t="shared" si="66"/>
        <v>1330886</v>
      </c>
    </row>
    <row r="1642" spans="1:4" x14ac:dyDescent="0.3">
      <c r="A1642" s="42">
        <v>1627</v>
      </c>
      <c r="B1642" s="43">
        <f t="shared" si="64"/>
        <v>2627</v>
      </c>
      <c r="C1642" s="10">
        <f t="shared" si="65"/>
        <v>1632</v>
      </c>
      <c r="D1642" s="45">
        <f t="shared" si="66"/>
        <v>1332518</v>
      </c>
    </row>
    <row r="1643" spans="1:4" x14ac:dyDescent="0.3">
      <c r="A1643" s="42">
        <v>1628</v>
      </c>
      <c r="B1643" s="43">
        <f t="shared" si="64"/>
        <v>2628</v>
      </c>
      <c r="C1643" s="10">
        <f t="shared" si="65"/>
        <v>1633</v>
      </c>
      <c r="D1643" s="45">
        <f t="shared" si="66"/>
        <v>1334151</v>
      </c>
    </row>
    <row r="1644" spans="1:4" x14ac:dyDescent="0.3">
      <c r="A1644" s="42">
        <v>1629</v>
      </c>
      <c r="B1644" s="43">
        <f t="shared" si="64"/>
        <v>2629</v>
      </c>
      <c r="C1644" s="10">
        <f t="shared" si="65"/>
        <v>1634</v>
      </c>
      <c r="D1644" s="45">
        <f t="shared" si="66"/>
        <v>1335785</v>
      </c>
    </row>
    <row r="1645" spans="1:4" x14ac:dyDescent="0.3">
      <c r="A1645" s="42">
        <v>1630</v>
      </c>
      <c r="B1645" s="43">
        <f t="shared" si="64"/>
        <v>2630</v>
      </c>
      <c r="C1645" s="10">
        <f t="shared" si="65"/>
        <v>1635</v>
      </c>
      <c r="D1645" s="45">
        <f t="shared" si="66"/>
        <v>1337420</v>
      </c>
    </row>
    <row r="1646" spans="1:4" x14ac:dyDescent="0.3">
      <c r="A1646" s="42">
        <v>1631</v>
      </c>
      <c r="B1646" s="43">
        <f t="shared" si="64"/>
        <v>2631</v>
      </c>
      <c r="C1646" s="10">
        <f t="shared" si="65"/>
        <v>1636</v>
      </c>
      <c r="D1646" s="45">
        <f t="shared" si="66"/>
        <v>1339056</v>
      </c>
    </row>
    <row r="1647" spans="1:4" x14ac:dyDescent="0.3">
      <c r="A1647" s="42">
        <v>1632</v>
      </c>
      <c r="B1647" s="43">
        <f t="shared" si="64"/>
        <v>2632</v>
      </c>
      <c r="C1647" s="10">
        <f t="shared" si="65"/>
        <v>1637</v>
      </c>
      <c r="D1647" s="45">
        <f t="shared" si="66"/>
        <v>1340693</v>
      </c>
    </row>
    <row r="1648" spans="1:4" x14ac:dyDescent="0.3">
      <c r="A1648" s="42">
        <v>1633</v>
      </c>
      <c r="B1648" s="43">
        <f t="shared" si="64"/>
        <v>2633</v>
      </c>
      <c r="C1648" s="10">
        <f t="shared" si="65"/>
        <v>1638</v>
      </c>
      <c r="D1648" s="45">
        <f t="shared" si="66"/>
        <v>1342331</v>
      </c>
    </row>
    <row r="1649" spans="1:4" x14ac:dyDescent="0.3">
      <c r="A1649" s="42">
        <v>1634</v>
      </c>
      <c r="B1649" s="43">
        <f t="shared" si="64"/>
        <v>2634</v>
      </c>
      <c r="C1649" s="10">
        <f t="shared" si="65"/>
        <v>1639</v>
      </c>
      <c r="D1649" s="45">
        <f t="shared" si="66"/>
        <v>1343970</v>
      </c>
    </row>
    <row r="1650" spans="1:4" x14ac:dyDescent="0.3">
      <c r="A1650" s="42">
        <v>1635</v>
      </c>
      <c r="B1650" s="43">
        <f t="shared" si="64"/>
        <v>2635</v>
      </c>
      <c r="C1650" s="10">
        <f t="shared" si="65"/>
        <v>1640</v>
      </c>
      <c r="D1650" s="45">
        <f t="shared" si="66"/>
        <v>1345610</v>
      </c>
    </row>
    <row r="1651" spans="1:4" x14ac:dyDescent="0.3">
      <c r="A1651" s="42">
        <v>1636</v>
      </c>
      <c r="B1651" s="43">
        <f t="shared" si="64"/>
        <v>2636</v>
      </c>
      <c r="C1651" s="10">
        <f t="shared" si="65"/>
        <v>1641</v>
      </c>
      <c r="D1651" s="45">
        <f t="shared" si="66"/>
        <v>1347251</v>
      </c>
    </row>
    <row r="1652" spans="1:4" x14ac:dyDescent="0.3">
      <c r="A1652" s="42">
        <v>1637</v>
      </c>
      <c r="B1652" s="43">
        <f t="shared" si="64"/>
        <v>2637</v>
      </c>
      <c r="C1652" s="10">
        <f t="shared" si="65"/>
        <v>1642</v>
      </c>
      <c r="D1652" s="45">
        <f t="shared" si="66"/>
        <v>1348893</v>
      </c>
    </row>
    <row r="1653" spans="1:4" x14ac:dyDescent="0.3">
      <c r="A1653" s="42">
        <v>1638</v>
      </c>
      <c r="B1653" s="43">
        <f t="shared" si="64"/>
        <v>2638</v>
      </c>
      <c r="C1653" s="10">
        <f t="shared" si="65"/>
        <v>1643</v>
      </c>
      <c r="D1653" s="45">
        <f t="shared" si="66"/>
        <v>1350536</v>
      </c>
    </row>
    <row r="1654" spans="1:4" x14ac:dyDescent="0.3">
      <c r="A1654" s="42">
        <v>1639</v>
      </c>
      <c r="B1654" s="43">
        <f t="shared" si="64"/>
        <v>2639</v>
      </c>
      <c r="C1654" s="10">
        <f t="shared" si="65"/>
        <v>1644</v>
      </c>
      <c r="D1654" s="45">
        <f t="shared" si="66"/>
        <v>1352180</v>
      </c>
    </row>
    <row r="1655" spans="1:4" x14ac:dyDescent="0.3">
      <c r="A1655" s="42">
        <v>1640</v>
      </c>
      <c r="B1655" s="43">
        <f t="shared" si="64"/>
        <v>2640</v>
      </c>
      <c r="C1655" s="10">
        <f t="shared" si="65"/>
        <v>1645</v>
      </c>
      <c r="D1655" s="45">
        <f t="shared" si="66"/>
        <v>1353825</v>
      </c>
    </row>
    <row r="1656" spans="1:4" x14ac:dyDescent="0.3">
      <c r="A1656" s="42">
        <v>1641</v>
      </c>
      <c r="B1656" s="43">
        <f t="shared" si="64"/>
        <v>2641</v>
      </c>
      <c r="C1656" s="10">
        <f t="shared" si="65"/>
        <v>1646</v>
      </c>
      <c r="D1656" s="45">
        <f t="shared" si="66"/>
        <v>1355471</v>
      </c>
    </row>
    <row r="1657" spans="1:4" x14ac:dyDescent="0.3">
      <c r="A1657" s="42">
        <v>1642</v>
      </c>
      <c r="B1657" s="43">
        <f t="shared" si="64"/>
        <v>2642</v>
      </c>
      <c r="C1657" s="10">
        <f t="shared" si="65"/>
        <v>1647</v>
      </c>
      <c r="D1657" s="45">
        <f t="shared" si="66"/>
        <v>1357118</v>
      </c>
    </row>
    <row r="1658" spans="1:4" x14ac:dyDescent="0.3">
      <c r="A1658" s="42">
        <v>1643</v>
      </c>
      <c r="B1658" s="43">
        <f t="shared" si="64"/>
        <v>2643</v>
      </c>
      <c r="C1658" s="10">
        <f t="shared" si="65"/>
        <v>1648</v>
      </c>
      <c r="D1658" s="45">
        <f t="shared" si="66"/>
        <v>1358766</v>
      </c>
    </row>
    <row r="1659" spans="1:4" x14ac:dyDescent="0.3">
      <c r="A1659" s="42">
        <v>1644</v>
      </c>
      <c r="B1659" s="43">
        <f t="shared" si="64"/>
        <v>2644</v>
      </c>
      <c r="C1659" s="10">
        <f t="shared" si="65"/>
        <v>1649</v>
      </c>
      <c r="D1659" s="45">
        <f t="shared" si="66"/>
        <v>1360415</v>
      </c>
    </row>
    <row r="1660" spans="1:4" x14ac:dyDescent="0.3">
      <c r="A1660" s="42">
        <v>1645</v>
      </c>
      <c r="B1660" s="43">
        <f t="shared" si="64"/>
        <v>2645</v>
      </c>
      <c r="C1660" s="10">
        <f t="shared" si="65"/>
        <v>1650</v>
      </c>
      <c r="D1660" s="45">
        <f t="shared" si="66"/>
        <v>1362065</v>
      </c>
    </row>
    <row r="1661" spans="1:4" x14ac:dyDescent="0.3">
      <c r="A1661" s="42">
        <v>1646</v>
      </c>
      <c r="B1661" s="43">
        <f t="shared" si="64"/>
        <v>2646</v>
      </c>
      <c r="C1661" s="10">
        <f t="shared" si="65"/>
        <v>1651</v>
      </c>
      <c r="D1661" s="45">
        <f t="shared" si="66"/>
        <v>1363716</v>
      </c>
    </row>
    <row r="1662" spans="1:4" x14ac:dyDescent="0.3">
      <c r="A1662" s="42">
        <v>1647</v>
      </c>
      <c r="B1662" s="43">
        <f t="shared" si="64"/>
        <v>2647</v>
      </c>
      <c r="C1662" s="10">
        <f t="shared" si="65"/>
        <v>1652</v>
      </c>
      <c r="D1662" s="45">
        <f t="shared" si="66"/>
        <v>1365368</v>
      </c>
    </row>
    <row r="1663" spans="1:4" x14ac:dyDescent="0.3">
      <c r="A1663" s="42">
        <v>1648</v>
      </c>
      <c r="B1663" s="43">
        <f t="shared" si="64"/>
        <v>2648</v>
      </c>
      <c r="C1663" s="10">
        <f t="shared" si="65"/>
        <v>1653</v>
      </c>
      <c r="D1663" s="45">
        <f t="shared" si="66"/>
        <v>1367021</v>
      </c>
    </row>
    <row r="1664" spans="1:4" x14ac:dyDescent="0.3">
      <c r="A1664" s="42">
        <v>1649</v>
      </c>
      <c r="B1664" s="43">
        <f t="shared" si="64"/>
        <v>2649</v>
      </c>
      <c r="C1664" s="10">
        <f t="shared" si="65"/>
        <v>1654</v>
      </c>
      <c r="D1664" s="45">
        <f t="shared" si="66"/>
        <v>1368675</v>
      </c>
    </row>
    <row r="1665" spans="1:4" x14ac:dyDescent="0.3">
      <c r="A1665" s="42">
        <v>1650</v>
      </c>
      <c r="B1665" s="43">
        <f t="shared" si="64"/>
        <v>2650</v>
      </c>
      <c r="C1665" s="10">
        <f t="shared" si="65"/>
        <v>1655</v>
      </c>
      <c r="D1665" s="45">
        <f t="shared" si="66"/>
        <v>1370330</v>
      </c>
    </row>
    <row r="1666" spans="1:4" x14ac:dyDescent="0.3">
      <c r="A1666" s="42">
        <v>1651</v>
      </c>
      <c r="B1666" s="43">
        <f t="shared" si="64"/>
        <v>2651</v>
      </c>
      <c r="C1666" s="10">
        <f t="shared" si="65"/>
        <v>1656</v>
      </c>
      <c r="D1666" s="45">
        <f t="shared" si="66"/>
        <v>1371986</v>
      </c>
    </row>
    <row r="1667" spans="1:4" x14ac:dyDescent="0.3">
      <c r="A1667" s="42">
        <v>1652</v>
      </c>
      <c r="B1667" s="43">
        <f t="shared" si="64"/>
        <v>2652</v>
      </c>
      <c r="C1667" s="10">
        <f t="shared" si="65"/>
        <v>1657</v>
      </c>
      <c r="D1667" s="45">
        <f t="shared" si="66"/>
        <v>1373643</v>
      </c>
    </row>
  </sheetData>
  <mergeCells count="1">
    <mergeCell ref="R26:V26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육성1 골드</vt:lpstr>
      <vt:lpstr>묘묙석</vt:lpstr>
      <vt:lpstr>나무계산</vt:lpstr>
      <vt:lpstr>Sheet2</vt:lpstr>
      <vt:lpstr>회심타절멸타 골드</vt:lpstr>
      <vt:lpstr>보물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정기 조</dc:creator>
  <cp:lastModifiedBy>정기 조</cp:lastModifiedBy>
  <dcterms:created xsi:type="dcterms:W3CDTF">2025-09-23T01:15:51Z</dcterms:created>
  <dcterms:modified xsi:type="dcterms:W3CDTF">2025-12-31T11:43:49Z</dcterms:modified>
</cp:coreProperties>
</file>