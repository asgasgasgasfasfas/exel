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서든\"/>
    </mc:Choice>
  </mc:AlternateContent>
  <xr:revisionPtr revIDLastSave="0" documentId="13_ncr:1_{7470D1ED-59CF-4BD5-BF6A-7C861910D8BD}" xr6:coauthVersionLast="47" xr6:coauthVersionMax="47" xr10:uidLastSave="{00000000-0000-0000-0000-000000000000}"/>
  <bookViews>
    <workbookView xWindow="8100" yWindow="300" windowWidth="17655" windowHeight="15120" activeTab="1" xr2:uid="{A99CFEC2-60A2-4309-B5ED-2C883047AF44}"/>
  </bookViews>
  <sheets>
    <sheet name="육성1 골드" sheetId="1" r:id="rId1"/>
    <sheet name="묘묙석" sheetId="4" r:id="rId2"/>
    <sheet name="회심타절멸타 골드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4" l="1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39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40" i="4"/>
  <c r="E39" i="4"/>
  <c r="M45" i="1"/>
  <c r="H3" i="1"/>
  <c r="I3" i="1"/>
  <c r="K3" i="1"/>
  <c r="K2" i="1"/>
  <c r="I2" i="1"/>
  <c r="H2" i="1"/>
  <c r="M3" i="4" l="1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24" i="3"/>
  <c r="E6" i="1" l="1" a="1"/>
  <c r="E6" i="1"/>
  <c r="E8" i="1" a="1"/>
  <c r="E8" i="1"/>
  <c r="E10" i="1" a="1"/>
  <c r="E10" i="1"/>
  <c r="E12" i="1" a="1"/>
  <c r="E12" i="1"/>
  <c r="E14" i="1" a="1"/>
  <c r="E14" i="1"/>
  <c r="E16" i="1" a="1"/>
  <c r="E16" i="1"/>
  <c r="E20" i="1" a="1"/>
  <c r="E20" i="1"/>
  <c r="E22" i="1" a="1"/>
  <c r="E22" i="1"/>
  <c r="E24" i="1" a="1"/>
  <c r="E24" i="1"/>
  <c r="E26" i="1" a="1"/>
  <c r="E26" i="1"/>
  <c r="E28" i="1" a="1"/>
  <c r="E28" i="1"/>
  <c r="E30" i="1" a="1"/>
  <c r="E30" i="1"/>
  <c r="E32" i="1" a="1"/>
  <c r="E32" i="1"/>
  <c r="E34" i="1" a="1"/>
  <c r="E34" i="1"/>
  <c r="E36" i="1" a="1"/>
  <c r="E36" i="1"/>
  <c r="E38" i="1" a="1"/>
  <c r="E38" i="1"/>
  <c r="E40" i="1" a="1"/>
  <c r="E40" i="1"/>
  <c r="E42" i="1" a="1"/>
  <c r="E42" i="1"/>
  <c r="E44" i="1" a="1"/>
  <c r="E44" i="1"/>
  <c r="C3" i="4"/>
  <c r="H45" i="1" l="1"/>
  <c r="I45" i="1"/>
  <c r="J45" i="1" l="1"/>
  <c r="Q24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25" i="3"/>
  <c r="J44" i="3"/>
  <c r="J45" i="3"/>
  <c r="J46" i="3"/>
  <c r="P27" i="3"/>
  <c r="P37" i="3"/>
  <c r="P38" i="3"/>
  <c r="P39" i="3"/>
  <c r="P42" i="3"/>
  <c r="P43" i="3"/>
  <c r="H45" i="3"/>
  <c r="H46" i="3"/>
  <c r="O43" i="3"/>
  <c r="O42" i="3"/>
  <c r="S42" i="3" s="1"/>
  <c r="O41" i="3"/>
  <c r="S41" i="3" s="1"/>
  <c r="O40" i="3"/>
  <c r="S40" i="3" s="1"/>
  <c r="O39" i="3"/>
  <c r="S39" i="3" s="1"/>
  <c r="O38" i="3"/>
  <c r="S38" i="3" s="1"/>
  <c r="O37" i="3"/>
  <c r="O36" i="3"/>
  <c r="O35" i="3"/>
  <c r="O34" i="3"/>
  <c r="O33" i="3"/>
  <c r="O32" i="3"/>
  <c r="O31" i="3"/>
  <c r="S31" i="3" s="1"/>
  <c r="O30" i="3"/>
  <c r="S30" i="3" s="1"/>
  <c r="O29" i="3"/>
  <c r="S29" i="3" s="1"/>
  <c r="O28" i="3"/>
  <c r="S28" i="3" s="1"/>
  <c r="O27" i="3"/>
  <c r="S27" i="3" s="1"/>
  <c r="O26" i="3"/>
  <c r="S26" i="3" s="1"/>
  <c r="O25" i="3"/>
  <c r="O24" i="3"/>
  <c r="G25" i="3"/>
  <c r="I25" i="3" s="1"/>
  <c r="G26" i="3"/>
  <c r="H27" i="3" s="1"/>
  <c r="G27" i="3"/>
  <c r="G28" i="3"/>
  <c r="H29" i="3" s="1"/>
  <c r="G29" i="3"/>
  <c r="H30" i="3" s="1"/>
  <c r="G30" i="3"/>
  <c r="H31" i="3" s="1"/>
  <c r="G31" i="3"/>
  <c r="H32" i="3" s="1"/>
  <c r="G32" i="3"/>
  <c r="H33" i="3" s="1"/>
  <c r="G33" i="3"/>
  <c r="H34" i="3" s="1"/>
  <c r="G34" i="3"/>
  <c r="H35" i="3" s="1"/>
  <c r="G35" i="3"/>
  <c r="H36" i="3" s="1"/>
  <c r="G36" i="3"/>
  <c r="I36" i="3" s="1"/>
  <c r="G37" i="3"/>
  <c r="G38" i="3"/>
  <c r="H39" i="3" s="1"/>
  <c r="G39" i="3"/>
  <c r="I39" i="3" s="1"/>
  <c r="G40" i="3"/>
  <c r="H41" i="3" s="1"/>
  <c r="G41" i="3"/>
  <c r="H42" i="3" s="1"/>
  <c r="G42" i="3"/>
  <c r="H43" i="3" s="1"/>
  <c r="G43" i="3"/>
  <c r="H44" i="3" s="1"/>
  <c r="G24" i="3"/>
  <c r="H25" i="3" s="1"/>
  <c r="I20" i="3"/>
  <c r="K20" i="3" s="1"/>
  <c r="I19" i="3"/>
  <c r="Z46" i="3"/>
  <c r="Z47" i="3" s="1"/>
  <c r="Z48" i="3" s="1"/>
  <c r="Y46" i="3"/>
  <c r="Y47" i="3" s="1"/>
  <c r="Y48" i="3" s="1"/>
  <c r="AF42" i="3"/>
  <c r="AF41" i="3"/>
  <c r="AC35" i="3"/>
  <c r="AD35" i="3" s="1"/>
  <c r="AC34" i="3"/>
  <c r="AD34" i="3" s="1"/>
  <c r="AD33" i="3"/>
  <c r="AC33" i="3"/>
  <c r="K19" i="3"/>
  <c r="T17" i="3"/>
  <c r="S17" i="3"/>
  <c r="R17" i="3"/>
  <c r="Q17" i="3"/>
  <c r="P17" i="3"/>
  <c r="I15" i="3"/>
  <c r="I14" i="3"/>
  <c r="T13" i="3"/>
  <c r="S13" i="3"/>
  <c r="R13" i="3"/>
  <c r="R14" i="3" s="1"/>
  <c r="Q13" i="3"/>
  <c r="P13" i="3"/>
  <c r="T7" i="3"/>
  <c r="T8" i="3" s="1"/>
  <c r="S7" i="3"/>
  <c r="S8" i="3" s="1"/>
  <c r="R7" i="3"/>
  <c r="R8" i="3" s="1"/>
  <c r="Q7" i="3"/>
  <c r="Q8" i="3" s="1"/>
  <c r="P7" i="3"/>
  <c r="P8" i="3" s="1"/>
  <c r="E7" i="3"/>
  <c r="E6" i="3"/>
  <c r="H6" i="3" s="1"/>
  <c r="H5" i="3"/>
  <c r="H4" i="3"/>
  <c r="T3" i="3"/>
  <c r="T4" i="3" s="1"/>
  <c r="S3" i="3"/>
  <c r="S4" i="3" s="1"/>
  <c r="R3" i="3"/>
  <c r="R4" i="3" s="1"/>
  <c r="Q3" i="3"/>
  <c r="Q4" i="3" s="1"/>
  <c r="P3" i="3"/>
  <c r="P4" i="3" s="1"/>
  <c r="S43" i="3" l="1"/>
  <c r="S32" i="3"/>
  <c r="S34" i="3"/>
  <c r="S33" i="3"/>
  <c r="S35" i="3"/>
  <c r="S36" i="3"/>
  <c r="S37" i="3"/>
  <c r="S25" i="3"/>
  <c r="I27" i="3"/>
  <c r="P31" i="3"/>
  <c r="P30" i="3"/>
  <c r="P41" i="3"/>
  <c r="P29" i="3"/>
  <c r="P40" i="3"/>
  <c r="P28" i="3"/>
  <c r="I35" i="3"/>
  <c r="K35" i="3" s="1"/>
  <c r="P26" i="3"/>
  <c r="I33" i="3"/>
  <c r="I32" i="3"/>
  <c r="I34" i="3"/>
  <c r="R18" i="3"/>
  <c r="H40" i="3"/>
  <c r="I40" i="3" s="1"/>
  <c r="K40" i="3" s="1"/>
  <c r="P36" i="3"/>
  <c r="I43" i="3"/>
  <c r="K43" i="3" s="1"/>
  <c r="I31" i="3"/>
  <c r="K31" i="3" s="1"/>
  <c r="P35" i="3"/>
  <c r="I42" i="3"/>
  <c r="K42" i="3" s="1"/>
  <c r="I30" i="3"/>
  <c r="K30" i="3" s="1"/>
  <c r="S24" i="3"/>
  <c r="H28" i="3"/>
  <c r="P34" i="3"/>
  <c r="I41" i="3"/>
  <c r="I29" i="3"/>
  <c r="P33" i="3"/>
  <c r="I28" i="3"/>
  <c r="P25" i="3"/>
  <c r="P32" i="3"/>
  <c r="H7" i="3"/>
  <c r="H38" i="3"/>
  <c r="I38" i="3" s="1"/>
  <c r="K38" i="3" s="1"/>
  <c r="H26" i="3"/>
  <c r="I26" i="3" s="1"/>
  <c r="K26" i="3" s="1"/>
  <c r="K33" i="3"/>
  <c r="H37" i="3"/>
  <c r="I37" i="3" s="1"/>
  <c r="K37" i="3" s="1"/>
  <c r="I24" i="3"/>
  <c r="K32" i="3"/>
  <c r="P18" i="3"/>
  <c r="Q18" i="3"/>
  <c r="K28" i="3"/>
  <c r="S18" i="3"/>
  <c r="T14" i="3"/>
  <c r="P14" i="3"/>
  <c r="T18" i="3"/>
  <c r="Q14" i="3"/>
  <c r="K34" i="3"/>
  <c r="K39" i="3"/>
  <c r="K27" i="3"/>
  <c r="K25" i="3"/>
  <c r="K41" i="3"/>
  <c r="K29" i="3"/>
  <c r="K36" i="3"/>
  <c r="K24" i="3"/>
  <c r="S14" i="3"/>
  <c r="E27" i="1" a="1"/>
  <c r="E39" i="1" a="1"/>
  <c r="E33" i="1" a="1"/>
  <c r="E7" i="1" a="1"/>
  <c r="E11" i="1" a="1"/>
  <c r="E21" i="1" a="1"/>
  <c r="E35" i="1" a="1"/>
  <c r="E29" i="1" a="1"/>
  <c r="E25" i="1" a="1"/>
  <c r="E15" i="1" a="1"/>
  <c r="E18" i="1" a="1"/>
  <c r="E31" i="1" a="1"/>
  <c r="E43" i="1" a="1"/>
  <c r="E23" i="1" a="1"/>
  <c r="E9" i="1" a="1"/>
  <c r="E13" i="1" a="1"/>
  <c r="E41" i="1" a="1"/>
  <c r="E37" i="1" a="1"/>
  <c r="E19" i="1" a="1"/>
  <c r="E17" i="1" a="1"/>
  <c r="E5" i="1" a="1"/>
  <c r="E23" i="1" l="1"/>
  <c r="E43" i="1"/>
  <c r="E19" i="1"/>
  <c r="E39" i="1"/>
  <c r="E15" i="1"/>
  <c r="E35" i="1"/>
  <c r="E11" i="1"/>
  <c r="E27" i="1"/>
  <c r="E31" i="1"/>
  <c r="E7" i="1"/>
  <c r="E18" i="1"/>
  <c r="E25" i="1"/>
  <c r="E33" i="1"/>
  <c r="E41" i="1"/>
  <c r="E17" i="1"/>
  <c r="F17" i="1" s="1"/>
  <c r="E37" i="1"/>
  <c r="E29" i="1"/>
  <c r="E21" i="1"/>
  <c r="E13" i="1"/>
  <c r="E9" i="1"/>
  <c r="E5" i="1"/>
  <c r="F18" i="1" l="1"/>
  <c r="F24" i="1"/>
  <c r="F23" i="1"/>
  <c r="F12" i="1"/>
  <c r="F11" i="1"/>
  <c r="F16" i="1"/>
  <c r="F15" i="1"/>
  <c r="F40" i="1"/>
  <c r="F39" i="1"/>
  <c r="F32" i="1"/>
  <c r="F31" i="1"/>
  <c r="F28" i="1"/>
  <c r="F27" i="1"/>
  <c r="F14" i="1"/>
  <c r="F13" i="1"/>
  <c r="F22" i="1"/>
  <c r="F21" i="1"/>
  <c r="F20" i="1"/>
  <c r="F19" i="1"/>
  <c r="F34" i="1"/>
  <c r="F33" i="1"/>
  <c r="F26" i="1"/>
  <c r="F25" i="1"/>
  <c r="F8" i="1"/>
  <c r="F7" i="1"/>
  <c r="F5" i="1"/>
  <c r="F6" i="1"/>
  <c r="F10" i="1"/>
  <c r="F9" i="1"/>
  <c r="F36" i="1"/>
  <c r="F35" i="1"/>
  <c r="F30" i="1"/>
  <c r="F29" i="1"/>
  <c r="F38" i="1"/>
  <c r="F37" i="1"/>
  <c r="F42" i="1"/>
  <c r="F41" i="1"/>
  <c r="F44" i="1"/>
  <c r="F43" i="1"/>
  <c r="H18" i="1"/>
  <c r="H13" i="1"/>
  <c r="H17" i="1"/>
  <c r="H42" i="1" l="1"/>
  <c r="H9" i="1"/>
  <c r="H21" i="1"/>
  <c r="M21" i="1" s="1"/>
  <c r="H11" i="1"/>
  <c r="M11" i="1" s="1"/>
  <c r="H23" i="1"/>
  <c r="M23" i="1" s="1"/>
  <c r="H43" i="1"/>
  <c r="J43" i="1" s="1"/>
  <c r="H44" i="1"/>
  <c r="M44" i="1" s="1"/>
  <c r="M17" i="1"/>
  <c r="M18" i="1"/>
  <c r="M42" i="1"/>
  <c r="M13" i="1"/>
  <c r="M9" i="1"/>
  <c r="H28" i="1"/>
  <c r="H32" i="1"/>
  <c r="H39" i="1"/>
  <c r="H40" i="1"/>
  <c r="H31" i="1"/>
  <c r="J31" i="1" s="1"/>
  <c r="H8" i="1"/>
  <c r="H29" i="1"/>
  <c r="H34" i="1"/>
  <c r="H15" i="1"/>
  <c r="H36" i="1"/>
  <c r="H20" i="1"/>
  <c r="H16" i="1"/>
  <c r="H37" i="1"/>
  <c r="H33" i="1"/>
  <c r="H25" i="1"/>
  <c r="H38" i="1"/>
  <c r="H30" i="1"/>
  <c r="H35" i="1"/>
  <c r="H19" i="1"/>
  <c r="H12" i="1"/>
  <c r="H22" i="1"/>
  <c r="H5" i="1"/>
  <c r="H14" i="1"/>
  <c r="H24" i="1"/>
  <c r="H26" i="1"/>
  <c r="H10" i="1"/>
  <c r="H6" i="1"/>
  <c r="H41" i="1"/>
  <c r="H7" i="1"/>
  <c r="H27" i="1"/>
  <c r="C10" i="4"/>
  <c r="J42" i="1"/>
  <c r="C20" i="4"/>
  <c r="C16" i="4"/>
  <c r="C8" i="4"/>
  <c r="C12" i="4"/>
  <c r="C17" i="4"/>
  <c r="J18" i="1"/>
  <c r="J17" i="1"/>
  <c r="J13" i="1"/>
  <c r="J21" i="1"/>
  <c r="J9" i="1"/>
  <c r="C30" i="4" l="1"/>
  <c r="J44" i="1"/>
  <c r="J23" i="1"/>
  <c r="C22" i="4"/>
  <c r="J11" i="1"/>
  <c r="M43" i="1"/>
  <c r="J10" i="1"/>
  <c r="J28" i="1"/>
  <c r="C31" i="4"/>
  <c r="J40" i="1"/>
  <c r="J32" i="1"/>
  <c r="C27" i="4"/>
  <c r="M41" i="1"/>
  <c r="M32" i="1"/>
  <c r="M25" i="1"/>
  <c r="M26" i="1"/>
  <c r="M37" i="1"/>
  <c r="M28" i="1"/>
  <c r="M39" i="1"/>
  <c r="M24" i="1"/>
  <c r="M16" i="1"/>
  <c r="M14" i="1"/>
  <c r="M20" i="1"/>
  <c r="M38" i="1"/>
  <c r="M6" i="1"/>
  <c r="J25" i="1"/>
  <c r="J41" i="1"/>
  <c r="M36" i="1"/>
  <c r="M33" i="1"/>
  <c r="C24" i="4"/>
  <c r="M22" i="1"/>
  <c r="M15" i="1"/>
  <c r="J39" i="1"/>
  <c r="M12" i="1"/>
  <c r="M34" i="1"/>
  <c r="M19" i="1"/>
  <c r="M29" i="1"/>
  <c r="M27" i="1"/>
  <c r="M35" i="1"/>
  <c r="M8" i="1"/>
  <c r="M40" i="1"/>
  <c r="M10" i="1"/>
  <c r="C32" i="4"/>
  <c r="M7" i="1"/>
  <c r="M30" i="1"/>
  <c r="M31" i="1"/>
  <c r="J24" i="1"/>
  <c r="J16" i="1"/>
  <c r="J36" i="1"/>
  <c r="C14" i="4"/>
  <c r="C4" i="4"/>
  <c r="J12" i="1"/>
  <c r="J34" i="1"/>
  <c r="J19" i="1"/>
  <c r="C26" i="4"/>
  <c r="J35" i="1"/>
  <c r="C7" i="4"/>
  <c r="C6" i="4"/>
  <c r="J30" i="1"/>
  <c r="C13" i="4"/>
  <c r="J20" i="1"/>
  <c r="J22" i="1"/>
  <c r="J6" i="1"/>
  <c r="C9" i="4"/>
  <c r="J33" i="1"/>
  <c r="J29" i="1"/>
  <c r="J38" i="1"/>
  <c r="J26" i="1"/>
  <c r="J37" i="1"/>
  <c r="C5" i="4"/>
  <c r="C29" i="4"/>
  <c r="C28" i="4"/>
  <c r="C11" i="4"/>
  <c r="J15" i="1"/>
  <c r="J27" i="1"/>
  <c r="J7" i="1"/>
  <c r="J14" i="1"/>
  <c r="J5" i="1"/>
  <c r="C21" i="4"/>
  <c r="C15" i="4"/>
  <c r="C23" i="4"/>
  <c r="C19" i="4"/>
  <c r="C25" i="4"/>
  <c r="C18" i="4"/>
  <c r="J8" i="1"/>
  <c r="AJ3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<sst xmlns="http://schemas.openxmlformats.org/spreadsheetml/2006/main" count="140" uniqueCount="119">
  <si>
    <t xml:space="preserve"> </t>
    <phoneticPr fontId="2" type="noConversion"/>
  </si>
  <si>
    <t>열1</t>
  </si>
  <si>
    <t>열2</t>
  </si>
  <si>
    <t>열3</t>
  </si>
  <si>
    <t>열4</t>
  </si>
  <si>
    <t>열5</t>
  </si>
  <si>
    <t>열6</t>
  </si>
  <si>
    <t>열7</t>
  </si>
  <si>
    <t>열8</t>
    <phoneticPr fontId="2" type="noConversion"/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</si>
  <si>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</si>
  <si>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</si>
  <si>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</si>
  <si>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</si>
  <si>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</si>
  <si>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</si>
  <si>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</si>
  <si>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누적금액</t>
    <phoneticPr fontId="2" type="noConversion"/>
  </si>
  <si>
    <t>금화감소후</t>
    <phoneticPr fontId="2" type="noConversion"/>
  </si>
  <si>
    <t>회심타</t>
    <phoneticPr fontId="2" type="noConversion"/>
  </si>
  <si>
    <t>공격력</t>
  </si>
  <si>
    <t>52C_4만육성</t>
  </si>
  <si>
    <t>진행율</t>
    <phoneticPr fontId="2" type="noConversion"/>
  </si>
  <si>
    <t>생명력</t>
  </si>
  <si>
    <t>공격력</t>
    <phoneticPr fontId="2" type="noConversion"/>
  </si>
  <si>
    <t>회심타확률</t>
  </si>
  <si>
    <t>51C</t>
  </si>
  <si>
    <t>125c</t>
    <phoneticPr fontId="2" type="noConversion"/>
  </si>
  <si>
    <t>62c</t>
    <phoneticPr fontId="2" type="noConversion"/>
  </si>
  <si>
    <t>회심타데미지</t>
  </si>
  <si>
    <t>110C</t>
  </si>
  <si>
    <t>272c</t>
    <phoneticPr fontId="2" type="noConversion"/>
  </si>
  <si>
    <t>136c</t>
    <phoneticPr fontId="2" type="noConversion"/>
  </si>
  <si>
    <t>한번업글가격</t>
    <phoneticPr fontId="2" type="noConversion"/>
  </si>
  <si>
    <t>50b</t>
    <phoneticPr fontId="2" type="noConversion"/>
  </si>
  <si>
    <t>100b</t>
    <phoneticPr fontId="2" type="noConversion"/>
  </si>
  <si>
    <t>150b</t>
    <phoneticPr fontId="2" type="noConversion"/>
  </si>
  <si>
    <t>200b</t>
    <phoneticPr fontId="2" type="noConversion"/>
  </si>
  <si>
    <t>250b</t>
    <phoneticPr fontId="2" type="noConversion"/>
  </si>
  <si>
    <t>절멸타확률</t>
  </si>
  <si>
    <t>300C</t>
  </si>
  <si>
    <t>376c</t>
    <phoneticPr fontId="2" type="noConversion"/>
  </si>
  <si>
    <t>188c</t>
    <phoneticPr fontId="2" type="noConversion"/>
  </si>
  <si>
    <t>데미지</t>
    <phoneticPr fontId="2" type="noConversion"/>
  </si>
  <si>
    <t>절멸타데미지</t>
  </si>
  <si>
    <t>600C</t>
  </si>
  <si>
    <t>810c</t>
    <phoneticPr fontId="2" type="noConversion"/>
  </si>
  <si>
    <t>405c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</si>
  <si>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</si>
  <si>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</si>
  <si>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</si>
  <si>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</si>
  <si>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110b</t>
    <phoneticPr fontId="2" type="noConversion"/>
  </si>
  <si>
    <t>절멸타</t>
    <phoneticPr fontId="2" type="noConversion"/>
  </si>
  <si>
    <t>횟수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</si>
  <si>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</si>
  <si>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</si>
  <si>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</si>
  <si>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</si>
  <si>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</si>
  <si>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1A   100만</t>
  </si>
  <si>
    <t>10A   1000만</t>
  </si>
  <si>
    <t>합공식</t>
    <phoneticPr fontId="2" type="noConversion"/>
  </si>
  <si>
    <t>n=</t>
    <phoneticPr fontId="2" type="noConversion"/>
  </si>
  <si>
    <t>100A   1억</t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</si>
  <si>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</si>
  <si>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</si>
  <si>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</si>
  <si>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</si>
  <si>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</si>
  <si>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1B   10억</t>
  </si>
  <si>
    <t>10B   100억</t>
  </si>
  <si>
    <t>100B   1000억</t>
  </si>
  <si>
    <t>1C   1조</t>
  </si>
  <si>
    <t>10C   10조</t>
  </si>
  <si>
    <t>100C   100조</t>
  </si>
  <si>
    <t>랭킹</t>
    <phoneticPr fontId="2" type="noConversion"/>
  </si>
  <si>
    <t>스테이지</t>
    <phoneticPr fontId="2" type="noConversion"/>
  </si>
  <si>
    <t>20시간</t>
    <phoneticPr fontId="2" type="noConversion"/>
  </si>
  <si>
    <t>노다지5</t>
    <phoneticPr fontId="2" type="noConversion"/>
  </si>
  <si>
    <t>하루 총금화</t>
    <phoneticPr fontId="2" type="noConversion"/>
  </si>
  <si>
    <t>골드증강량</t>
    <phoneticPr fontId="2" type="noConversion"/>
  </si>
  <si>
    <t>강화석소탕</t>
    <phoneticPr fontId="2" type="noConversion"/>
  </si>
  <si>
    <t>강화석증강량</t>
    <phoneticPr fontId="2" type="noConversion"/>
  </si>
  <si>
    <t>950b</t>
    <phoneticPr fontId="2" type="noConversion"/>
  </si>
  <si>
    <t>67b</t>
    <phoneticPr fontId="2" type="noConversion"/>
  </si>
  <si>
    <t>11a</t>
    <phoneticPr fontId="2" type="noConversion"/>
  </si>
  <si>
    <t>흑천검</t>
    <phoneticPr fontId="2" type="noConversion"/>
  </si>
  <si>
    <t>신화</t>
    <phoneticPr fontId="2" type="noConversion"/>
  </si>
  <si>
    <t>전설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</si>
  <si>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</si>
  <si>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</si>
  <si>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</si>
  <si>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</si>
  <si>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열9</t>
  </si>
  <si>
    <t>열10</t>
    <phoneticPr fontId="2" type="noConversion"/>
  </si>
  <si>
    <t>열11</t>
  </si>
  <si>
    <t>열12</t>
  </si>
  <si>
    <t>씨앗</t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</si>
  <si>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</si>
  <si>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</si>
  <si>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</si>
  <si>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</si>
  <si>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</si>
  <si>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</si>
  <si>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</si>
  <si>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</si>
  <si>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</si>
  <si>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</si>
  <si>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</si>
  <si>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</si>
  <si>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</si>
  <si>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</si>
  <si>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</si>
  <si>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</si>
  <si>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</si>
  <si>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</si>
  <si>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</si>
  <si>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열13</t>
  </si>
  <si>
    <t>육성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</si>
</sst>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0.00000E+00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4" tint="-0.249977111117893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1" fontId="0" fillId="0" borderId="0" xfId="0" applyNumberForma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0" fillId="0" borderId="0" xfId="1" applyNumberFormat="1" applyFont="1">
      <alignment vertical="center"/>
    </xf>
    <xf numFmtId="0" fontId="0" fillId="2" borderId="0" xfId="1" applyNumberFormat="1" applyFont="1" applyFill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>
      <alignment vertical="center"/>
    </xf>
    <xf numFmtId="0" fontId="0" fillId="3" borderId="5" xfId="0" applyFill="1" applyBorder="1">
      <alignment vertical="center"/>
    </xf>
    <xf numFmtId="9" fontId="0" fillId="3" borderId="2" xfId="2" applyFont="1" applyFill="1" applyBorder="1">
      <alignment vertical="center"/>
    </xf>
    <xf numFmtId="9" fontId="0" fillId="3" borderId="3" xfId="2" applyFont="1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9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3" fillId="0" borderId="0" xfId="0" applyFont="1" applyAlignment="1">
      <alignment horizontal="center" vertical="center" wrapText="1"/>
    </xf>
    <xf numFmtId="0" fontId="0" fillId="3" borderId="4" xfId="2" applyNumberFormat="1" applyFont="1" applyFill="1" applyBorder="1" applyAlignment="1">
      <alignment horizontal="center" vertical="center"/>
    </xf>
    <xf numFmtId="0" fontId="0" fillId="3" borderId="0" xfId="2" applyNumberFormat="1" applyFont="1" applyFill="1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9" fontId="0" fillId="3" borderId="8" xfId="0" applyNumberFormat="1" applyFill="1" applyBorder="1" applyAlignment="1">
      <alignment horizontal="center" vertical="center"/>
    </xf>
    <xf numFmtId="9" fontId="0" fillId="0" borderId="0" xfId="2" applyFont="1">
      <alignment vertical="center"/>
    </xf>
    <xf numFmtId="176" fontId="0" fillId="0" borderId="0" xfId="0" applyNumberFormat="1">
      <alignment vertical="center"/>
    </xf>
    <xf numFmtId="0" fontId="4" fillId="4" borderId="0" xfId="0" applyFont="1" applyFill="1">
      <alignment vertical="center"/>
    </xf>
    <xf numFmtId="0" fontId="4" fillId="0" borderId="0" xfId="0" applyFont="1">
      <alignment vertical="center"/>
    </xf>
    <xf numFmtId="1" fontId="0" fillId="2" borderId="0" xfId="0" applyNumberForma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2" borderId="0" xfId="0" applyNumberFormat="1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charset val="129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449F5D-F182-47E9-BE0C-38CB3EC997B3}" name="표1" displayName="표1" ref="A4:M45" totalsRowShown="0">
  <autoFilter ref="A4:M45" xr:uid="{9E449F5D-F182-47E9-BE0C-38CB3EC997B3}"/>
  <tableColumns count="13">
    <tableColumn id="1" xr3:uid="{9F96ACF2-B1BC-4A20-ACBE-4EDDD5768C14}" name="열1"/>
    <tableColumn id="2" xr3:uid="{61D98239-E78A-4FE4-9E74-82D42BBBB4AD}" name="열2"/>
    <tableColumn id="3" xr3:uid="{80D76171-BF5D-4BBC-B940-EFAB2B69AB29}" name="열3"/>
    <tableColumn id="4" xr3:uid="{C946801F-2311-4E73-92D7-1C8E544F79EE}" name="열4"/>
    <tableColumn id="5" xr3:uid="{685CE2F5-C328-432B-ABA6-D2B52F27C194}" name="열5"/>
    <tableColumn id="6" xr3:uid="{D6A0A83C-0B50-4712-83C2-369B1FD2DEFC}" name="열6" dataDxfId="3" dataCellStyle="쉼표 [0]"/>
    <tableColumn id="7" xr3:uid="{90B8099A-7234-471E-ACD4-63E8C7CD2F72}" name="열7"/>
    <tableColumn id="8" xr3:uid="{3B5AF8AE-3C8D-4D61-8DDD-D235F408D8FC}" name="열8" dataDxfId="2">
      <calculatedColumnFormula>표1[[#This Row],[열6]]*표1[[#This Row],[열7]]</calculatedColumnFormula>
    </tableColumn>
    <tableColumn id="9" xr3:uid="{DCDF0486-89CF-4331-93B1-0C4A94143E4A}" name="열9" dataDxfId="6">
      <calculatedColumnFormula>표1[[#This Row],[열7]]/표1[[#This Row],[열6]]</calculatedColumnFormula>
    </tableColumn>
    <tableColumn id="10" xr3:uid="{6AB0DD7E-3E66-4185-B3CA-96F28F28A8EC}" name="열10" dataDxfId="5">
      <calculatedColumnFormula>표1[[#This Row],[열8]]/10^7</calculatedColumnFormula>
    </tableColumn>
    <tableColumn id="11" xr3:uid="{2F4F2370-4561-42E5-8545-CEDBB14DF132}" name="열11" dataDxfId="4"/>
    <tableColumn id="12" xr3:uid="{4F4C7107-8DC1-4066-97E2-731F306AF89F}" name="열12" dataDxfId="1"/>
    <tableColumn id="13" xr3:uid="{4F738991-B9EA-45D7-BA44-A53C775E7169}" name="열13" dataDxfId="0">
      <calculatedColumnFormula>표1[[#This Row],[열8]]/10^7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B4E2-D06B-41E2-9ABD-33139C34C77C}">
  <dimension ref="A1:P45"/>
  <sheetViews>
    <sheetView workbookViewId="0">
      <selection activeCell="F8" sqref="F8"/>
    </sheetView>
  </sheetViews>
  <sheetFormatPr defaultRowHeight="16.5" x14ac:dyDescent="0.3"/>
  <cols>
    <col min="5" max="5" width="12.75" bestFit="1" customWidth="1"/>
    <col min="6" max="6" width="8.125" customWidth="1"/>
    <col min="7" max="7" width="9.375" customWidth="1"/>
    <col min="8" max="8" width="8.125" customWidth="1"/>
    <col min="10" max="10" width="12.125" bestFit="1" customWidth="1"/>
  </cols>
  <sheetData>
    <row r="1" spans="1:16" x14ac:dyDescent="0.3">
      <c r="H1">
        <v>20</v>
      </c>
      <c r="I1">
        <v>40</v>
      </c>
      <c r="J1">
        <v>50</v>
      </c>
      <c r="K1">
        <v>60</v>
      </c>
    </row>
    <row r="2" spans="1:16" x14ac:dyDescent="0.3">
      <c r="G2">
        <v>100</v>
      </c>
      <c r="H2">
        <f>G2*0.8</f>
        <v>80</v>
      </c>
      <c r="I2">
        <f>G2*0.6</f>
        <v>60</v>
      </c>
      <c r="J2">
        <v>50</v>
      </c>
      <c r="K2">
        <f>G2*0.4</f>
        <v>40</v>
      </c>
    </row>
    <row r="3" spans="1:16" x14ac:dyDescent="0.3">
      <c r="G3">
        <v>70</v>
      </c>
      <c r="H3">
        <f>G3*0.8</f>
        <v>56</v>
      </c>
      <c r="I3">
        <f>G3*0.6</f>
        <v>42</v>
      </c>
      <c r="J3">
        <v>35</v>
      </c>
      <c r="K3">
        <f>G3*0.4</f>
        <v>28</v>
      </c>
    </row>
    <row r="4" spans="1:16" x14ac:dyDescent="0.3">
      <c r="A4" t="s">
        <v>1</v>
      </c>
      <c r="B4" t="s">
        <v>2</v>
      </c>
      <c r="C4" t="s">
        <v>3</v>
      </c>
      <c r="D4" s="1" t="s">
        <v>4</v>
      </c>
      <c r="E4" t="s">
        <v>5</v>
      </c>
      <c r="F4" s="4" t="s">
        <v>6</v>
      </c>
      <c r="G4" t="s">
        <v>7</v>
      </c>
      <c r="H4" t="s">
        <v>8</v>
      </c>
      <c r="I4" t="s">
        <v>93</v>
      </c>
      <c r="J4" t="s">
        <v>94</v>
      </c>
      <c r="K4" t="s">
        <v>95</v>
      </c>
      <c r="L4" t="s">
        <v>96</v>
      </c>
      <c r="M4" t="s">
        <v>117</v>
      </c>
    </row>
    <row r="5" spans="1:16" x14ac:dyDescent="0.3">
      <c r="A5">
        <v>300</v>
      </c>
      <c r="B5">
        <v>638</v>
      </c>
      <c r="C5">
        <v>389</v>
      </c>
      <c r="D5" s="1">
        <v>379048</v>
      </c>
      <c r="E5" t="e" cm="1">
        <f t="array" aca="1" ref="E5" ca="1">INDIRECT("'[상승값.xlsx]상승'!E" &amp; A5)</f>
        <v>#REF!</v>
      </c>
      <c r="F5" s="4" t="e">
        <f ca="1">E5-E3</f>
        <v>#REF!</v>
      </c>
      <c r="G5">
        <v>0.8</v>
      </c>
      <c r="H5" t="e">
        <f ca="1">표1[[#This Row],[열6]]*표1[[#This Row],[열7]]</f>
        <v>#REF!</v>
      </c>
      <c r="I5">
        <v>0.7</v>
      </c>
      <c r="J5" s="1" t="e">
        <f ca="1">표1[[#This Row],[열8]]/10^7</f>
        <v>#REF!</v>
      </c>
      <c r="L5" s="35">
        <v>300</v>
      </c>
      <c r="M5" s="35"/>
      <c r="O5" s="30">
        <v>300</v>
      </c>
      <c r="P5" s="30">
        <v>29771225.600000001</v>
      </c>
    </row>
    <row r="6" spans="1:16" x14ac:dyDescent="0.3">
      <c r="A6">
        <v>700</v>
      </c>
      <c r="B6">
        <v>1238</v>
      </c>
      <c r="C6">
        <v>1089</v>
      </c>
      <c r="D6" s="1">
        <v>1537782</v>
      </c>
      <c r="E6" t="e" cm="1">
        <f t="array" aca="1" ref="E6" ca="1">INDIRECT("'[상승값.xlsx]상승'!E" &amp; A6)</f>
        <v>#REF!</v>
      </c>
      <c r="F6" s="4" t="e">
        <f t="shared" ref="F6:F44" ca="1" si="0">E6-E5</f>
        <v>#REF!</v>
      </c>
      <c r="G6">
        <v>0.8</v>
      </c>
      <c r="H6" t="e">
        <f ca="1">표1[[#This Row],[열6]]*표1[[#This Row],[열7]]</f>
        <v>#REF!</v>
      </c>
      <c r="I6">
        <v>0.7</v>
      </c>
      <c r="J6" s="1" t="e">
        <f ca="1">표1[[#This Row],[열8]]/10^7</f>
        <v>#REF!</v>
      </c>
      <c r="K6">
        <v>300</v>
      </c>
      <c r="L6" s="35">
        <v>700</v>
      </c>
      <c r="M6" s="35" t="e">
        <f ca="1">표1[[#This Row],[열8]]/10^7</f>
        <v>#REF!</v>
      </c>
      <c r="O6" s="31">
        <v>700</v>
      </c>
      <c r="P6" s="31">
        <v>358560408.80000001</v>
      </c>
    </row>
    <row r="7" spans="1:16" x14ac:dyDescent="0.3">
      <c r="A7">
        <v>1000</v>
      </c>
      <c r="E7" t="e" cm="1">
        <f t="array" aca="1" ref="E7" ca="1">INDIRECT("'[상승값.xlsx]상승'!E" &amp; A7)</f>
        <v>#REF!</v>
      </c>
      <c r="F7" s="4" t="e">
        <f ca="1">E7-E6</f>
        <v>#REF!</v>
      </c>
      <c r="G7">
        <v>0.8</v>
      </c>
      <c r="H7" t="e">
        <f ca="1">표1[[#This Row],[열6]]*표1[[#This Row],[열7]]</f>
        <v>#REF!</v>
      </c>
      <c r="I7">
        <v>0.7</v>
      </c>
      <c r="J7" s="1" t="e">
        <f ca="1">표1[[#This Row],[열8]]/10^7</f>
        <v>#REF!</v>
      </c>
      <c r="K7">
        <v>600</v>
      </c>
      <c r="L7" s="35"/>
      <c r="M7" s="35" t="e">
        <f ca="1">표1[[#This Row],[열8]]/10^7</f>
        <v>#REF!</v>
      </c>
      <c r="O7" s="30">
        <v>1000</v>
      </c>
      <c r="P7" s="30">
        <v>750734973.60000002</v>
      </c>
    </row>
    <row r="8" spans="1:16" x14ac:dyDescent="0.3">
      <c r="A8">
        <v>1700</v>
      </c>
      <c r="B8">
        <v>2038</v>
      </c>
      <c r="C8">
        <v>2536</v>
      </c>
      <c r="D8" s="1">
        <v>4296093</v>
      </c>
      <c r="E8" t="e" cm="1">
        <f t="array" aca="1" ref="E8" ca="1">INDIRECT("'[상승값.xlsx]상승'!E" &amp; A8)</f>
        <v>#REF!</v>
      </c>
      <c r="F8" s="4" t="e">
        <f t="shared" ca="1" si="0"/>
        <v>#REF!</v>
      </c>
      <c r="G8">
        <v>0.8</v>
      </c>
      <c r="H8" t="e">
        <f ca="1">표1[[#This Row],[열6]]*표1[[#This Row],[열7]]</f>
        <v>#REF!</v>
      </c>
      <c r="I8">
        <v>0.88</v>
      </c>
      <c r="J8" s="32" t="e">
        <f ca="1">표1[[#This Row],[열8]]/10^7</f>
        <v>#REF!</v>
      </c>
      <c r="K8" s="33">
        <v>1000</v>
      </c>
      <c r="L8" s="35">
        <v>1700</v>
      </c>
      <c r="M8" s="35" t="e">
        <f ca="1">표1[[#This Row],[열8]]/10^7</f>
        <v>#REF!</v>
      </c>
      <c r="O8" s="31">
        <v>1700</v>
      </c>
      <c r="P8" s="31">
        <v>4490208271.1999998</v>
      </c>
    </row>
    <row r="9" spans="1:16" x14ac:dyDescent="0.3">
      <c r="A9">
        <v>2000</v>
      </c>
      <c r="B9">
        <v>3038</v>
      </c>
      <c r="C9">
        <v>5286</v>
      </c>
      <c r="D9" s="1">
        <v>9693982</v>
      </c>
      <c r="E9" t="e" cm="1">
        <f t="array" aca="1" ref="E9" ca="1">INDIRECT("'[상승값.xlsx]상승'!E" &amp; A9)</f>
        <v>#REF!</v>
      </c>
      <c r="F9" s="5" t="e">
        <f ca="1">E9-E8</f>
        <v>#REF!</v>
      </c>
      <c r="G9">
        <v>0.8</v>
      </c>
      <c r="H9" t="e">
        <f ca="1">표1[[#This Row],[열6]]*표1[[#This Row],[열7]]</f>
        <v>#REF!</v>
      </c>
      <c r="I9">
        <v>0.88</v>
      </c>
      <c r="J9" s="1" t="e">
        <f ca="1">표1[[#This Row],[열8]]/10^7</f>
        <v>#REF!</v>
      </c>
      <c r="K9">
        <v>1500</v>
      </c>
      <c r="L9" s="35"/>
      <c r="M9" s="36" t="e">
        <f ca="1">표1[[#This Row],[열8]]/10^7</f>
        <v>#REF!</v>
      </c>
      <c r="O9" s="30">
        <v>2000</v>
      </c>
      <c r="P9" s="30">
        <v>3548681640</v>
      </c>
    </row>
    <row r="10" spans="1:16" x14ac:dyDescent="0.3">
      <c r="A10">
        <v>2700</v>
      </c>
      <c r="E10" t="e" cm="1">
        <f t="array" aca="1" ref="E10" ca="1">INDIRECT("'[상승값.xlsx]상승'!E" &amp; A10)</f>
        <v>#REF!</v>
      </c>
      <c r="F10" s="4" t="e">
        <f t="shared" ca="1" si="0"/>
        <v>#REF!</v>
      </c>
      <c r="G10">
        <v>0.7</v>
      </c>
      <c r="H10" t="e">
        <f ca="1">표1[[#This Row],[열6]]*표1[[#This Row],[열7]]</f>
        <v>#REF!</v>
      </c>
      <c r="I10">
        <v>0.87999999999999989</v>
      </c>
      <c r="J10" s="1" t="e">
        <f ca="1">표1[[#This Row],[열8]]/10^7</f>
        <v>#REF!</v>
      </c>
      <c r="K10">
        <v>2000</v>
      </c>
      <c r="L10" s="35">
        <v>2700</v>
      </c>
      <c r="M10" s="35" t="e">
        <f ca="1">표1[[#This Row],[열8]]/10^7</f>
        <v>#REF!</v>
      </c>
      <c r="O10" s="31">
        <v>2700</v>
      </c>
      <c r="P10" s="31">
        <v>11764740015</v>
      </c>
    </row>
    <row r="11" spans="1:16" x14ac:dyDescent="0.3">
      <c r="A11">
        <v>3000</v>
      </c>
      <c r="E11" t="e" cm="1">
        <f t="array" aca="1" ref="E11" ca="1">INDIRECT("'[상승값.xlsx]상승'!E" &amp; A11)</f>
        <v>#REF!</v>
      </c>
      <c r="F11" s="4" t="e">
        <f ca="1">E11-E10</f>
        <v>#REF!</v>
      </c>
      <c r="G11">
        <v>0.6</v>
      </c>
      <c r="H11" t="e">
        <f ca="1">표1[[#This Row],[열6]]*표1[[#This Row],[열7]]</f>
        <v>#REF!</v>
      </c>
      <c r="I11">
        <v>0.8</v>
      </c>
      <c r="J11" s="1" t="e">
        <f ca="1">표1[[#This Row],[열8]]/10^7</f>
        <v>#REF!</v>
      </c>
      <c r="K11">
        <v>2500</v>
      </c>
      <c r="L11" s="35">
        <v>3000</v>
      </c>
      <c r="M11" s="35" t="e">
        <f ca="1">표1[[#This Row],[열8]]/10^7</f>
        <v>#REF!</v>
      </c>
      <c r="O11" s="30">
        <v>3000</v>
      </c>
      <c r="P11" s="30">
        <v>6319971229.8000002</v>
      </c>
    </row>
    <row r="12" spans="1:16" x14ac:dyDescent="0.3">
      <c r="A12">
        <v>3700</v>
      </c>
      <c r="E12" t="e" cm="1">
        <f t="array" aca="1" ref="E12" ca="1">INDIRECT("'[상승값.xlsx]상승'!E" &amp; A12)</f>
        <v>#REF!</v>
      </c>
      <c r="F12" s="4" t="e">
        <f t="shared" ca="1" si="0"/>
        <v>#REF!</v>
      </c>
      <c r="G12">
        <v>0.6</v>
      </c>
      <c r="H12" t="e">
        <f ca="1">표1[[#This Row],[열6]]*표1[[#This Row],[열7]]</f>
        <v>#REF!</v>
      </c>
      <c r="I12">
        <v>0.80000000000000016</v>
      </c>
      <c r="J12" s="32" t="e">
        <f ca="1">표1[[#This Row],[열8]]/10^7</f>
        <v>#REF!</v>
      </c>
      <c r="K12" s="33">
        <v>3000</v>
      </c>
      <c r="L12" s="35">
        <v>3700</v>
      </c>
      <c r="M12" s="35" t="e">
        <f ca="1">표1[[#This Row],[열8]]/10^7</f>
        <v>#REF!</v>
      </c>
      <c r="O12" s="31">
        <v>3700</v>
      </c>
      <c r="P12" s="31">
        <v>20440469536.799999</v>
      </c>
    </row>
    <row r="13" spans="1:16" x14ac:dyDescent="0.3">
      <c r="A13">
        <v>4000</v>
      </c>
      <c r="E13" t="e" cm="1">
        <f t="array" aca="1" ref="E13" ca="1">INDIRECT("'[상승값.xlsx]상승'!E" &amp; A13)</f>
        <v>#REF!</v>
      </c>
      <c r="F13" s="4" t="e">
        <f ca="1">E13-E12</f>
        <v>#REF!</v>
      </c>
      <c r="G13">
        <v>0.6</v>
      </c>
      <c r="H13" t="e">
        <f ca="1">표1[[#This Row],[열6]]*표1[[#This Row],[열7]]</f>
        <v>#REF!</v>
      </c>
      <c r="I13">
        <v>0.8</v>
      </c>
      <c r="J13" s="1" t="e">
        <f ca="1">표1[[#This Row],[열8]]/10^7</f>
        <v>#REF!</v>
      </c>
      <c r="K13">
        <v>3500</v>
      </c>
      <c r="L13" s="35">
        <v>4000</v>
      </c>
      <c r="M13" s="36" t="e">
        <f ca="1">표1[[#This Row],[열8]]/10^7</f>
        <v>#REF!</v>
      </c>
      <c r="O13" s="30">
        <v>4000</v>
      </c>
      <c r="P13" s="30">
        <v>11538431229.6</v>
      </c>
    </row>
    <row r="14" spans="1:16" x14ac:dyDescent="0.3">
      <c r="A14">
        <v>4700</v>
      </c>
      <c r="E14" t="e" cm="1">
        <f t="array" aca="1" ref="E14" ca="1">INDIRECT("'[상승값.xlsx]상승'!E" &amp; A14)</f>
        <v>#REF!</v>
      </c>
      <c r="F14" s="4" t="e">
        <f t="shared" ca="1" si="0"/>
        <v>#REF!</v>
      </c>
      <c r="G14">
        <v>0.6</v>
      </c>
      <c r="H14" t="e">
        <f ca="1">표1[[#This Row],[열6]]*표1[[#This Row],[열7]]</f>
        <v>#REF!</v>
      </c>
      <c r="I14">
        <v>0.8</v>
      </c>
      <c r="J14" s="1" t="e">
        <f ca="1">표1[[#This Row],[열8]]/10^7</f>
        <v>#REF!</v>
      </c>
      <c r="K14">
        <v>4000</v>
      </c>
      <c r="L14" s="35">
        <v>4700</v>
      </c>
      <c r="M14" s="35" t="e">
        <f ca="1">표1[[#This Row],[열8]]/10^7</f>
        <v>#REF!</v>
      </c>
      <c r="O14" s="31">
        <v>4700</v>
      </c>
      <c r="P14" s="31">
        <v>34436876203.799995</v>
      </c>
    </row>
    <row r="15" spans="1:16" x14ac:dyDescent="0.3">
      <c r="A15">
        <v>5000</v>
      </c>
      <c r="E15" t="e" cm="1">
        <f t="array" aca="1" ref="E15" ca="1">INDIRECT("'[상승값.xlsx]상승'!E" &amp; A15)</f>
        <v>#REF!</v>
      </c>
      <c r="F15" s="4" t="e">
        <f ca="1">E15-E14</f>
        <v>#REF!</v>
      </c>
      <c r="G15">
        <v>0.6</v>
      </c>
      <c r="H15" t="e">
        <f ca="1">표1[[#This Row],[열6]]*표1[[#This Row],[열7]]</f>
        <v>#REF!</v>
      </c>
      <c r="I15">
        <v>0.8</v>
      </c>
      <c r="J15" s="1" t="e">
        <f ca="1">표1[[#This Row],[열8]]/10^7</f>
        <v>#REF!</v>
      </c>
      <c r="K15">
        <v>4500</v>
      </c>
      <c r="L15" s="35">
        <v>5000</v>
      </c>
      <c r="M15" s="35" t="e">
        <f ca="1">표1[[#This Row],[열8]]/10^7</f>
        <v>#REF!</v>
      </c>
      <c r="O15" s="30">
        <v>5000</v>
      </c>
      <c r="P15" s="30">
        <v>18316891229.399998</v>
      </c>
    </row>
    <row r="16" spans="1:16" x14ac:dyDescent="0.3">
      <c r="A16">
        <v>5700</v>
      </c>
      <c r="E16" t="e" cm="1">
        <f t="array" aca="1" ref="E16" ca="1">INDIRECT("'[상승값.xlsx]상승'!E" &amp; A16)</f>
        <v>#REF!</v>
      </c>
      <c r="F16" s="4" t="e">
        <f t="shared" ca="1" si="0"/>
        <v>#REF!</v>
      </c>
      <c r="G16">
        <v>0.6</v>
      </c>
      <c r="H16" t="e">
        <f ca="1">표1[[#This Row],[열6]]*표1[[#This Row],[열7]]</f>
        <v>#REF!</v>
      </c>
      <c r="I16">
        <v>0.80000000000000016</v>
      </c>
      <c r="J16" s="32" t="e">
        <f ca="1">표1[[#This Row],[열8]]/10^7</f>
        <v>#REF!</v>
      </c>
      <c r="K16" s="33">
        <v>5000</v>
      </c>
      <c r="L16" s="35">
        <v>5700</v>
      </c>
      <c r="M16" s="35" t="e">
        <f ca="1">표1[[#This Row],[열8]]/10^7</f>
        <v>#REF!</v>
      </c>
      <c r="O16" s="31">
        <v>5700</v>
      </c>
      <c r="P16" s="31">
        <v>52073282870.400002</v>
      </c>
    </row>
    <row r="17" spans="1:16" x14ac:dyDescent="0.3">
      <c r="A17">
        <v>6000</v>
      </c>
      <c r="E17" t="e" cm="1">
        <f t="array" aca="1" ref="E17" ca="1">INDIRECT("'[상승값.xlsx]상승'!E" &amp; A17)</f>
        <v>#REF!</v>
      </c>
      <c r="F17" s="4" t="e">
        <f ca="1">E17-E16</f>
        <v>#REF!</v>
      </c>
      <c r="G17">
        <v>0.6</v>
      </c>
      <c r="H17" t="e">
        <f ca="1">표1[[#This Row],[열6]]*표1[[#This Row],[열7]]</f>
        <v>#REF!</v>
      </c>
      <c r="I17">
        <v>0.8</v>
      </c>
      <c r="J17" s="1" t="e">
        <f ca="1">표1[[#This Row],[열8]]/10^7</f>
        <v>#REF!</v>
      </c>
      <c r="K17">
        <v>5500</v>
      </c>
      <c r="L17" s="35">
        <v>6000</v>
      </c>
      <c r="M17" s="36" t="e">
        <f ca="1">표1[[#This Row],[열8]]/10^7</f>
        <v>#REF!</v>
      </c>
      <c r="O17" s="30">
        <v>6000</v>
      </c>
      <c r="P17" s="30">
        <v>26655351229.799999</v>
      </c>
    </row>
    <row r="18" spans="1:16" x14ac:dyDescent="0.3">
      <c r="A18">
        <v>6700</v>
      </c>
      <c r="E18" t="e" cm="1">
        <f t="array" aca="1" ref="E18" ca="1">INDIRECT("'[상승값.xlsx]상승'!E" &amp; A18)</f>
        <v>#REF!</v>
      </c>
      <c r="F18" s="4" t="e">
        <f t="shared" ca="1" si="0"/>
        <v>#REF!</v>
      </c>
      <c r="G18">
        <v>0.55000000000000004</v>
      </c>
      <c r="H18" t="e">
        <f ca="1">표1[[#This Row],[열6]]*표1[[#This Row],[열7]]</f>
        <v>#REF!</v>
      </c>
      <c r="I18">
        <v>0.8</v>
      </c>
      <c r="J18" s="1" t="e">
        <f ca="1">표1[[#This Row],[열8]]/10^7</f>
        <v>#REF!</v>
      </c>
      <c r="K18">
        <v>6000</v>
      </c>
      <c r="L18" s="35">
        <v>6700</v>
      </c>
      <c r="M18" s="35" t="e">
        <f ca="1">표1[[#This Row],[열8]]/10^7</f>
        <v>#REF!</v>
      </c>
      <c r="O18" s="31">
        <v>6700</v>
      </c>
      <c r="P18" s="31">
        <v>67237215408.550003</v>
      </c>
    </row>
    <row r="19" spans="1:16" x14ac:dyDescent="0.3">
      <c r="A19">
        <v>7000</v>
      </c>
      <c r="E19" t="e" cm="1">
        <f t="array" aca="1" ref="E19" ca="1">INDIRECT("'[상승값.xlsx]상승'!E" &amp; A19)</f>
        <v>#REF!</v>
      </c>
      <c r="F19" s="4" t="e">
        <f t="shared" ca="1" si="0"/>
        <v>#REF!</v>
      </c>
      <c r="G19">
        <v>0.55000000000000004</v>
      </c>
      <c r="H19" t="e">
        <f ca="1">표1[[#This Row],[열6]]*표1[[#This Row],[열7]]</f>
        <v>#REF!</v>
      </c>
      <c r="I19">
        <v>0.6</v>
      </c>
      <c r="J19" s="1" t="e">
        <f ca="1">표1[[#This Row],[열8]]/10^7</f>
        <v>#REF!</v>
      </c>
      <c r="K19">
        <v>6500</v>
      </c>
      <c r="L19" s="35">
        <v>7000</v>
      </c>
      <c r="M19" s="35" t="e">
        <f ca="1">표1[[#This Row],[열8]]/10^7</f>
        <v>#REF!</v>
      </c>
      <c r="O19" s="30">
        <v>7000</v>
      </c>
      <c r="P19" s="30">
        <v>33507660294.350002</v>
      </c>
    </row>
    <row r="20" spans="1:16" x14ac:dyDescent="0.3">
      <c r="A20">
        <v>7700</v>
      </c>
      <c r="E20" t="e" cm="1">
        <f t="array" aca="1" ref="E20" ca="1">INDIRECT("'[상승값.xlsx]상승'!E" &amp; A20)</f>
        <v>#REF!</v>
      </c>
      <c r="F20" s="4" t="e">
        <f t="shared" ca="1" si="0"/>
        <v>#REF!</v>
      </c>
      <c r="G20">
        <v>0.55000000000000004</v>
      </c>
      <c r="H20" t="e">
        <f ca="1">표1[[#This Row],[열6]]*표1[[#This Row],[열7]]</f>
        <v>#REF!</v>
      </c>
      <c r="I20">
        <v>0.6</v>
      </c>
      <c r="J20" s="32" t="e">
        <f ca="1">표1[[#This Row],[열8]]/10^7</f>
        <v>#REF!</v>
      </c>
      <c r="K20" s="33">
        <v>7000</v>
      </c>
      <c r="L20" s="35">
        <v>7700</v>
      </c>
      <c r="M20" s="35" t="e">
        <f ca="1">표1[[#This Row],[열8]]/10^7</f>
        <v>#REF!</v>
      </c>
      <c r="O20" s="31">
        <v>7700</v>
      </c>
      <c r="P20" s="31">
        <v>90077254852.75</v>
      </c>
    </row>
    <row r="21" spans="1:16" x14ac:dyDescent="0.3">
      <c r="A21">
        <v>8000</v>
      </c>
      <c r="E21" t="e" cm="1">
        <f t="array" aca="1" ref="E21" ca="1">INDIRECT("'[상승값.xlsx]상승'!E" &amp; A21)</f>
        <v>#REF!</v>
      </c>
      <c r="F21" s="4" t="e">
        <f ca="1">E21-E20</f>
        <v>#REF!</v>
      </c>
      <c r="G21">
        <v>0.55000000000000004</v>
      </c>
      <c r="H21" t="e">
        <f ca="1">표1[[#This Row],[열6]]*표1[[#This Row],[열7]]</f>
        <v>#REF!</v>
      </c>
      <c r="I21">
        <v>0.6</v>
      </c>
      <c r="J21" s="1" t="e">
        <f ca="1">표1[[#This Row],[열8]]/10^7</f>
        <v>#REF!</v>
      </c>
      <c r="K21">
        <v>7500</v>
      </c>
      <c r="L21" s="35">
        <v>8000</v>
      </c>
      <c r="M21" s="36" t="e">
        <f ca="1">표1[[#This Row],[열8]]/10^7</f>
        <v>#REF!</v>
      </c>
      <c r="O21" s="30">
        <v>8000</v>
      </c>
      <c r="P21" s="30">
        <v>44011248628.050003</v>
      </c>
    </row>
    <row r="22" spans="1:16" x14ac:dyDescent="0.3">
      <c r="A22">
        <v>8700</v>
      </c>
      <c r="E22" t="e" cm="1">
        <f t="array" aca="1" ref="E22" ca="1">INDIRECT("'[상승값.xlsx]상승'!E" &amp; A22)</f>
        <v>#REF!</v>
      </c>
      <c r="F22" s="4" t="e">
        <f t="shared" ca="1" si="0"/>
        <v>#REF!</v>
      </c>
      <c r="G22">
        <v>0.55000000000000004</v>
      </c>
      <c r="H22" t="e">
        <f ca="1">표1[[#This Row],[열6]]*표1[[#This Row],[열7]]</f>
        <v>#REF!</v>
      </c>
      <c r="I22">
        <v>0.6</v>
      </c>
      <c r="J22" s="1" t="e">
        <f ca="1">표1[[#This Row],[열8]]/10^7</f>
        <v>#REF!</v>
      </c>
      <c r="K22">
        <v>8000</v>
      </c>
      <c r="L22" s="35">
        <v>8700</v>
      </c>
      <c r="M22" s="35" t="e">
        <f ca="1">표1[[#This Row],[열8]]/10^7</f>
        <v>#REF!</v>
      </c>
      <c r="O22" s="31">
        <v>8700</v>
      </c>
      <c r="P22" s="31">
        <v>116253960963.8</v>
      </c>
    </row>
    <row r="23" spans="1:16" x14ac:dyDescent="0.3">
      <c r="A23">
        <v>9000</v>
      </c>
      <c r="E23" t="e" cm="1">
        <f t="array" aca="1" ref="E23" ca="1">INDIRECT("'[상승값.xlsx]상승'!E" &amp; A23)</f>
        <v>#REF!</v>
      </c>
      <c r="F23" s="4" t="e">
        <f ca="1">E23-E22</f>
        <v>#REF!</v>
      </c>
      <c r="G23">
        <v>0.55000000000000004</v>
      </c>
      <c r="H23" t="e">
        <f ca="1">표1[[#This Row],[열6]]*표1[[#This Row],[열7]]</f>
        <v>#REF!</v>
      </c>
      <c r="I23">
        <v>0.6</v>
      </c>
      <c r="J23" s="1" t="e">
        <f ca="1">표1[[#This Row],[열8]]/10^7</f>
        <v>#REF!</v>
      </c>
      <c r="K23">
        <v>8500</v>
      </c>
      <c r="L23" s="35">
        <v>9000</v>
      </c>
      <c r="M23" s="35" t="e">
        <f ca="1">표1[[#This Row],[열8]]/10^7</f>
        <v>#REF!</v>
      </c>
      <c r="O23" s="30">
        <v>9000</v>
      </c>
      <c r="P23" s="30">
        <v>55944836961.200005</v>
      </c>
    </row>
    <row r="24" spans="1:16" x14ac:dyDescent="0.3">
      <c r="A24">
        <v>9700</v>
      </c>
      <c r="E24" t="e" cm="1">
        <f t="array" aca="1" ref="E24" ca="1">INDIRECT("'[상승값.xlsx]상승'!E" &amp; A24)</f>
        <v>#REF!</v>
      </c>
      <c r="F24" s="4" t="e">
        <f t="shared" ca="1" si="0"/>
        <v>#REF!</v>
      </c>
      <c r="G24">
        <v>0.5</v>
      </c>
      <c r="H24" t="e">
        <f ca="1">표1[[#This Row],[열6]]*표1[[#This Row],[열7]]</f>
        <v>#REF!</v>
      </c>
      <c r="I24">
        <v>0.6</v>
      </c>
      <c r="J24" s="32" t="e">
        <f ca="1">표1[[#This Row],[열8]]/10^7</f>
        <v>#REF!</v>
      </c>
      <c r="K24" s="33">
        <v>9000</v>
      </c>
      <c r="L24" s="35">
        <v>9700</v>
      </c>
      <c r="M24" s="35" t="e">
        <f ca="1">표1[[#This Row],[열8]]/10^7</f>
        <v>#REF!</v>
      </c>
      <c r="O24" s="31">
        <v>9700</v>
      </c>
      <c r="P24" s="31">
        <v>132515757947</v>
      </c>
    </row>
    <row r="25" spans="1:16" x14ac:dyDescent="0.3">
      <c r="A25">
        <v>10000</v>
      </c>
      <c r="E25" t="e" cm="1">
        <f t="array" aca="1" ref="E25" ca="1">INDIRECT("'[상승값.xlsx]상승'!E" &amp; A25)</f>
        <v>#REF!</v>
      </c>
      <c r="F25" s="4" t="e">
        <f ca="1">E25-E24</f>
        <v>#REF!</v>
      </c>
      <c r="G25">
        <v>0.5</v>
      </c>
      <c r="H25" t="e">
        <f ca="1">표1[[#This Row],[열6]]*표1[[#This Row],[열7]]</f>
        <v>#REF!</v>
      </c>
      <c r="I25">
        <v>0.55000000000000004</v>
      </c>
      <c r="J25" s="1" t="e">
        <f ca="1">표1[[#This Row],[열8]]/10^7</f>
        <v>#REF!</v>
      </c>
      <c r="K25">
        <v>9500</v>
      </c>
      <c r="L25" s="35">
        <v>10000</v>
      </c>
      <c r="M25" s="36" t="e">
        <f ca="1">표1[[#This Row],[열8]]/10^7</f>
        <v>#REF!</v>
      </c>
      <c r="O25" s="30">
        <v>10000</v>
      </c>
      <c r="P25" s="30">
        <v>63007659358.5</v>
      </c>
    </row>
    <row r="26" spans="1:16" x14ac:dyDescent="0.3">
      <c r="A26">
        <v>10700</v>
      </c>
      <c r="E26" t="e" cm="1">
        <f t="array" aca="1" ref="E26" ca="1">INDIRECT("'[상승값.xlsx]상승'!E" &amp; A26)</f>
        <v>#REF!</v>
      </c>
      <c r="F26" s="4" t="e">
        <f t="shared" ca="1" si="0"/>
        <v>#REF!</v>
      </c>
      <c r="G26">
        <v>0.5</v>
      </c>
      <c r="H26" t="e">
        <f ca="1">표1[[#This Row],[열6]]*표1[[#This Row],[열7]]</f>
        <v>#REF!</v>
      </c>
      <c r="I26">
        <v>0.55000000000000004</v>
      </c>
      <c r="J26" s="1" t="e">
        <f ca="1">표1[[#This Row],[열8]]/10^7</f>
        <v>#REF!</v>
      </c>
      <c r="K26">
        <v>10000</v>
      </c>
      <c r="L26" s="35">
        <v>10700</v>
      </c>
      <c r="M26" s="35" t="e">
        <f ca="1">표1[[#This Row],[열8]]/10^7</f>
        <v>#REF!</v>
      </c>
      <c r="O26" s="31">
        <v>10700</v>
      </c>
      <c r="P26" s="31">
        <v>162379430169.5</v>
      </c>
    </row>
    <row r="27" spans="1:16" x14ac:dyDescent="0.3">
      <c r="A27">
        <v>11000</v>
      </c>
      <c r="E27" t="e" cm="1">
        <f t="array" aca="1" ref="E27" ca="1">INDIRECT("'[상승값.xlsx]상승'!E" &amp; A27)</f>
        <v>#REF!</v>
      </c>
      <c r="F27" s="4" t="e">
        <f ca="1">E27-E26</f>
        <v>#REF!</v>
      </c>
      <c r="G27">
        <v>0.5</v>
      </c>
      <c r="H27" t="e">
        <f ca="1">표1[[#This Row],[열6]]*표1[[#This Row],[열7]]</f>
        <v>#REF!</v>
      </c>
      <c r="I27">
        <v>0.55000000000000004</v>
      </c>
      <c r="J27" s="1" t="e">
        <f ca="1">표1[[#This Row],[열8]]/10^7</f>
        <v>#REF!</v>
      </c>
      <c r="K27">
        <v>10500</v>
      </c>
      <c r="L27" s="35">
        <v>11000</v>
      </c>
      <c r="M27" s="35" t="e">
        <f ca="1">표1[[#This Row],[열8]]/10^7</f>
        <v>#REF!</v>
      </c>
      <c r="O27" s="30">
        <v>11000</v>
      </c>
      <c r="P27" s="30">
        <v>76456376025</v>
      </c>
    </row>
    <row r="28" spans="1:16" x14ac:dyDescent="0.3">
      <c r="A28">
        <v>11700</v>
      </c>
      <c r="E28" t="e" cm="1">
        <f t="array" aca="1" ref="E28" ca="1">INDIRECT("'[상승값.xlsx]상승'!E" &amp; A28)</f>
        <v>#REF!</v>
      </c>
      <c r="F28" s="4" t="e">
        <f t="shared" ca="1" si="0"/>
        <v>#REF!</v>
      </c>
      <c r="G28">
        <v>0.5</v>
      </c>
      <c r="H28" t="e">
        <f ca="1">표1[[#This Row],[열6]]*표1[[#This Row],[열7]]</f>
        <v>#REF!</v>
      </c>
      <c r="I28">
        <v>0.55000000000000004</v>
      </c>
      <c r="J28" s="32" t="e">
        <f ca="1">표1[[#This Row],[열8]]/10^7</f>
        <v>#REF!</v>
      </c>
      <c r="K28" s="33">
        <v>11000</v>
      </c>
      <c r="L28" s="35">
        <v>11700</v>
      </c>
      <c r="M28" s="35" t="e">
        <f ca="1">표1[[#This Row],[열8]]/10^7</f>
        <v>#REF!</v>
      </c>
      <c r="O28" s="31">
        <v>11700</v>
      </c>
      <c r="P28" s="31">
        <v>195276435725</v>
      </c>
    </row>
    <row r="29" spans="1:16" x14ac:dyDescent="0.3">
      <c r="A29">
        <v>12000</v>
      </c>
      <c r="E29" t="e" cm="1">
        <f t="array" aca="1" ref="E29" ca="1">INDIRECT("'[상승값.xlsx]상승'!E" &amp; A29)</f>
        <v>#REF!</v>
      </c>
      <c r="F29" s="4" t="e">
        <f ca="1">E29-E28</f>
        <v>#REF!</v>
      </c>
      <c r="G29">
        <v>0.5</v>
      </c>
      <c r="H29" t="e">
        <f ca="1">표1[[#This Row],[열6]]*표1[[#This Row],[열7]]</f>
        <v>#REF!</v>
      </c>
      <c r="I29">
        <v>0.55000000000000004</v>
      </c>
      <c r="J29" s="1" t="e">
        <f ca="1">표1[[#This Row],[열8]]/10^7</f>
        <v>#REF!</v>
      </c>
      <c r="K29">
        <v>11500</v>
      </c>
      <c r="L29" s="35">
        <v>12000</v>
      </c>
      <c r="M29" s="36" t="e">
        <f ca="1">표1[[#This Row],[열8]]/10^7</f>
        <v>#REF!</v>
      </c>
      <c r="O29" s="30">
        <v>12000</v>
      </c>
      <c r="P29" s="30">
        <v>91205092691.5</v>
      </c>
    </row>
    <row r="30" spans="1:16" x14ac:dyDescent="0.3">
      <c r="A30">
        <v>12700</v>
      </c>
      <c r="E30" t="e" cm="1">
        <f t="array" aca="1" ref="E30" ca="1">INDIRECT("'[상승값.xlsx]상승'!E" &amp; A30)</f>
        <v>#REF!</v>
      </c>
      <c r="F30" s="4" t="e">
        <f t="shared" ca="1" si="0"/>
        <v>#REF!</v>
      </c>
      <c r="G30">
        <v>0.5</v>
      </c>
      <c r="H30" t="e">
        <f ca="1">표1[[#This Row],[열6]]*표1[[#This Row],[열7]]</f>
        <v>#REF!</v>
      </c>
      <c r="I30">
        <v>0.55000000000000004</v>
      </c>
      <c r="J30" s="1" t="e">
        <f ca="1">표1[[#This Row],[열8]]/10^7</f>
        <v>#REF!</v>
      </c>
      <c r="K30">
        <v>12000</v>
      </c>
      <c r="L30" s="35">
        <v>12700</v>
      </c>
      <c r="M30" s="35" t="e">
        <f ca="1">표1[[#This Row],[열8]]/10^7</f>
        <v>#REF!</v>
      </c>
      <c r="O30" s="31">
        <v>12700</v>
      </c>
      <c r="P30" s="31">
        <v>231206774614</v>
      </c>
    </row>
    <row r="31" spans="1:16" x14ac:dyDescent="0.3">
      <c r="A31">
        <v>13000</v>
      </c>
      <c r="E31" t="e" cm="1">
        <f t="array" aca="1" ref="E31" ca="1">INDIRECT("'[상승값.xlsx]상승'!E" &amp; A31)</f>
        <v>#REF!</v>
      </c>
      <c r="F31" s="4" t="e">
        <f ca="1">E31-E30</f>
        <v>#REF!</v>
      </c>
      <c r="G31">
        <v>0.5</v>
      </c>
      <c r="H31" t="e">
        <f ca="1">표1[[#This Row],[열6]]*표1[[#This Row],[열7]]</f>
        <v>#REF!</v>
      </c>
      <c r="I31">
        <v>0.55000000000000004</v>
      </c>
      <c r="J31" s="1" t="e">
        <f ca="1">표1[[#This Row],[열8]]/10^7</f>
        <v>#REF!</v>
      </c>
      <c r="K31">
        <v>12500</v>
      </c>
      <c r="L31" s="35">
        <v>13000</v>
      </c>
      <c r="M31" s="35" t="e">
        <f ca="1">표1[[#This Row],[열8]]/10^7</f>
        <v>#REF!</v>
      </c>
      <c r="O31" s="30">
        <v>13000</v>
      </c>
      <c r="P31" s="30">
        <v>107253809358</v>
      </c>
    </row>
    <row r="32" spans="1:16" x14ac:dyDescent="0.3">
      <c r="A32">
        <v>13700</v>
      </c>
      <c r="E32" t="e" cm="1">
        <f t="array" aca="1" ref="E32" ca="1">INDIRECT("'[상승값.xlsx]상승'!E" &amp; A32)</f>
        <v>#REF!</v>
      </c>
      <c r="F32" s="4" t="e">
        <f t="shared" ca="1" si="0"/>
        <v>#REF!</v>
      </c>
      <c r="G32">
        <v>0.5</v>
      </c>
      <c r="H32" t="e">
        <f ca="1">표1[[#This Row],[열6]]*표1[[#This Row],[열7]]</f>
        <v>#REF!</v>
      </c>
      <c r="I32">
        <v>0.5</v>
      </c>
      <c r="J32" s="32" t="e">
        <f ca="1">표1[[#This Row],[열8]]/10^7</f>
        <v>#REF!</v>
      </c>
      <c r="K32" s="33">
        <v>13000</v>
      </c>
      <c r="L32" s="35">
        <v>13700</v>
      </c>
      <c r="M32" s="35" t="e">
        <f ca="1">표1[[#This Row],[열8]]/10^7</f>
        <v>#REF!</v>
      </c>
      <c r="O32" s="31">
        <v>13700</v>
      </c>
      <c r="P32" s="31">
        <v>270170446836.5</v>
      </c>
    </row>
    <row r="33" spans="1:16" x14ac:dyDescent="0.3">
      <c r="A33">
        <v>14000</v>
      </c>
      <c r="E33" t="e" cm="1">
        <f t="array" aca="1" ref="E33" ca="1">INDIRECT("'[상승값.xlsx]상승'!E" &amp; A33)</f>
        <v>#REF!</v>
      </c>
      <c r="F33" s="4" t="e">
        <f ca="1">E33-E32</f>
        <v>#REF!</v>
      </c>
      <c r="G33">
        <v>0.5</v>
      </c>
      <c r="H33" t="e">
        <f ca="1">표1[[#This Row],[열6]]*표1[[#This Row],[열7]]</f>
        <v>#REF!</v>
      </c>
      <c r="I33">
        <v>0.5</v>
      </c>
      <c r="J33" s="1" t="e">
        <f ca="1">표1[[#This Row],[열8]]/10^7</f>
        <v>#REF!</v>
      </c>
      <c r="K33">
        <v>13500</v>
      </c>
      <c r="L33" s="35">
        <v>14000</v>
      </c>
      <c r="M33" s="36" t="e">
        <f ca="1">표1[[#This Row],[열8]]/10^7</f>
        <v>#REF!</v>
      </c>
      <c r="O33" s="30">
        <v>14000</v>
      </c>
      <c r="P33" s="30">
        <v>124602526024.5</v>
      </c>
    </row>
    <row r="34" spans="1:16" x14ac:dyDescent="0.3">
      <c r="A34">
        <v>14700</v>
      </c>
      <c r="E34" t="e" cm="1">
        <f t="array" aca="1" ref="E34" ca="1">INDIRECT("'[상승값.xlsx]상승'!E" &amp; A34)</f>
        <v>#REF!</v>
      </c>
      <c r="F34" s="4" t="e">
        <f t="shared" ca="1" si="0"/>
        <v>#REF!</v>
      </c>
      <c r="G34">
        <v>0.45</v>
      </c>
      <c r="H34" t="e">
        <f ca="1">표1[[#This Row],[열6]]*표1[[#This Row],[열7]]</f>
        <v>#REF!</v>
      </c>
      <c r="I34">
        <v>0.45</v>
      </c>
      <c r="J34" s="1" t="e">
        <f ca="1">표1[[#This Row],[열8]]/10^7</f>
        <v>#REF!</v>
      </c>
      <c r="K34">
        <v>14000</v>
      </c>
      <c r="L34" s="35">
        <v>14700</v>
      </c>
      <c r="M34" s="35" t="e">
        <f ca="1">표1[[#This Row],[열8]]/10^7</f>
        <v>#REF!</v>
      </c>
      <c r="O34" s="31">
        <v>14700</v>
      </c>
      <c r="P34" s="31">
        <v>280950707152.79999</v>
      </c>
    </row>
    <row r="35" spans="1:16" x14ac:dyDescent="0.3">
      <c r="A35">
        <v>15000</v>
      </c>
      <c r="E35" t="e" cm="1">
        <f t="array" aca="1" ref="E35" ca="1">INDIRECT("'[상승값.xlsx]상승'!E" &amp; A35)</f>
        <v>#REF!</v>
      </c>
      <c r="F35" s="4" t="e">
        <f ca="1">E35-E34</f>
        <v>#REF!</v>
      </c>
      <c r="G35">
        <v>0.43</v>
      </c>
      <c r="H35" t="e">
        <f ca="1">표1[[#This Row],[열6]]*표1[[#This Row],[열7]]</f>
        <v>#REF!</v>
      </c>
      <c r="I35">
        <v>0.43</v>
      </c>
      <c r="J35" s="1" t="e">
        <f ca="1">표1[[#This Row],[열8]]/10^7</f>
        <v>#REF!</v>
      </c>
      <c r="K35">
        <v>14500</v>
      </c>
      <c r="L35" s="35">
        <v>15000</v>
      </c>
      <c r="M35" s="35" t="e">
        <f ca="1">표1[[#This Row],[열8]]/10^7</f>
        <v>#REF!</v>
      </c>
      <c r="O35" s="30">
        <v>15000</v>
      </c>
      <c r="P35" s="30">
        <v>123196068714.69</v>
      </c>
    </row>
    <row r="36" spans="1:16" x14ac:dyDescent="0.3">
      <c r="A36">
        <v>15700</v>
      </c>
      <c r="E36" t="e" cm="1">
        <f t="array" aca="1" ref="E36" ca="1">INDIRECT("'[상승값.xlsx]상승'!E" &amp; A36)</f>
        <v>#REF!</v>
      </c>
      <c r="F36" s="4" t="e">
        <f t="shared" ca="1" si="0"/>
        <v>#REF!</v>
      </c>
      <c r="G36">
        <v>0.43</v>
      </c>
      <c r="H36" t="e">
        <f ca="1">표1[[#This Row],[열6]]*표1[[#This Row],[열7]]</f>
        <v>#REF!</v>
      </c>
      <c r="I36">
        <v>0.43</v>
      </c>
      <c r="J36" s="32" t="e">
        <f ca="1">표1[[#This Row],[열8]]/10^7</f>
        <v>#REF!</v>
      </c>
      <c r="K36" s="33">
        <v>15000</v>
      </c>
      <c r="L36" s="35">
        <v>15700</v>
      </c>
      <c r="M36" s="35" t="e">
        <f ca="1">표1[[#This Row],[열8]]/10^7</f>
        <v>#REF!</v>
      </c>
      <c r="O36" s="31">
        <v>15700</v>
      </c>
      <c r="P36" s="31">
        <v>307190100501.22998</v>
      </c>
    </row>
    <row r="37" spans="1:16" x14ac:dyDescent="0.3">
      <c r="A37">
        <v>16000</v>
      </c>
      <c r="E37" t="e" cm="1">
        <f t="array" aca="1" ref="E37" ca="1">INDIRECT("'[상승값.xlsx]상승'!E" &amp; A37)</f>
        <v>#REF!</v>
      </c>
      <c r="F37" s="4" t="e">
        <f ca="1">E37-E36</f>
        <v>#REF!</v>
      </c>
      <c r="G37">
        <v>0.43</v>
      </c>
      <c r="H37" t="e">
        <f ca="1">표1[[#This Row],[열6]]*표1[[#This Row],[열7]]</f>
        <v>#REF!</v>
      </c>
      <c r="I37">
        <v>0.43</v>
      </c>
      <c r="J37" s="1" t="e">
        <f ca="1">표1[[#This Row],[열8]]/10^7</f>
        <v>#REF!</v>
      </c>
      <c r="K37">
        <v>15500</v>
      </c>
      <c r="L37" s="35">
        <v>16000</v>
      </c>
      <c r="M37" s="36" t="e">
        <f ca="1">표1[[#This Row],[열8]]/10^7</f>
        <v>#REF!</v>
      </c>
      <c r="O37" s="30">
        <v>16000</v>
      </c>
      <c r="P37" s="30">
        <v>140351965048.31</v>
      </c>
    </row>
    <row r="38" spans="1:16" x14ac:dyDescent="0.3">
      <c r="A38">
        <v>16700</v>
      </c>
      <c r="E38" t="e" cm="1">
        <f t="array" aca="1" ref="E38" ca="1">INDIRECT("'[상승값.xlsx]상승'!E" &amp; A38)</f>
        <v>#REF!</v>
      </c>
      <c r="F38" s="4" t="e">
        <f t="shared" ca="1" si="0"/>
        <v>#REF!</v>
      </c>
      <c r="G38">
        <v>0.43</v>
      </c>
      <c r="H38" t="e">
        <f ca="1">표1[[#This Row],[열6]]*표1[[#This Row],[열7]]</f>
        <v>#REF!</v>
      </c>
      <c r="I38">
        <v>0.43</v>
      </c>
      <c r="J38" s="1" t="e">
        <f ca="1">표1[[#This Row],[열8]]/10^7</f>
        <v>#REF!</v>
      </c>
      <c r="K38">
        <v>16000</v>
      </c>
      <c r="L38" s="35">
        <v>16700</v>
      </c>
      <c r="M38" s="35" t="e">
        <f ca="1">표1[[#This Row],[열8]]/10^7</f>
        <v>#REF!</v>
      </c>
      <c r="O38" s="31">
        <v>16700</v>
      </c>
      <c r="P38" s="31">
        <v>348524858612.15002</v>
      </c>
    </row>
    <row r="39" spans="1:16" x14ac:dyDescent="0.3">
      <c r="A39">
        <v>17000</v>
      </c>
      <c r="E39" t="e" cm="1">
        <f t="array" aca="1" ref="E39" ca="1">INDIRECT("'[상승값.xlsx]상승'!E" &amp; A39)</f>
        <v>#REF!</v>
      </c>
      <c r="F39" s="4" t="e">
        <f ca="1">E39-E38</f>
        <v>#REF!</v>
      </c>
      <c r="G39">
        <v>0.43</v>
      </c>
      <c r="H39" t="e">
        <f ca="1">표1[[#This Row],[열6]]*표1[[#This Row],[열7]]</f>
        <v>#REF!</v>
      </c>
      <c r="I39">
        <v>0.43</v>
      </c>
      <c r="J39" s="1" t="e">
        <f ca="1">표1[[#This Row],[열8]]/10^7</f>
        <v>#REF!</v>
      </c>
      <c r="K39">
        <v>16500</v>
      </c>
      <c r="L39" s="35">
        <v>17000</v>
      </c>
      <c r="M39" s="35" t="e">
        <f ca="1">표1[[#This Row],[열8]]/10^7</f>
        <v>#REF!</v>
      </c>
      <c r="O39" s="30">
        <v>17000</v>
      </c>
      <c r="P39" s="30">
        <v>158625861381.92999</v>
      </c>
    </row>
    <row r="40" spans="1:16" x14ac:dyDescent="0.3">
      <c r="A40">
        <v>17700</v>
      </c>
      <c r="E40" t="e" cm="1">
        <f t="array" aca="1" ref="E40" ca="1">INDIRECT("'[상승값.xlsx]상승'!E" &amp; A40)</f>
        <v>#REF!</v>
      </c>
      <c r="F40" s="4" t="e">
        <f t="shared" ca="1" si="0"/>
        <v>#REF!</v>
      </c>
      <c r="G40">
        <v>0.43</v>
      </c>
      <c r="H40" t="e">
        <f ca="1">표1[[#This Row],[열6]]*표1[[#This Row],[열7]]</f>
        <v>#REF!</v>
      </c>
      <c r="I40">
        <v>0.43</v>
      </c>
      <c r="J40" s="32" t="e">
        <f ca="1">표1[[#This Row],[열8]]/10^7</f>
        <v>#REF!</v>
      </c>
      <c r="K40" s="33">
        <v>17000</v>
      </c>
      <c r="L40" s="35">
        <v>17700</v>
      </c>
      <c r="M40" s="35" t="e">
        <f ca="1">표1[[#This Row],[열8]]/10^7</f>
        <v>#REF!</v>
      </c>
      <c r="O40" s="31">
        <v>17700</v>
      </c>
      <c r="P40" s="31">
        <v>392468283389.88</v>
      </c>
    </row>
    <row r="41" spans="1:16" x14ac:dyDescent="0.3">
      <c r="A41">
        <v>18000</v>
      </c>
      <c r="E41" t="e" cm="1">
        <f t="array" aca="1" ref="E41" ca="1">INDIRECT("'[상승값.xlsx]상승'!E" &amp; A41)</f>
        <v>#REF!</v>
      </c>
      <c r="F41" s="4" t="e">
        <f ca="1">E41-E40</f>
        <v>#REF!</v>
      </c>
      <c r="G41">
        <v>0.43000000000000005</v>
      </c>
      <c r="H41" t="e">
        <f ca="1">표1[[#This Row],[열6]]*표1[[#This Row],[열7]]</f>
        <v>#REF!</v>
      </c>
      <c r="I41">
        <v>0.43000000000000005</v>
      </c>
      <c r="J41" s="1" t="e">
        <f ca="1">표1[[#This Row],[열8]]/10^7</f>
        <v>#REF!</v>
      </c>
      <c r="K41">
        <v>17500</v>
      </c>
      <c r="L41" s="35">
        <v>18000</v>
      </c>
      <c r="M41" s="36" t="e">
        <f ca="1">표1[[#This Row],[열8]]/10^7</f>
        <v>#REF!</v>
      </c>
      <c r="O41" s="30">
        <v>18000</v>
      </c>
      <c r="P41" s="30">
        <v>178017757715.12003</v>
      </c>
    </row>
    <row r="42" spans="1:16" x14ac:dyDescent="0.3">
      <c r="A42">
        <v>18700</v>
      </c>
      <c r="E42" t="e" cm="1">
        <f t="array" aca="1" ref="E42" ca="1">INDIRECT("'[상승값.xlsx]상승'!E" &amp; A42)</f>
        <v>#REF!</v>
      </c>
      <c r="F42" s="4" t="e">
        <f t="shared" ca="1" si="0"/>
        <v>#REF!</v>
      </c>
      <c r="G42">
        <v>0.43</v>
      </c>
      <c r="H42" t="e">
        <f ca="1">표1[[#This Row],[열6]]*표1[[#This Row],[열7]]</f>
        <v>#REF!</v>
      </c>
      <c r="I42">
        <v>0.43</v>
      </c>
      <c r="J42" s="1" t="e">
        <f ca="1">표1[[#This Row],[열8]]/10^7</f>
        <v>#REF!</v>
      </c>
      <c r="K42">
        <v>18000</v>
      </c>
      <c r="L42" s="35">
        <v>18700</v>
      </c>
      <c r="M42" s="35" t="e">
        <f ca="1">표1[[#This Row],[열8]]/10^7</f>
        <v>#REF!</v>
      </c>
      <c r="O42" s="31">
        <v>18700</v>
      </c>
      <c r="P42" s="31">
        <v>439020374834.41998</v>
      </c>
    </row>
    <row r="43" spans="1:16" x14ac:dyDescent="0.3">
      <c r="A43">
        <v>19000</v>
      </c>
      <c r="E43" t="e" cm="1">
        <f t="array" aca="1" ref="E43" ca="1">INDIRECT("'[상승값.xlsx]상승'!E" &amp; A43)</f>
        <v>#REF!</v>
      </c>
      <c r="F43" s="4" t="e">
        <f ca="1">E43-E42</f>
        <v>#REF!</v>
      </c>
      <c r="G43">
        <v>0.42999999999999994</v>
      </c>
      <c r="H43" t="e">
        <f ca="1">표1[[#This Row],[열6]]*표1[[#This Row],[열7]]</f>
        <v>#REF!</v>
      </c>
      <c r="I43">
        <v>0.42999999999999994</v>
      </c>
      <c r="J43" s="1" t="e">
        <f ca="1">표1[[#This Row],[열8]]/10^7</f>
        <v>#REF!</v>
      </c>
      <c r="K43">
        <v>18500</v>
      </c>
      <c r="L43" s="35">
        <v>19000</v>
      </c>
      <c r="M43" s="35" t="e">
        <f ca="1">표1[[#This Row],[열8]]/10^7</f>
        <v>#REF!</v>
      </c>
      <c r="O43" s="30">
        <v>19000</v>
      </c>
      <c r="P43" s="30">
        <v>198527654048.30997</v>
      </c>
    </row>
    <row r="44" spans="1:16" x14ac:dyDescent="0.3">
      <c r="A44">
        <v>19700</v>
      </c>
      <c r="E44" t="e" cm="1">
        <f t="array" aca="1" ref="E44" ca="1">INDIRECT("'[상승값.xlsx]상승'!E" &amp; A44)</f>
        <v>#REF!</v>
      </c>
      <c r="F44" s="4" t="e">
        <f t="shared" ca="1" si="0"/>
        <v>#REF!</v>
      </c>
      <c r="G44">
        <v>0.43000000000000005</v>
      </c>
      <c r="H44" t="e">
        <f ca="1">표1[[#This Row],[열6]]*표1[[#This Row],[열7]]</f>
        <v>#REF!</v>
      </c>
      <c r="I44">
        <v>0.43000000000000005</v>
      </c>
      <c r="J44" s="32" t="e">
        <f ca="1">표1[[#This Row],[열8]]/10^7</f>
        <v>#REF!</v>
      </c>
      <c r="K44" s="33">
        <v>19000</v>
      </c>
      <c r="L44" s="35">
        <v>19700</v>
      </c>
      <c r="M44" s="35" t="e">
        <f ca="1">표1[[#This Row],[열8]]/10^7</f>
        <v>#REF!</v>
      </c>
      <c r="O44" s="31">
        <v>19700</v>
      </c>
      <c r="P44" s="31">
        <v>488181132945.77008</v>
      </c>
    </row>
    <row r="45" spans="1:16" x14ac:dyDescent="0.3">
      <c r="H45">
        <f>표1[[#This Row],[열6]]*표1[[#This Row],[열7]]</f>
        <v>0</v>
      </c>
      <c r="I45" t="e">
        <f>표1[[#This Row],[열7]]/표1[[#This Row],[열6]]</f>
        <v>#DIV/0!</v>
      </c>
      <c r="J45">
        <f>표1[[#This Row],[열8]]/10^7</f>
        <v>0</v>
      </c>
      <c r="K45">
        <v>19500</v>
      </c>
      <c r="L45" s="35"/>
      <c r="M45" s="36">
        <f>표1[[#This Row],[열8]]/10^7</f>
        <v>0</v>
      </c>
    </row>
  </sheetData>
  <sortState xmlns:xlrd2="http://schemas.microsoft.com/office/spreadsheetml/2017/richdata2" ref="A5:F44">
    <sortCondition ref="A5:A44"/>
  </sortState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967E-9DFE-4975-87A4-2401F29635E9}">
  <dimension ref="B2:N58"/>
  <sheetViews>
    <sheetView tabSelected="1" workbookViewId="0">
      <selection activeCell="L20" sqref="L20"/>
    </sheetView>
  </sheetViews>
  <sheetFormatPr defaultRowHeight="16.5" x14ac:dyDescent="0.3"/>
  <cols>
    <col min="5" max="6" width="9.875" bestFit="1" customWidth="1"/>
  </cols>
  <sheetData>
    <row r="2" spans="2:14" x14ac:dyDescent="0.3">
      <c r="M2">
        <v>100</v>
      </c>
      <c r="N2">
        <v>12</v>
      </c>
    </row>
    <row r="3" spans="2:14" x14ac:dyDescent="0.3">
      <c r="B3" s="30">
        <v>0.88</v>
      </c>
      <c r="C3" t="e">
        <f>'육성1 골드'!H4*B3</f>
        <v>#VALUE!</v>
      </c>
      <c r="D3">
        <v>9900</v>
      </c>
      <c r="G3" t="s">
        <v>97</v>
      </c>
      <c r="H3">
        <v>25</v>
      </c>
      <c r="I3">
        <v>50</v>
      </c>
      <c r="J3">
        <v>75</v>
      </c>
      <c r="K3">
        <v>1</v>
      </c>
      <c r="M3">
        <f>I3</f>
        <v>50</v>
      </c>
    </row>
    <row r="4" spans="2:14" x14ac:dyDescent="0.3">
      <c r="B4" s="31">
        <v>0.88</v>
      </c>
      <c r="C4" t="e">
        <f ca="1">'육성1 골드'!H5*B4</f>
        <v>#REF!</v>
      </c>
      <c r="D4">
        <v>12100</v>
      </c>
      <c r="G4" t="s">
        <v>98</v>
      </c>
      <c r="H4">
        <v>125</v>
      </c>
      <c r="I4">
        <v>150</v>
      </c>
      <c r="J4">
        <v>125</v>
      </c>
      <c r="K4">
        <v>1</v>
      </c>
    </row>
    <row r="5" spans="2:14" x14ac:dyDescent="0.3">
      <c r="B5" s="30">
        <v>0.88</v>
      </c>
      <c r="C5" t="e">
        <f ca="1">'육성1 골드'!H6*B5</f>
        <v>#REF!</v>
      </c>
      <c r="D5">
        <v>70400</v>
      </c>
      <c r="G5" t="s">
        <v>99</v>
      </c>
      <c r="H5">
        <v>225</v>
      </c>
      <c r="I5">
        <v>250</v>
      </c>
      <c r="J5">
        <v>175</v>
      </c>
      <c r="K5">
        <v>2</v>
      </c>
    </row>
    <row r="6" spans="2:14" x14ac:dyDescent="0.3">
      <c r="B6" s="30">
        <v>0.8</v>
      </c>
      <c r="C6" t="e">
        <f ca="1">'육성1 골드'!H7*B6</f>
        <v>#REF!</v>
      </c>
      <c r="D6">
        <v>96000</v>
      </c>
      <c r="G6" t="s">
        <v>100</v>
      </c>
      <c r="H6">
        <v>325</v>
      </c>
      <c r="I6">
        <v>350</v>
      </c>
      <c r="J6">
        <v>225</v>
      </c>
      <c r="K6">
        <v>2</v>
      </c>
    </row>
    <row r="7" spans="2:14" x14ac:dyDescent="0.3">
      <c r="B7" s="31">
        <v>0.80000000000000016</v>
      </c>
      <c r="C7" t="e">
        <f ca="1">'육성1 골드'!H8*B7</f>
        <v>#REF!</v>
      </c>
      <c r="D7">
        <v>136000.00000000003</v>
      </c>
      <c r="G7" t="s">
        <v>101</v>
      </c>
      <c r="H7">
        <v>425</v>
      </c>
      <c r="I7">
        <v>450</v>
      </c>
      <c r="J7">
        <v>275</v>
      </c>
      <c r="K7">
        <v>3</v>
      </c>
    </row>
    <row r="8" spans="2:14" x14ac:dyDescent="0.3">
      <c r="B8" s="30">
        <v>0.8</v>
      </c>
      <c r="C8" t="e">
        <f ca="1">'육성1 골드'!H9*B8</f>
        <v>#REF!</v>
      </c>
      <c r="D8">
        <v>184000</v>
      </c>
      <c r="G8" t="s">
        <v>102</v>
      </c>
      <c r="H8">
        <v>525</v>
      </c>
      <c r="I8">
        <v>550</v>
      </c>
      <c r="J8">
        <v>325</v>
      </c>
      <c r="K8">
        <v>3</v>
      </c>
    </row>
    <row r="9" spans="2:14" x14ac:dyDescent="0.3">
      <c r="B9" s="31">
        <v>0.8</v>
      </c>
      <c r="C9" t="e">
        <f ca="1">'육성1 골드'!H10*B9</f>
        <v>#REF!</v>
      </c>
      <c r="D9">
        <v>240000</v>
      </c>
      <c r="G9" t="s">
        <v>103</v>
      </c>
      <c r="H9">
        <v>625</v>
      </c>
      <c r="I9">
        <v>650</v>
      </c>
      <c r="J9">
        <v>375</v>
      </c>
      <c r="K9">
        <v>4</v>
      </c>
    </row>
    <row r="10" spans="2:14" x14ac:dyDescent="0.3">
      <c r="B10" s="30">
        <v>0.8</v>
      </c>
      <c r="C10" t="e">
        <f ca="1">'육성1 골드'!H11*B10</f>
        <v>#REF!</v>
      </c>
      <c r="D10">
        <v>304000</v>
      </c>
      <c r="G10" t="s">
        <v>104</v>
      </c>
      <c r="H10">
        <v>725</v>
      </c>
      <c r="I10">
        <v>750</v>
      </c>
      <c r="J10">
        <v>425</v>
      </c>
      <c r="K10">
        <v>4</v>
      </c>
    </row>
    <row r="11" spans="2:14" x14ac:dyDescent="0.3">
      <c r="B11" s="31">
        <v>0.80000000000000016</v>
      </c>
      <c r="C11" t="e">
        <f ca="1">'육성1 골드'!H12*B11</f>
        <v>#REF!</v>
      </c>
      <c r="D11">
        <v>376000.00000000006</v>
      </c>
      <c r="G11" t="s">
        <v>105</v>
      </c>
      <c r="H11">
        <v>825</v>
      </c>
      <c r="I11">
        <v>850</v>
      </c>
      <c r="J11">
        <v>475</v>
      </c>
      <c r="K11">
        <v>5</v>
      </c>
    </row>
    <row r="12" spans="2:14" x14ac:dyDescent="0.3">
      <c r="B12" s="30">
        <v>0.6</v>
      </c>
      <c r="C12" t="e">
        <f ca="1">'육성1 골드'!H13*B12</f>
        <v>#REF!</v>
      </c>
      <c r="D12">
        <v>342000</v>
      </c>
      <c r="G12" t="s">
        <v>106</v>
      </c>
      <c r="H12">
        <v>925</v>
      </c>
      <c r="I12">
        <v>950</v>
      </c>
      <c r="J12">
        <v>525</v>
      </c>
      <c r="K12">
        <v>5</v>
      </c>
    </row>
    <row r="13" spans="2:14" x14ac:dyDescent="0.3">
      <c r="B13" s="31">
        <v>0.6</v>
      </c>
      <c r="C13" t="e">
        <f ca="1">'육성1 골드'!H14*B13</f>
        <v>#REF!</v>
      </c>
      <c r="D13">
        <v>408000</v>
      </c>
      <c r="G13" t="s">
        <v>107</v>
      </c>
      <c r="H13">
        <v>1025</v>
      </c>
      <c r="I13">
        <v>1050</v>
      </c>
      <c r="J13">
        <v>575</v>
      </c>
      <c r="K13">
        <v>6</v>
      </c>
    </row>
    <row r="14" spans="2:14" x14ac:dyDescent="0.3">
      <c r="B14" s="30">
        <v>0.6</v>
      </c>
      <c r="C14" t="e">
        <f ca="1">'육성1 골드'!H15*B14</f>
        <v>#REF!</v>
      </c>
      <c r="D14">
        <v>480000</v>
      </c>
      <c r="G14" t="s">
        <v>108</v>
      </c>
      <c r="H14">
        <v>1125</v>
      </c>
      <c r="I14">
        <v>1150</v>
      </c>
      <c r="J14">
        <v>625</v>
      </c>
      <c r="K14">
        <v>6</v>
      </c>
    </row>
    <row r="15" spans="2:14" x14ac:dyDescent="0.3">
      <c r="B15" s="31">
        <v>0.6</v>
      </c>
      <c r="C15" t="e">
        <f ca="1">'육성1 골드'!H16*B15</f>
        <v>#REF!</v>
      </c>
      <c r="D15">
        <v>558000</v>
      </c>
      <c r="G15" t="s">
        <v>109</v>
      </c>
      <c r="H15">
        <v>1225</v>
      </c>
      <c r="I15">
        <v>1250</v>
      </c>
      <c r="J15">
        <v>675</v>
      </c>
      <c r="K15">
        <v>7</v>
      </c>
    </row>
    <row r="16" spans="2:14" x14ac:dyDescent="0.3">
      <c r="B16" s="30">
        <v>0.6</v>
      </c>
      <c r="C16" t="e">
        <f ca="1">'육성1 골드'!H17*B16</f>
        <v>#REF!</v>
      </c>
      <c r="D16">
        <v>642000</v>
      </c>
      <c r="G16" t="s">
        <v>110</v>
      </c>
      <c r="H16">
        <v>1325</v>
      </c>
      <c r="I16">
        <v>1350</v>
      </c>
      <c r="J16">
        <v>725</v>
      </c>
      <c r="K16">
        <v>7</v>
      </c>
    </row>
    <row r="17" spans="2:11" x14ac:dyDescent="0.3">
      <c r="B17" s="31">
        <v>0.6</v>
      </c>
      <c r="C17" t="e">
        <f ca="1">'육성1 골드'!H18*B17</f>
        <v>#REF!</v>
      </c>
      <c r="D17">
        <v>732000</v>
      </c>
      <c r="G17" t="s">
        <v>111</v>
      </c>
      <c r="H17">
        <v>1425</v>
      </c>
      <c r="I17">
        <v>1450</v>
      </c>
      <c r="J17">
        <v>775</v>
      </c>
      <c r="K17">
        <v>8</v>
      </c>
    </row>
    <row r="18" spans="2:11" x14ac:dyDescent="0.3">
      <c r="B18" s="30">
        <v>0.55000000000000004</v>
      </c>
      <c r="C18" t="e">
        <f ca="1">'육성1 골드'!H19*B18</f>
        <v>#REF!</v>
      </c>
      <c r="D18">
        <v>759000.00000000012</v>
      </c>
      <c r="G18" t="s">
        <v>112</v>
      </c>
      <c r="H18">
        <v>1525</v>
      </c>
      <c r="I18">
        <v>1550</v>
      </c>
      <c r="J18">
        <v>825</v>
      </c>
      <c r="K18">
        <v>8</v>
      </c>
    </row>
    <row r="19" spans="2:11" x14ac:dyDescent="0.3">
      <c r="B19" s="31">
        <v>0.55000000000000004</v>
      </c>
      <c r="C19" t="e">
        <f ca="1">'육성1 골드'!H20*B19</f>
        <v>#REF!</v>
      </c>
      <c r="D19">
        <v>852500.00000000012</v>
      </c>
      <c r="G19" t="s">
        <v>113</v>
      </c>
      <c r="H19">
        <v>1625</v>
      </c>
      <c r="I19">
        <v>1650</v>
      </c>
      <c r="J19">
        <v>875</v>
      </c>
      <c r="K19">
        <v>9</v>
      </c>
    </row>
    <row r="20" spans="2:11" x14ac:dyDescent="0.3">
      <c r="B20" s="30">
        <v>0.55000000000000004</v>
      </c>
      <c r="C20" t="e">
        <f ca="1">'육성1 골드'!H21*B20</f>
        <v>#REF!</v>
      </c>
      <c r="D20">
        <v>951500.00000000012</v>
      </c>
      <c r="G20" t="s">
        <v>114</v>
      </c>
      <c r="H20">
        <v>1725</v>
      </c>
      <c r="I20">
        <v>1750</v>
      </c>
      <c r="J20">
        <v>925</v>
      </c>
      <c r="K20">
        <v>9</v>
      </c>
    </row>
    <row r="21" spans="2:11" x14ac:dyDescent="0.3">
      <c r="B21" s="31">
        <v>0.55000000000000004</v>
      </c>
      <c r="C21" t="e">
        <f ca="1">'육성1 골드'!H22*B21</f>
        <v>#REF!</v>
      </c>
      <c r="D21">
        <v>1056000</v>
      </c>
      <c r="G21" t="s">
        <v>115</v>
      </c>
      <c r="H21">
        <v>1825</v>
      </c>
      <c r="I21">
        <v>1850</v>
      </c>
      <c r="J21">
        <v>975</v>
      </c>
      <c r="K21">
        <v>10</v>
      </c>
    </row>
    <row r="22" spans="2:11" x14ac:dyDescent="0.3">
      <c r="B22" s="30">
        <v>0.55000000000000004</v>
      </c>
      <c r="C22" t="e">
        <f ca="1">'육성1 골드'!H23*B22</f>
        <v>#REF!</v>
      </c>
      <c r="D22">
        <v>1166000</v>
      </c>
      <c r="G22" t="s">
        <v>116</v>
      </c>
      <c r="H22">
        <v>1925</v>
      </c>
      <c r="I22">
        <v>1950</v>
      </c>
      <c r="J22">
        <v>1025</v>
      </c>
      <c r="K22">
        <v>10</v>
      </c>
    </row>
    <row r="23" spans="2:11" x14ac:dyDescent="0.3">
      <c r="B23" s="31">
        <v>0.55000000000000004</v>
      </c>
      <c r="C23" t="e">
        <f ca="1">'육성1 골드'!H24*B23</f>
        <v>#REF!</v>
      </c>
      <c r="D23">
        <v>1281500</v>
      </c>
    </row>
    <row r="24" spans="2:11" x14ac:dyDescent="0.3">
      <c r="B24" s="30">
        <v>0.55000000000000004</v>
      </c>
      <c r="C24" t="e">
        <f ca="1">'육성1 골드'!H25*B24</f>
        <v>#REF!</v>
      </c>
      <c r="D24">
        <v>1402500</v>
      </c>
    </row>
    <row r="25" spans="2:11" x14ac:dyDescent="0.3">
      <c r="B25" s="31">
        <v>0.5</v>
      </c>
      <c r="C25" t="e">
        <f ca="1">'육성1 골드'!H26*B25</f>
        <v>#REF!</v>
      </c>
      <c r="D25">
        <v>1390000</v>
      </c>
    </row>
    <row r="26" spans="2:11" x14ac:dyDescent="0.3">
      <c r="B26" s="30">
        <v>0.5</v>
      </c>
      <c r="C26" t="e">
        <f ca="1">'육성1 골드'!H27*B26</f>
        <v>#REF!</v>
      </c>
      <c r="D26">
        <v>1510000</v>
      </c>
    </row>
    <row r="27" spans="2:11" x14ac:dyDescent="0.3">
      <c r="B27" s="31">
        <v>0.45</v>
      </c>
      <c r="C27" t="e">
        <f ca="1">'육성1 골드'!H28*B27</f>
        <v>#REF!</v>
      </c>
      <c r="D27">
        <v>1471500</v>
      </c>
    </row>
    <row r="28" spans="2:11" x14ac:dyDescent="0.3">
      <c r="B28" s="30">
        <v>0.43</v>
      </c>
      <c r="C28" t="e">
        <f ca="1">'육성1 골드'!H29*B28</f>
        <v>#REF!</v>
      </c>
      <c r="D28">
        <v>1517900</v>
      </c>
    </row>
    <row r="29" spans="2:11" x14ac:dyDescent="0.3">
      <c r="B29" s="31">
        <v>0.43</v>
      </c>
      <c r="C29" t="e">
        <f ca="1">'육성1 골드'!H30*B29</f>
        <v>#REF!</v>
      </c>
      <c r="D29">
        <v>1634000</v>
      </c>
    </row>
    <row r="30" spans="2:11" x14ac:dyDescent="0.3">
      <c r="B30" s="30">
        <v>0.43</v>
      </c>
      <c r="C30" t="e">
        <f ca="1">'육성1 골드'!H31*B30</f>
        <v>#REF!</v>
      </c>
      <c r="D30">
        <v>1754400</v>
      </c>
    </row>
    <row r="31" spans="2:11" x14ac:dyDescent="0.3">
      <c r="B31" s="31">
        <v>0.43</v>
      </c>
      <c r="C31" t="e">
        <f ca="1">'육성1 골드'!H32*B31</f>
        <v>#REF!</v>
      </c>
      <c r="D31">
        <v>1879100</v>
      </c>
    </row>
    <row r="32" spans="2:11" x14ac:dyDescent="0.3">
      <c r="B32" s="30">
        <v>0.43</v>
      </c>
      <c r="C32" t="e">
        <f ca="1">'육성1 골드'!H33*B32</f>
        <v>#REF!</v>
      </c>
      <c r="D32">
        <v>2008100</v>
      </c>
    </row>
    <row r="36" spans="2:7" x14ac:dyDescent="0.3">
      <c r="F36" t="s">
        <v>118</v>
      </c>
    </row>
    <row r="39" spans="2:7" x14ac:dyDescent="0.3">
      <c r="B39" s="31">
        <v>700</v>
      </c>
      <c r="C39" s="31">
        <v>358560408.80000001</v>
      </c>
      <c r="E39" s="1">
        <f>C39/(10^5)</f>
        <v>3585.604088</v>
      </c>
      <c r="F39" s="1">
        <f>E39/1000</f>
        <v>3.5856040880000002</v>
      </c>
      <c r="G39">
        <v>5</v>
      </c>
    </row>
    <row r="40" spans="2:7" x14ac:dyDescent="0.3">
      <c r="B40" s="31">
        <v>1700</v>
      </c>
      <c r="C40" s="31">
        <v>4490208271.1999998</v>
      </c>
      <c r="E40" s="1">
        <f t="shared" ref="E40" si="0">C40/(10^5)</f>
        <v>44902.082711999996</v>
      </c>
      <c r="F40" s="1">
        <f t="shared" ref="F40:F58" si="1">E40/1000</f>
        <v>44.902082711999995</v>
      </c>
      <c r="G40">
        <v>5</v>
      </c>
    </row>
    <row r="41" spans="2:7" x14ac:dyDescent="0.3">
      <c r="B41" s="31">
        <v>2700</v>
      </c>
      <c r="C41" s="31">
        <v>11764740015</v>
      </c>
      <c r="E41" s="1">
        <f t="shared" ref="E41:E58" si="2">C41/(10^7)</f>
        <v>1176.4740015</v>
      </c>
      <c r="F41" s="1">
        <f t="shared" si="1"/>
        <v>1.1764740014999999</v>
      </c>
    </row>
    <row r="42" spans="2:7" x14ac:dyDescent="0.3">
      <c r="B42" s="31">
        <v>3700</v>
      </c>
      <c r="C42" s="31">
        <v>20440469536.799999</v>
      </c>
      <c r="E42" s="1">
        <f t="shared" si="2"/>
        <v>2044.0469536799999</v>
      </c>
      <c r="F42" s="1">
        <f t="shared" si="1"/>
        <v>2.0440469536799997</v>
      </c>
    </row>
    <row r="43" spans="2:7" x14ac:dyDescent="0.3">
      <c r="B43" s="31">
        <v>4700</v>
      </c>
      <c r="C43" s="31">
        <v>34436876203.799995</v>
      </c>
      <c r="E43" s="1">
        <f t="shared" si="2"/>
        <v>3443.6876203799993</v>
      </c>
      <c r="F43" s="1">
        <f t="shared" si="1"/>
        <v>3.4436876203799995</v>
      </c>
    </row>
    <row r="44" spans="2:7" x14ac:dyDescent="0.3">
      <c r="B44" s="31">
        <v>5700</v>
      </c>
      <c r="C44" s="31">
        <v>52073282870.400002</v>
      </c>
      <c r="E44" s="1">
        <f t="shared" si="2"/>
        <v>5207.3282870399999</v>
      </c>
      <c r="F44" s="1">
        <f t="shared" si="1"/>
        <v>5.2073282870400002</v>
      </c>
    </row>
    <row r="45" spans="2:7" x14ac:dyDescent="0.3">
      <c r="B45" s="31">
        <v>6700</v>
      </c>
      <c r="C45" s="31">
        <v>67237215408.550003</v>
      </c>
      <c r="E45" s="1">
        <f t="shared" si="2"/>
        <v>6723.7215408550001</v>
      </c>
      <c r="F45" s="1">
        <f t="shared" si="1"/>
        <v>6.7237215408550002</v>
      </c>
    </row>
    <row r="46" spans="2:7" x14ac:dyDescent="0.3">
      <c r="B46" s="31">
        <v>7700</v>
      </c>
      <c r="C46" s="31">
        <v>90077254852.75</v>
      </c>
      <c r="E46" s="1">
        <f t="shared" si="2"/>
        <v>9007.7254852749993</v>
      </c>
      <c r="F46" s="1">
        <f t="shared" si="1"/>
        <v>9.0077254852749995</v>
      </c>
    </row>
    <row r="47" spans="2:7" x14ac:dyDescent="0.3">
      <c r="B47" s="31">
        <v>8700</v>
      </c>
      <c r="C47" s="31">
        <v>116253960963.8</v>
      </c>
      <c r="E47" s="1">
        <f t="shared" si="2"/>
        <v>11625.39609638</v>
      </c>
      <c r="F47" s="1">
        <f t="shared" si="1"/>
        <v>11.625396096379999</v>
      </c>
    </row>
    <row r="48" spans="2:7" x14ac:dyDescent="0.3">
      <c r="B48" s="31">
        <v>9700</v>
      </c>
      <c r="C48" s="31">
        <v>132515757947</v>
      </c>
      <c r="E48" s="1">
        <f t="shared" si="2"/>
        <v>13251.5757947</v>
      </c>
      <c r="F48" s="1">
        <f t="shared" si="1"/>
        <v>13.251575794700001</v>
      </c>
    </row>
    <row r="49" spans="2:6" x14ac:dyDescent="0.3">
      <c r="B49" s="31">
        <v>10700</v>
      </c>
      <c r="C49" s="31">
        <v>162379430169.5</v>
      </c>
      <c r="E49" s="1">
        <f t="shared" si="2"/>
        <v>16237.943016949999</v>
      </c>
      <c r="F49" s="1">
        <f t="shared" si="1"/>
        <v>16.237943016949998</v>
      </c>
    </row>
    <row r="50" spans="2:6" x14ac:dyDescent="0.3">
      <c r="B50" s="31">
        <v>11700</v>
      </c>
      <c r="C50" s="31">
        <v>195276435725</v>
      </c>
      <c r="E50" s="1">
        <f t="shared" si="2"/>
        <v>19527.643572500001</v>
      </c>
      <c r="F50" s="1">
        <f t="shared" si="1"/>
        <v>19.527643572500001</v>
      </c>
    </row>
    <row r="51" spans="2:6" x14ac:dyDescent="0.3">
      <c r="B51" s="31">
        <v>12700</v>
      </c>
      <c r="C51" s="31">
        <v>231206774614</v>
      </c>
      <c r="E51" s="1">
        <f t="shared" si="2"/>
        <v>23120.677461399999</v>
      </c>
      <c r="F51" s="1">
        <f t="shared" si="1"/>
        <v>23.1206774614</v>
      </c>
    </row>
    <row r="52" spans="2:6" x14ac:dyDescent="0.3">
      <c r="B52" s="31">
        <v>13700</v>
      </c>
      <c r="C52" s="31">
        <v>270170446836.5</v>
      </c>
      <c r="E52" s="1">
        <f t="shared" si="2"/>
        <v>27017.044683650001</v>
      </c>
      <c r="F52" s="1">
        <f t="shared" si="1"/>
        <v>27.017044683650003</v>
      </c>
    </row>
    <row r="53" spans="2:6" x14ac:dyDescent="0.3">
      <c r="B53" s="31">
        <v>14700</v>
      </c>
      <c r="C53" s="31">
        <v>280950707152.79999</v>
      </c>
      <c r="E53" s="1">
        <f t="shared" si="2"/>
        <v>28095.070715279999</v>
      </c>
      <c r="F53" s="1">
        <f t="shared" si="1"/>
        <v>28.095070715279999</v>
      </c>
    </row>
    <row r="54" spans="2:6" x14ac:dyDescent="0.3">
      <c r="B54" s="31">
        <v>15700</v>
      </c>
      <c r="C54" s="31">
        <v>307190100501.22998</v>
      </c>
      <c r="E54" s="1">
        <f t="shared" si="2"/>
        <v>30719.010050122997</v>
      </c>
      <c r="F54" s="1">
        <f t="shared" si="1"/>
        <v>30.719010050122996</v>
      </c>
    </row>
    <row r="55" spans="2:6" x14ac:dyDescent="0.3">
      <c r="B55" s="31">
        <v>16700</v>
      </c>
      <c r="C55" s="31">
        <v>348524858612.15002</v>
      </c>
      <c r="E55" s="1">
        <f t="shared" si="2"/>
        <v>34852.485861215006</v>
      </c>
      <c r="F55" s="1">
        <f t="shared" si="1"/>
        <v>34.852485861215008</v>
      </c>
    </row>
    <row r="56" spans="2:6" x14ac:dyDescent="0.3">
      <c r="B56" s="31">
        <v>17700</v>
      </c>
      <c r="C56" s="31">
        <v>392468283389.88</v>
      </c>
      <c r="E56" s="1">
        <f t="shared" si="2"/>
        <v>39246.828338988002</v>
      </c>
      <c r="F56" s="1">
        <f t="shared" si="1"/>
        <v>39.246828338988003</v>
      </c>
    </row>
    <row r="57" spans="2:6" x14ac:dyDescent="0.3">
      <c r="B57" s="31">
        <v>18700</v>
      </c>
      <c r="C57" s="31">
        <v>439020374834.41998</v>
      </c>
      <c r="E57" s="1">
        <f t="shared" si="2"/>
        <v>43902.037483442</v>
      </c>
      <c r="F57" s="1">
        <f t="shared" si="1"/>
        <v>43.902037483442001</v>
      </c>
    </row>
    <row r="58" spans="2:6" x14ac:dyDescent="0.3">
      <c r="B58" s="31">
        <v>19700</v>
      </c>
      <c r="C58" s="31">
        <v>488181132945.77008</v>
      </c>
      <c r="E58" s="1">
        <f t="shared" si="2"/>
        <v>48818.113294577008</v>
      </c>
      <c r="F58" s="1">
        <f t="shared" si="1"/>
        <v>48.81811329457701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54FF-C9F1-41C0-86BA-697477BDDF4E}">
  <dimension ref="A1:AK48"/>
  <sheetViews>
    <sheetView topLeftCell="J16" workbookViewId="0">
      <selection activeCell="S24" sqref="S24:S43"/>
    </sheetView>
  </sheetViews>
  <sheetFormatPr defaultRowHeight="16.5" x14ac:dyDescent="0.3"/>
  <cols>
    <col min="8" max="8" width="13.125" bestFit="1" customWidth="1"/>
    <col min="9" max="9" width="13.625" bestFit="1" customWidth="1"/>
    <col min="10" max="10" width="18.875" customWidth="1"/>
    <col min="16" max="17" width="13.125" bestFit="1" customWidth="1"/>
    <col min="18" max="18" width="12.5" bestFit="1" customWidth="1"/>
  </cols>
  <sheetData>
    <row r="1" spans="1:21" ht="17.25" thickBot="1" x14ac:dyDescent="0.35">
      <c r="A1" s="6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/>
      <c r="J1" s="8" t="s">
        <v>17</v>
      </c>
      <c r="N1" s="34" t="s">
        <v>18</v>
      </c>
      <c r="O1" s="34"/>
      <c r="P1" s="34"/>
      <c r="Q1" s="34"/>
      <c r="R1" s="34"/>
      <c r="S1" s="34"/>
      <c r="T1" s="34"/>
    </row>
    <row r="2" spans="1:21" x14ac:dyDescent="0.3">
      <c r="A2" s="9">
        <v>1</v>
      </c>
      <c r="B2" s="10" t="s">
        <v>19</v>
      </c>
      <c r="C2" s="10">
        <v>1000000000</v>
      </c>
      <c r="D2" s="10">
        <v>1</v>
      </c>
      <c r="E2" s="10">
        <v>113608</v>
      </c>
      <c r="F2" s="10">
        <v>0</v>
      </c>
      <c r="G2" s="10" t="s">
        <v>20</v>
      </c>
      <c r="H2" s="10"/>
      <c r="I2" s="10"/>
      <c r="J2" s="11"/>
      <c r="O2" s="6" t="s">
        <v>21</v>
      </c>
      <c r="P2" s="12">
        <v>0.2</v>
      </c>
      <c r="Q2" s="12">
        <v>0.4</v>
      </c>
      <c r="R2" s="12">
        <v>0.6</v>
      </c>
      <c r="S2" s="12">
        <v>0.8</v>
      </c>
      <c r="T2" s="13">
        <v>1</v>
      </c>
    </row>
    <row r="3" spans="1:21" x14ac:dyDescent="0.3">
      <c r="A3" s="9">
        <v>2</v>
      </c>
      <c r="B3" s="10" t="s">
        <v>22</v>
      </c>
      <c r="C3" s="10">
        <v>1000000000</v>
      </c>
      <c r="D3" s="10">
        <v>1</v>
      </c>
      <c r="E3" s="10">
        <v>113608</v>
      </c>
      <c r="F3" s="10">
        <v>0</v>
      </c>
      <c r="G3" s="10" t="s">
        <v>20</v>
      </c>
      <c r="H3" s="10"/>
      <c r="I3" s="10"/>
      <c r="J3" s="11"/>
      <c r="N3" t="s">
        <v>23</v>
      </c>
      <c r="O3" s="9">
        <v>1000</v>
      </c>
      <c r="P3" s="10">
        <f>$O3*P$2</f>
        <v>200</v>
      </c>
      <c r="Q3" s="10">
        <f>$O3*Q$2</f>
        <v>400</v>
      </c>
      <c r="R3" s="10">
        <f>$O3*R$2</f>
        <v>600</v>
      </c>
      <c r="S3" s="10">
        <f>$O3*S$2</f>
        <v>800</v>
      </c>
      <c r="T3" s="11">
        <f>$O3*T$2</f>
        <v>1000</v>
      </c>
    </row>
    <row r="4" spans="1:21" x14ac:dyDescent="0.3">
      <c r="A4" s="9">
        <v>3</v>
      </c>
      <c r="B4" s="10" t="s">
        <v>24</v>
      </c>
      <c r="C4" s="10">
        <v>1500000000</v>
      </c>
      <c r="D4" s="10">
        <v>1</v>
      </c>
      <c r="E4" s="10">
        <v>250501608</v>
      </c>
      <c r="F4" s="10">
        <v>1000</v>
      </c>
      <c r="G4" s="10" t="s">
        <v>25</v>
      </c>
      <c r="H4" s="10">
        <f>1000/2*(C4+999*E4)</f>
        <v>125875553196000</v>
      </c>
      <c r="I4" s="10" t="s">
        <v>26</v>
      </c>
      <c r="J4" s="11" t="s">
        <v>27</v>
      </c>
      <c r="O4" s="9" t="s">
        <v>0</v>
      </c>
      <c r="P4" s="10">
        <f>$C$4+P3*$E$4</f>
        <v>51600321600</v>
      </c>
      <c r="Q4" s="10">
        <f t="shared" ref="Q4:T4" si="0">$C$4+Q3*$E$4</f>
        <v>101700643200</v>
      </c>
      <c r="R4" s="10">
        <f t="shared" si="0"/>
        <v>151800964800</v>
      </c>
      <c r="S4" s="10">
        <f t="shared" si="0"/>
        <v>201901286400</v>
      </c>
      <c r="T4" s="11">
        <f t="shared" si="0"/>
        <v>252001608000</v>
      </c>
      <c r="U4" t="s">
        <v>0</v>
      </c>
    </row>
    <row r="5" spans="1:21" ht="17.25" thickBot="1" x14ac:dyDescent="0.35">
      <c r="A5" s="9">
        <v>4</v>
      </c>
      <c r="B5" s="10" t="s">
        <v>28</v>
      </c>
      <c r="C5" s="10">
        <v>1500000000</v>
      </c>
      <c r="D5" s="10">
        <v>1</v>
      </c>
      <c r="E5" s="10">
        <v>21501608</v>
      </c>
      <c r="F5" s="10">
        <v>5000</v>
      </c>
      <c r="G5" s="10" t="s">
        <v>29</v>
      </c>
      <c r="H5" s="10">
        <f>5000/2*(C5+5000*E5)</f>
        <v>272520100000000</v>
      </c>
      <c r="I5" s="10" t="s">
        <v>30</v>
      </c>
      <c r="J5" s="11" t="s">
        <v>31</v>
      </c>
      <c r="O5" s="9" t="s">
        <v>32</v>
      </c>
      <c r="P5" s="10" t="s">
        <v>33</v>
      </c>
      <c r="Q5" s="10" t="s">
        <v>34</v>
      </c>
      <c r="R5" s="10" t="s">
        <v>35</v>
      </c>
      <c r="S5" s="10" t="s">
        <v>36</v>
      </c>
      <c r="T5" s="11" t="s">
        <v>37</v>
      </c>
    </row>
    <row r="6" spans="1:21" x14ac:dyDescent="0.3">
      <c r="A6" s="9">
        <v>5</v>
      </c>
      <c r="B6" s="10" t="s">
        <v>38</v>
      </c>
      <c r="C6" s="10">
        <v>252001608000</v>
      </c>
      <c r="D6" s="10">
        <v>100</v>
      </c>
      <c r="E6" s="10">
        <f>E4*3</f>
        <v>751504824</v>
      </c>
      <c r="F6" s="10">
        <v>1000</v>
      </c>
      <c r="G6" s="10" t="s">
        <v>39</v>
      </c>
      <c r="H6" s="10">
        <f>1000/2*(C6+999*E6)</f>
        <v>501377463588000</v>
      </c>
      <c r="I6" s="10" t="s">
        <v>40</v>
      </c>
      <c r="J6" s="11" t="s">
        <v>41</v>
      </c>
      <c r="N6" t="s">
        <v>42</v>
      </c>
      <c r="O6" s="6" t="s">
        <v>21</v>
      </c>
      <c r="P6" s="12">
        <v>0.2</v>
      </c>
      <c r="Q6" s="12">
        <v>0.4</v>
      </c>
      <c r="R6" s="12">
        <v>0.6</v>
      </c>
      <c r="S6" s="12">
        <v>0.8</v>
      </c>
      <c r="T6" s="13">
        <v>1</v>
      </c>
    </row>
    <row r="7" spans="1:21" x14ac:dyDescent="0.3">
      <c r="A7" s="9">
        <v>6</v>
      </c>
      <c r="B7" s="10" t="s">
        <v>43</v>
      </c>
      <c r="C7" s="10">
        <v>109008040000</v>
      </c>
      <c r="D7" s="10">
        <v>100</v>
      </c>
      <c r="E7" s="10">
        <f>E5*2</f>
        <v>43003216</v>
      </c>
      <c r="F7" s="10">
        <v>5000</v>
      </c>
      <c r="G7" s="10" t="s">
        <v>44</v>
      </c>
      <c r="H7" s="10">
        <f>5000/2*(C7+5000*E7)</f>
        <v>810060300000000</v>
      </c>
      <c r="I7" s="10" t="s">
        <v>45</v>
      </c>
      <c r="J7" s="11" t="s">
        <v>46</v>
      </c>
      <c r="O7" s="9">
        <v>5000</v>
      </c>
      <c r="P7" s="10">
        <f>$O7*P$2</f>
        <v>1000</v>
      </c>
      <c r="Q7" s="10">
        <f>$O7*Q$2</f>
        <v>2000</v>
      </c>
      <c r="R7" s="10">
        <f>$O7*R$2</f>
        <v>3000</v>
      </c>
      <c r="S7" s="10">
        <f>$O7*S$2</f>
        <v>4000</v>
      </c>
      <c r="T7" s="11">
        <f>$O7*T$2</f>
        <v>5000</v>
      </c>
      <c r="U7" t="s">
        <v>0</v>
      </c>
    </row>
    <row r="8" spans="1:21" ht="17.25" thickBot="1" x14ac:dyDescent="0.35">
      <c r="A8" s="14"/>
      <c r="B8" s="15"/>
      <c r="C8" s="15"/>
      <c r="D8" s="15"/>
      <c r="E8" s="15"/>
      <c r="F8" s="15"/>
      <c r="G8" s="15"/>
      <c r="H8" s="15"/>
      <c r="I8" s="15"/>
      <c r="J8" s="16"/>
      <c r="O8" s="9" t="s">
        <v>0</v>
      </c>
      <c r="P8" s="10">
        <f>$C$4+P7*$E$5</f>
        <v>23001608000</v>
      </c>
      <c r="Q8" s="10">
        <f t="shared" ref="Q8:T8" si="1">$C$4+Q7*$E$5</f>
        <v>44503216000</v>
      </c>
      <c r="R8" s="10">
        <f t="shared" si="1"/>
        <v>66004824000</v>
      </c>
      <c r="S8" s="10">
        <f t="shared" si="1"/>
        <v>87506432000</v>
      </c>
      <c r="T8" s="11">
        <f t="shared" si="1"/>
        <v>109008040000</v>
      </c>
    </row>
    <row r="9" spans="1:21" ht="17.25" thickBot="1" x14ac:dyDescent="0.35">
      <c r="C9" t="s">
        <v>0</v>
      </c>
      <c r="O9" s="9" t="s">
        <v>32</v>
      </c>
      <c r="P9" s="15" t="s">
        <v>47</v>
      </c>
      <c r="Q9" s="15" t="s">
        <v>48</v>
      </c>
      <c r="R9" s="15" t="s">
        <v>49</v>
      </c>
      <c r="S9" s="15" t="s">
        <v>50</v>
      </c>
      <c r="T9" s="16" t="s">
        <v>51</v>
      </c>
    </row>
    <row r="11" spans="1:21" ht="17.25" thickBot="1" x14ac:dyDescent="0.35">
      <c r="N11" s="34" t="s">
        <v>52</v>
      </c>
      <c r="O11" s="34"/>
      <c r="P11" s="34"/>
      <c r="Q11" s="34"/>
      <c r="R11" s="34"/>
      <c r="S11" s="34"/>
      <c r="T11" s="34"/>
    </row>
    <row r="12" spans="1:21" x14ac:dyDescent="0.3">
      <c r="N12" t="s">
        <v>23</v>
      </c>
      <c r="O12" s="6" t="s">
        <v>21</v>
      </c>
      <c r="P12" s="12">
        <v>0.2</v>
      </c>
      <c r="Q12" s="12">
        <v>0.4</v>
      </c>
      <c r="R12" s="12">
        <v>0.6</v>
      </c>
      <c r="S12" s="12">
        <v>0.8</v>
      </c>
      <c r="T12" s="13">
        <v>1</v>
      </c>
    </row>
    <row r="13" spans="1:21" x14ac:dyDescent="0.3">
      <c r="G13" s="34" t="s">
        <v>53</v>
      </c>
      <c r="H13" s="34"/>
      <c r="I13">
        <v>1000</v>
      </c>
      <c r="O13" s="9">
        <v>1000</v>
      </c>
      <c r="P13" s="10">
        <f>$O13*P$2</f>
        <v>200</v>
      </c>
      <c r="Q13" s="10">
        <f>$O13*Q$2</f>
        <v>400</v>
      </c>
      <c r="R13" s="10">
        <f>$O13*R$2</f>
        <v>600</v>
      </c>
      <c r="S13" s="10">
        <f>$O13*S$2</f>
        <v>800</v>
      </c>
      <c r="T13" s="11">
        <f>$O13*T$2</f>
        <v>1000</v>
      </c>
    </row>
    <row r="14" spans="1:21" x14ac:dyDescent="0.3">
      <c r="G14" s="34" t="s">
        <v>24</v>
      </c>
      <c r="H14" s="34"/>
      <c r="I14">
        <f>C4+I$13*E4</f>
        <v>252001608000</v>
      </c>
      <c r="J14" t="s">
        <v>37</v>
      </c>
      <c r="O14" s="9"/>
      <c r="P14" s="10">
        <f>$C$6+P13*$E$6</f>
        <v>402302572800</v>
      </c>
      <c r="Q14" s="10">
        <f t="shared" ref="Q14:T14" si="2">$C$6+Q13*$E$6</f>
        <v>552603537600</v>
      </c>
      <c r="R14" s="10">
        <f t="shared" si="2"/>
        <v>702904502400</v>
      </c>
      <c r="S14" s="10">
        <f t="shared" si="2"/>
        <v>853205467200</v>
      </c>
      <c r="T14" s="11">
        <f t="shared" si="2"/>
        <v>1003506432000</v>
      </c>
    </row>
    <row r="15" spans="1:21" ht="17.25" thickBot="1" x14ac:dyDescent="0.35">
      <c r="G15" s="34" t="s">
        <v>28</v>
      </c>
      <c r="H15" s="34"/>
      <c r="I15">
        <f>C4+I$13*E5</f>
        <v>23001608000</v>
      </c>
      <c r="J15" t="s">
        <v>34</v>
      </c>
      <c r="O15" s="14" t="s">
        <v>32</v>
      </c>
      <c r="P15" s="15" t="s">
        <v>54</v>
      </c>
      <c r="Q15" s="15" t="s">
        <v>55</v>
      </c>
      <c r="R15" s="15" t="s">
        <v>56</v>
      </c>
      <c r="S15" s="15" t="s">
        <v>57</v>
      </c>
      <c r="T15" s="16" t="s">
        <v>58</v>
      </c>
    </row>
    <row r="16" spans="1:21" ht="17.25" thickBot="1" x14ac:dyDescent="0.35">
      <c r="N16" t="s">
        <v>42</v>
      </c>
      <c r="O16" s="6" t="s">
        <v>21</v>
      </c>
      <c r="P16" s="12">
        <v>0.2</v>
      </c>
      <c r="Q16" s="12">
        <v>0.4</v>
      </c>
      <c r="R16" s="12">
        <v>0.6</v>
      </c>
      <c r="S16" s="12">
        <v>0.8</v>
      </c>
      <c r="T16" s="13">
        <v>1</v>
      </c>
    </row>
    <row r="17" spans="3:37" x14ac:dyDescent="0.3">
      <c r="C17" s="6" t="s">
        <v>59</v>
      </c>
      <c r="D17" s="8">
        <v>1000000</v>
      </c>
      <c r="O17" s="9">
        <v>5000</v>
      </c>
      <c r="P17" s="10">
        <f>$O17*P$2</f>
        <v>1000</v>
      </c>
      <c r="Q17" s="10">
        <f>$O17*Q$2</f>
        <v>2000</v>
      </c>
      <c r="R17" s="10">
        <f>$O17*R$2</f>
        <v>3000</v>
      </c>
      <c r="S17" s="10">
        <f>$O17*S$2</f>
        <v>4000</v>
      </c>
      <c r="T17" s="11">
        <f>$O17*T$2</f>
        <v>5000</v>
      </c>
    </row>
    <row r="18" spans="3:37" x14ac:dyDescent="0.3">
      <c r="C18" s="9" t="s">
        <v>60</v>
      </c>
      <c r="D18" s="11">
        <v>10000000</v>
      </c>
      <c r="G18" t="s">
        <v>61</v>
      </c>
      <c r="H18" t="s">
        <v>62</v>
      </c>
      <c r="I18">
        <v>1000</v>
      </c>
      <c r="K18" s="17">
        <v>0.5</v>
      </c>
      <c r="O18" s="9"/>
      <c r="P18" s="10">
        <f>$C$7+P17*$E$7</f>
        <v>152011256000</v>
      </c>
      <c r="Q18" s="10">
        <f t="shared" ref="Q18:T18" si="3">$C$7+Q17*$E$7</f>
        <v>195014472000</v>
      </c>
      <c r="R18" s="10">
        <f t="shared" si="3"/>
        <v>238017688000</v>
      </c>
      <c r="S18" s="10">
        <f t="shared" si="3"/>
        <v>281020904000</v>
      </c>
      <c r="T18" s="11">
        <f t="shared" si="3"/>
        <v>324024120000</v>
      </c>
    </row>
    <row r="19" spans="3:37" ht="17.25" thickBot="1" x14ac:dyDescent="0.35">
      <c r="C19" s="9" t="s">
        <v>63</v>
      </c>
      <c r="D19" s="11">
        <v>100000000</v>
      </c>
      <c r="G19" s="34" t="s">
        <v>24</v>
      </c>
      <c r="H19" s="34"/>
      <c r="I19">
        <f>I$18/2*((2*C4)+(I$18-1)*E4)</f>
        <v>126625553196000</v>
      </c>
      <c r="K19">
        <f>I19/2</f>
        <v>63312776598000</v>
      </c>
      <c r="O19" s="14" t="s">
        <v>32</v>
      </c>
      <c r="P19" s="15" t="s">
        <v>64</v>
      </c>
      <c r="Q19" s="15" t="s">
        <v>65</v>
      </c>
      <c r="R19" s="15" t="s">
        <v>66</v>
      </c>
      <c r="S19" s="15" t="s">
        <v>67</v>
      </c>
      <c r="T19" s="16" t="s">
        <v>68</v>
      </c>
    </row>
    <row r="20" spans="3:37" x14ac:dyDescent="0.3">
      <c r="C20" s="9" t="s">
        <v>69</v>
      </c>
      <c r="D20" s="11">
        <v>1000000000</v>
      </c>
      <c r="G20" s="34" t="s">
        <v>28</v>
      </c>
      <c r="H20" s="34"/>
      <c r="I20">
        <f>I$18/2*((2*C5)+(I$18-1)*E5)</f>
        <v>12240053196000</v>
      </c>
      <c r="K20">
        <f>I20/2</f>
        <v>6120026598000</v>
      </c>
    </row>
    <row r="21" spans="3:37" x14ac:dyDescent="0.3">
      <c r="C21" s="9" t="s">
        <v>70</v>
      </c>
      <c r="D21" s="11">
        <v>10000000000</v>
      </c>
      <c r="S21" s="2"/>
      <c r="T21" s="3"/>
      <c r="U21" s="18"/>
    </row>
    <row r="22" spans="3:37" x14ac:dyDescent="0.3">
      <c r="C22" s="9" t="s">
        <v>71</v>
      </c>
      <c r="D22" s="11">
        <v>100000000000</v>
      </c>
    </row>
    <row r="23" spans="3:37" x14ac:dyDescent="0.3">
      <c r="C23" s="9" t="s">
        <v>72</v>
      </c>
      <c r="D23" s="11">
        <v>1000000000000</v>
      </c>
      <c r="I23" s="17">
        <v>0.56000000000000005</v>
      </c>
      <c r="J23">
        <v>653000000000</v>
      </c>
      <c r="R23">
        <v>1000000000000</v>
      </c>
    </row>
    <row r="24" spans="3:37" x14ac:dyDescent="0.3">
      <c r="C24" s="9" t="s">
        <v>73</v>
      </c>
      <c r="D24" s="11">
        <v>10000000000000</v>
      </c>
      <c r="E24">
        <v>1000</v>
      </c>
      <c r="F24">
        <v>0.05</v>
      </c>
      <c r="G24">
        <f>F24*E24</f>
        <v>50</v>
      </c>
      <c r="I24">
        <f>G24/2*((2*C$4)+(G24-1)*E$4)</f>
        <v>381864469800</v>
      </c>
      <c r="J24">
        <f>INT(I24*0.33)</f>
        <v>126015275034</v>
      </c>
      <c r="K24" s="1">
        <f>J24/(10^9)</f>
        <v>126.015275034</v>
      </c>
      <c r="M24">
        <v>5000</v>
      </c>
      <c r="N24">
        <v>0.05</v>
      </c>
      <c r="O24">
        <f>N24*M24</f>
        <v>250</v>
      </c>
      <c r="Q24">
        <f>O24/2*((2*C$5)+(O24-1)*E$5)</f>
        <v>1044237549000</v>
      </c>
      <c r="R24" s="29">
        <f>Q24*0.33</f>
        <v>344598391170</v>
      </c>
      <c r="S24" s="1">
        <f>R24/(10^9)</f>
        <v>344.59839117000001</v>
      </c>
    </row>
    <row r="25" spans="3:37" ht="17.25" thickBot="1" x14ac:dyDescent="0.35">
      <c r="C25" s="14" t="s">
        <v>74</v>
      </c>
      <c r="D25" s="16">
        <v>100000000000000</v>
      </c>
      <c r="E25">
        <v>1000</v>
      </c>
      <c r="F25" s="19">
        <v>0.1</v>
      </c>
      <c r="G25">
        <f t="shared" ref="G25:G43" si="4">F25*E25</f>
        <v>100</v>
      </c>
      <c r="H25">
        <f>G24</f>
        <v>50</v>
      </c>
      <c r="I25">
        <f>G25/2*((2*C$4)+(G25-1)*E$4)-H25/2*((2*C$4)+(H25-1)*E$4)</f>
        <v>1008118489800</v>
      </c>
      <c r="J25">
        <f t="shared" ref="J25:J43" si="5">INT(I25*0.33)</f>
        <v>332679101634</v>
      </c>
      <c r="K25" s="1">
        <f t="shared" ref="K25:K43" si="6">J25/(10^9)</f>
        <v>332.67910163400001</v>
      </c>
      <c r="M25">
        <v>5000</v>
      </c>
      <c r="N25" s="19">
        <v>0.1</v>
      </c>
      <c r="O25">
        <f t="shared" ref="O25:O43" si="7">N25*M25</f>
        <v>500</v>
      </c>
      <c r="P25">
        <f>O24</f>
        <v>250</v>
      </c>
      <c r="Q25">
        <f>O25/2*((2*C$5)+(O25-1)*E$5)-P25/2*((2*C$5)+(P25-1)*E$5)</f>
        <v>2388088049000</v>
      </c>
      <c r="R25" s="29">
        <f t="shared" ref="R25:R43" si="8">Q25*0.33</f>
        <v>788069056170</v>
      </c>
      <c r="S25" s="1">
        <f t="shared" ref="S25:S43" si="9">R25/(10^9)</f>
        <v>788.06905616999995</v>
      </c>
      <c r="Z25">
        <v>1000000000</v>
      </c>
    </row>
    <row r="26" spans="3:37" x14ac:dyDescent="0.3">
      <c r="E26">
        <v>1000</v>
      </c>
      <c r="F26">
        <v>0.15</v>
      </c>
      <c r="G26">
        <f t="shared" si="4"/>
        <v>150</v>
      </c>
      <c r="H26">
        <f t="shared" ref="H26:H46" si="10">G25</f>
        <v>100</v>
      </c>
      <c r="I26">
        <f t="shared" ref="I26:I43" si="11">G26/2*((2*C$4)+(G26-1)*E$4)-H26/2*((2*C$4)+(H26-1)*E$4)</f>
        <v>1634372509800</v>
      </c>
      <c r="J26">
        <f t="shared" si="5"/>
        <v>539342928234</v>
      </c>
      <c r="K26" s="1">
        <f t="shared" si="6"/>
        <v>539.34292823400006</v>
      </c>
      <c r="M26">
        <v>5000</v>
      </c>
      <c r="N26">
        <v>0.15</v>
      </c>
      <c r="O26">
        <f t="shared" si="7"/>
        <v>750</v>
      </c>
      <c r="P26">
        <f t="shared" ref="P26:P43" si="12">O25</f>
        <v>500</v>
      </c>
      <c r="Q26">
        <f t="shared" ref="Q26:Q43" si="13">O26/2*((2*C$5)+(O26-1)*E$5)-P26/2*((2*C$5)+(P26-1)*E$5)</f>
        <v>3731938549000</v>
      </c>
      <c r="R26" s="29">
        <f t="shared" si="8"/>
        <v>1231539721170</v>
      </c>
      <c r="S26" s="1">
        <f t="shared" si="9"/>
        <v>1231.5397211699999</v>
      </c>
    </row>
    <row r="27" spans="3:37" x14ac:dyDescent="0.3">
      <c r="E27">
        <v>1000</v>
      </c>
      <c r="F27" s="19">
        <v>0.2</v>
      </c>
      <c r="G27">
        <f t="shared" si="4"/>
        <v>200</v>
      </c>
      <c r="H27">
        <f t="shared" si="10"/>
        <v>150</v>
      </c>
      <c r="I27">
        <f t="shared" si="11"/>
        <v>2260626529800</v>
      </c>
      <c r="J27">
        <f t="shared" si="5"/>
        <v>746006754834</v>
      </c>
      <c r="K27" s="1">
        <f t="shared" si="6"/>
        <v>746.00675483400005</v>
      </c>
      <c r="M27">
        <v>5000</v>
      </c>
      <c r="N27" s="19">
        <v>0.2</v>
      </c>
      <c r="O27">
        <f t="shared" si="7"/>
        <v>1000</v>
      </c>
      <c r="P27">
        <f t="shared" si="12"/>
        <v>750</v>
      </c>
      <c r="Q27">
        <f t="shared" si="13"/>
        <v>5075789049000</v>
      </c>
      <c r="R27" s="29">
        <f t="shared" si="8"/>
        <v>1675010386170</v>
      </c>
      <c r="S27" s="1">
        <f t="shared" si="9"/>
        <v>1675.0103861699999</v>
      </c>
    </row>
    <row r="28" spans="3:37" x14ac:dyDescent="0.3">
      <c r="E28">
        <v>1000</v>
      </c>
      <c r="F28">
        <v>0.25</v>
      </c>
      <c r="G28">
        <f t="shared" si="4"/>
        <v>250</v>
      </c>
      <c r="H28">
        <f t="shared" si="10"/>
        <v>200</v>
      </c>
      <c r="I28">
        <f t="shared" si="11"/>
        <v>2886880549800</v>
      </c>
      <c r="J28">
        <f t="shared" si="5"/>
        <v>952670581434</v>
      </c>
      <c r="K28" s="1">
        <f t="shared" si="6"/>
        <v>952.67058143400004</v>
      </c>
      <c r="M28">
        <v>5000</v>
      </c>
      <c r="N28">
        <v>0.25</v>
      </c>
      <c r="O28">
        <f t="shared" si="7"/>
        <v>1250</v>
      </c>
      <c r="P28">
        <f t="shared" si="12"/>
        <v>1000</v>
      </c>
      <c r="Q28">
        <f t="shared" si="13"/>
        <v>6419639549000</v>
      </c>
      <c r="R28" s="29">
        <f t="shared" si="8"/>
        <v>2118481051170</v>
      </c>
      <c r="S28" s="1">
        <f t="shared" si="9"/>
        <v>2118.4810511699998</v>
      </c>
      <c r="AC28" s="3"/>
    </row>
    <row r="29" spans="3:37" x14ac:dyDescent="0.3">
      <c r="E29">
        <v>1000</v>
      </c>
      <c r="F29" s="19">
        <v>0.3</v>
      </c>
      <c r="G29">
        <f t="shared" si="4"/>
        <v>300</v>
      </c>
      <c r="H29">
        <f t="shared" si="10"/>
        <v>250</v>
      </c>
      <c r="I29">
        <f t="shared" si="11"/>
        <v>3513134569800</v>
      </c>
      <c r="J29">
        <f t="shared" si="5"/>
        <v>1159334408034</v>
      </c>
      <c r="K29" s="1">
        <f t="shared" si="6"/>
        <v>1159.334408034</v>
      </c>
      <c r="M29">
        <v>5000</v>
      </c>
      <c r="N29" s="19">
        <v>0.3</v>
      </c>
      <c r="O29">
        <f t="shared" si="7"/>
        <v>1500</v>
      </c>
      <c r="P29">
        <f t="shared" si="12"/>
        <v>1250</v>
      </c>
      <c r="Q29">
        <f t="shared" si="13"/>
        <v>7763490049000</v>
      </c>
      <c r="R29" s="29">
        <f t="shared" si="8"/>
        <v>2561951716170</v>
      </c>
      <c r="S29" s="1">
        <f t="shared" si="9"/>
        <v>2561.9517161700001</v>
      </c>
      <c r="AC29" s="3"/>
    </row>
    <row r="30" spans="3:37" ht="17.25" thickBot="1" x14ac:dyDescent="0.35">
      <c r="E30">
        <v>1000</v>
      </c>
      <c r="F30">
        <v>0.35</v>
      </c>
      <c r="G30">
        <f t="shared" si="4"/>
        <v>350</v>
      </c>
      <c r="H30">
        <f t="shared" si="10"/>
        <v>300</v>
      </c>
      <c r="I30">
        <f t="shared" si="11"/>
        <v>4139388589800</v>
      </c>
      <c r="J30">
        <f t="shared" si="5"/>
        <v>1365998234634</v>
      </c>
      <c r="K30" s="1">
        <f t="shared" si="6"/>
        <v>1365.998234634</v>
      </c>
      <c r="M30">
        <v>5000</v>
      </c>
      <c r="N30">
        <v>0.35</v>
      </c>
      <c r="O30">
        <f t="shared" si="7"/>
        <v>1750</v>
      </c>
      <c r="P30">
        <f t="shared" si="12"/>
        <v>1500</v>
      </c>
      <c r="Q30">
        <f t="shared" si="13"/>
        <v>9107340549000</v>
      </c>
      <c r="R30" s="29">
        <f t="shared" si="8"/>
        <v>3005422381170</v>
      </c>
      <c r="S30" s="1">
        <f t="shared" si="9"/>
        <v>3005.4223811699999</v>
      </c>
      <c r="AA30" s="3"/>
    </row>
    <row r="31" spans="3:37" x14ac:dyDescent="0.3">
      <c r="E31">
        <v>1000</v>
      </c>
      <c r="F31" s="19">
        <v>0.4</v>
      </c>
      <c r="G31">
        <f t="shared" si="4"/>
        <v>400</v>
      </c>
      <c r="H31">
        <f t="shared" si="10"/>
        <v>350</v>
      </c>
      <c r="I31">
        <f t="shared" si="11"/>
        <v>4765642609800</v>
      </c>
      <c r="J31">
        <f t="shared" si="5"/>
        <v>1572662061234</v>
      </c>
      <c r="K31" s="1">
        <f t="shared" si="6"/>
        <v>1572.662061234</v>
      </c>
      <c r="M31">
        <v>5000</v>
      </c>
      <c r="N31" s="19">
        <v>0.4</v>
      </c>
      <c r="O31">
        <f t="shared" si="7"/>
        <v>2000</v>
      </c>
      <c r="P31">
        <f t="shared" si="12"/>
        <v>1750</v>
      </c>
      <c r="Q31">
        <f t="shared" si="13"/>
        <v>10451191049000</v>
      </c>
      <c r="R31" s="29">
        <f t="shared" si="8"/>
        <v>3448893046170</v>
      </c>
      <c r="S31" s="1">
        <f t="shared" si="9"/>
        <v>3448.8930461700002</v>
      </c>
      <c r="Y31" s="6" t="s">
        <v>75</v>
      </c>
      <c r="Z31" s="7" t="s">
        <v>76</v>
      </c>
      <c r="AA31" s="7" t="s">
        <v>77</v>
      </c>
      <c r="AB31" s="7" t="s">
        <v>78</v>
      </c>
      <c r="AC31" s="7"/>
      <c r="AD31" s="7" t="s">
        <v>79</v>
      </c>
      <c r="AE31" s="8" t="s">
        <v>80</v>
      </c>
      <c r="AI31" s="6" t="s">
        <v>81</v>
      </c>
      <c r="AJ31" s="7" t="s">
        <v>77</v>
      </c>
      <c r="AK31" s="8" t="s">
        <v>82</v>
      </c>
    </row>
    <row r="32" spans="3:37" x14ac:dyDescent="0.3">
      <c r="E32">
        <v>1000</v>
      </c>
      <c r="F32">
        <v>0.45</v>
      </c>
      <c r="G32">
        <f t="shared" si="4"/>
        <v>450</v>
      </c>
      <c r="H32">
        <f t="shared" si="10"/>
        <v>400</v>
      </c>
      <c r="I32">
        <f t="shared" si="11"/>
        <v>5391896629800</v>
      </c>
      <c r="J32">
        <f t="shared" si="5"/>
        <v>1779325887834</v>
      </c>
      <c r="K32" s="1">
        <f t="shared" si="6"/>
        <v>1779.325887834</v>
      </c>
      <c r="M32">
        <v>5000</v>
      </c>
      <c r="N32">
        <v>0.45</v>
      </c>
      <c r="O32">
        <f t="shared" si="7"/>
        <v>2250</v>
      </c>
      <c r="P32">
        <f t="shared" si="12"/>
        <v>2000</v>
      </c>
      <c r="Q32">
        <f t="shared" si="13"/>
        <v>11795041549000</v>
      </c>
      <c r="R32" s="29">
        <f t="shared" si="8"/>
        <v>3892363711170</v>
      </c>
      <c r="S32" s="1">
        <f t="shared" si="9"/>
        <v>3892.36371117</v>
      </c>
      <c r="Y32" s="20">
        <v>1</v>
      </c>
      <c r="Z32" s="21"/>
      <c r="AA32" s="10"/>
      <c r="AB32" s="10"/>
      <c r="AC32" s="10"/>
      <c r="AD32" s="10"/>
      <c r="AE32" s="11"/>
      <c r="AI32" s="9" t="s">
        <v>0</v>
      </c>
      <c r="AJ32" s="10"/>
      <c r="AK32" s="11"/>
    </row>
    <row r="33" spans="5:37" x14ac:dyDescent="0.3">
      <c r="E33">
        <v>1000</v>
      </c>
      <c r="F33" s="19">
        <v>0.5</v>
      </c>
      <c r="G33">
        <f t="shared" si="4"/>
        <v>500</v>
      </c>
      <c r="H33">
        <f t="shared" si="10"/>
        <v>450</v>
      </c>
      <c r="I33">
        <f t="shared" si="11"/>
        <v>6018150649800</v>
      </c>
      <c r="J33">
        <f t="shared" si="5"/>
        <v>1985989714434</v>
      </c>
      <c r="K33" s="1">
        <f t="shared" si="6"/>
        <v>1985.989714434</v>
      </c>
      <c r="M33">
        <v>5000</v>
      </c>
      <c r="N33" s="19">
        <v>0.5</v>
      </c>
      <c r="O33">
        <f t="shared" si="7"/>
        <v>2500</v>
      </c>
      <c r="P33">
        <f t="shared" si="12"/>
        <v>2250</v>
      </c>
      <c r="Q33">
        <f t="shared" si="13"/>
        <v>13138892049000</v>
      </c>
      <c r="R33" s="29">
        <f t="shared" si="8"/>
        <v>4335834376170</v>
      </c>
      <c r="S33" s="1">
        <f t="shared" si="9"/>
        <v>4335.8343761699998</v>
      </c>
      <c r="Y33" s="22">
        <v>2</v>
      </c>
      <c r="Z33" s="23">
        <v>1055</v>
      </c>
      <c r="AA33" s="23" t="s">
        <v>83</v>
      </c>
      <c r="AB33" s="23" t="s">
        <v>84</v>
      </c>
      <c r="AC33" s="23">
        <f>67*5</f>
        <v>335</v>
      </c>
      <c r="AD33" s="23">
        <f>950+335</f>
        <v>1285</v>
      </c>
      <c r="AE33" s="24">
        <v>12.37</v>
      </c>
      <c r="AI33" s="22" t="s">
        <v>85</v>
      </c>
      <c r="AJ33" s="23">
        <f ca="1">SUM(AJ33:AJ34)</f>
        <v>68</v>
      </c>
      <c r="AK33" s="24">
        <v>11.08</v>
      </c>
    </row>
    <row r="34" spans="5:37" x14ac:dyDescent="0.3">
      <c r="E34">
        <v>1000</v>
      </c>
      <c r="F34">
        <v>0.55000000000000004</v>
      </c>
      <c r="G34">
        <f t="shared" si="4"/>
        <v>550</v>
      </c>
      <c r="H34">
        <f t="shared" si="10"/>
        <v>500</v>
      </c>
      <c r="I34">
        <f t="shared" si="11"/>
        <v>6644404669800</v>
      </c>
      <c r="J34">
        <f t="shared" si="5"/>
        <v>2192653541034</v>
      </c>
      <c r="K34" s="1">
        <f t="shared" si="6"/>
        <v>2192.6535410340002</v>
      </c>
      <c r="M34">
        <v>5000</v>
      </c>
      <c r="N34">
        <v>0.55000000000000004</v>
      </c>
      <c r="O34">
        <f t="shared" si="7"/>
        <v>2750</v>
      </c>
      <c r="P34">
        <f t="shared" si="12"/>
        <v>2500</v>
      </c>
      <c r="Q34">
        <f t="shared" si="13"/>
        <v>14482742549000</v>
      </c>
      <c r="R34" s="29">
        <f t="shared" si="8"/>
        <v>4779305041170</v>
      </c>
      <c r="S34" s="1">
        <f t="shared" si="9"/>
        <v>4779.3050411699996</v>
      </c>
      <c r="Y34" s="22">
        <v>10</v>
      </c>
      <c r="Z34" s="23">
        <v>855</v>
      </c>
      <c r="AA34" s="23">
        <v>590</v>
      </c>
      <c r="AB34" s="23">
        <v>40</v>
      </c>
      <c r="AC34" s="23">
        <f>AB34*5</f>
        <v>200</v>
      </c>
      <c r="AD34" s="23">
        <f>AC34+AA34</f>
        <v>790</v>
      </c>
      <c r="AE34" s="24">
        <v>8.8699999999999992</v>
      </c>
      <c r="AI34" s="22">
        <v>5</v>
      </c>
      <c r="AJ34" s="23">
        <v>38</v>
      </c>
      <c r="AK34" s="24">
        <v>7.54</v>
      </c>
    </row>
    <row r="35" spans="5:37" ht="17.25" thickBot="1" x14ac:dyDescent="0.35">
      <c r="E35">
        <v>1000</v>
      </c>
      <c r="F35" s="19">
        <v>0.6</v>
      </c>
      <c r="G35">
        <f t="shared" si="4"/>
        <v>600</v>
      </c>
      <c r="H35">
        <f t="shared" si="10"/>
        <v>550</v>
      </c>
      <c r="I35">
        <f t="shared" si="11"/>
        <v>7270658689800</v>
      </c>
      <c r="J35">
        <f t="shared" si="5"/>
        <v>2399317367634</v>
      </c>
      <c r="K35" s="1">
        <f t="shared" si="6"/>
        <v>2399.3173676340002</v>
      </c>
      <c r="M35">
        <v>5000</v>
      </c>
      <c r="N35" s="19">
        <v>0.6</v>
      </c>
      <c r="O35">
        <f t="shared" si="7"/>
        <v>3000</v>
      </c>
      <c r="P35">
        <f t="shared" si="12"/>
        <v>2750</v>
      </c>
      <c r="Q35">
        <f t="shared" si="13"/>
        <v>15826593049000</v>
      </c>
      <c r="R35" s="29">
        <f t="shared" si="8"/>
        <v>5222775706170</v>
      </c>
      <c r="S35" s="1">
        <f t="shared" si="9"/>
        <v>5222.7757061700004</v>
      </c>
      <c r="Y35" s="25" t="s">
        <v>86</v>
      </c>
      <c r="Z35" s="26">
        <v>1216</v>
      </c>
      <c r="AA35" s="26">
        <v>1800</v>
      </c>
      <c r="AB35" s="26">
        <v>154</v>
      </c>
      <c r="AC35" s="26">
        <f>AB35*5</f>
        <v>770</v>
      </c>
      <c r="AD35" s="26">
        <f>AC35+AA35</f>
        <v>2570</v>
      </c>
      <c r="AE35" s="27">
        <v>20</v>
      </c>
      <c r="AI35" s="25">
        <v>34</v>
      </c>
      <c r="AJ35" s="26">
        <v>167</v>
      </c>
      <c r="AK35" s="27">
        <v>20</v>
      </c>
    </row>
    <row r="36" spans="5:37" x14ac:dyDescent="0.3">
      <c r="E36">
        <v>1000</v>
      </c>
      <c r="F36">
        <v>0.65</v>
      </c>
      <c r="G36">
        <f t="shared" si="4"/>
        <v>650</v>
      </c>
      <c r="H36">
        <f t="shared" si="10"/>
        <v>600</v>
      </c>
      <c r="I36">
        <f t="shared" si="11"/>
        <v>7896912709800</v>
      </c>
      <c r="J36">
        <f t="shared" si="5"/>
        <v>2605981194234</v>
      </c>
      <c r="K36" s="1">
        <f t="shared" si="6"/>
        <v>2605.9811942340002</v>
      </c>
      <c r="M36">
        <v>5000</v>
      </c>
      <c r="N36">
        <v>0.65</v>
      </c>
      <c r="O36">
        <f t="shared" si="7"/>
        <v>3250</v>
      </c>
      <c r="P36">
        <f t="shared" si="12"/>
        <v>3000</v>
      </c>
      <c r="Q36">
        <f t="shared" si="13"/>
        <v>17170443549000</v>
      </c>
      <c r="R36" s="29">
        <f t="shared" si="8"/>
        <v>5666246371170</v>
      </c>
      <c r="S36" s="1">
        <f t="shared" si="9"/>
        <v>5666.2463711700002</v>
      </c>
    </row>
    <row r="37" spans="5:37" x14ac:dyDescent="0.3">
      <c r="E37">
        <v>1000</v>
      </c>
      <c r="F37" s="19">
        <v>0.7</v>
      </c>
      <c r="G37">
        <f t="shared" si="4"/>
        <v>700</v>
      </c>
      <c r="H37">
        <f t="shared" si="10"/>
        <v>650</v>
      </c>
      <c r="I37">
        <f t="shared" si="11"/>
        <v>8523166729800</v>
      </c>
      <c r="J37">
        <f t="shared" si="5"/>
        <v>2812645020834</v>
      </c>
      <c r="K37" s="1">
        <f t="shared" si="6"/>
        <v>2812.6450208340002</v>
      </c>
      <c r="M37">
        <v>5000</v>
      </c>
      <c r="N37" s="19">
        <v>0.7</v>
      </c>
      <c r="O37">
        <f t="shared" si="7"/>
        <v>3500</v>
      </c>
      <c r="P37">
        <f t="shared" si="12"/>
        <v>3250</v>
      </c>
      <c r="Q37">
        <f t="shared" si="13"/>
        <v>18514294049000</v>
      </c>
      <c r="R37" s="29">
        <f t="shared" si="8"/>
        <v>6109717036170</v>
      </c>
      <c r="S37" s="1">
        <f t="shared" si="9"/>
        <v>6109.71703617</v>
      </c>
    </row>
    <row r="38" spans="5:37" x14ac:dyDescent="0.3">
      <c r="E38">
        <v>1000</v>
      </c>
      <c r="F38">
        <v>0.75</v>
      </c>
      <c r="G38">
        <f t="shared" si="4"/>
        <v>750</v>
      </c>
      <c r="H38">
        <f t="shared" si="10"/>
        <v>700</v>
      </c>
      <c r="I38">
        <f t="shared" si="11"/>
        <v>9149420749800</v>
      </c>
      <c r="J38">
        <f t="shared" si="5"/>
        <v>3019308847434</v>
      </c>
      <c r="K38" s="1">
        <f t="shared" si="6"/>
        <v>3019.3088474340002</v>
      </c>
      <c r="M38">
        <v>5000</v>
      </c>
      <c r="N38">
        <v>0.75</v>
      </c>
      <c r="O38">
        <f t="shared" si="7"/>
        <v>3750</v>
      </c>
      <c r="P38">
        <f t="shared" si="12"/>
        <v>3500</v>
      </c>
      <c r="Q38">
        <f t="shared" si="13"/>
        <v>19858144549000</v>
      </c>
      <c r="R38" s="29">
        <f t="shared" si="8"/>
        <v>6553187701170</v>
      </c>
      <c r="S38" s="1">
        <f t="shared" si="9"/>
        <v>6553.1877011699999</v>
      </c>
    </row>
    <row r="39" spans="5:37" x14ac:dyDescent="0.3">
      <c r="E39">
        <v>1000</v>
      </c>
      <c r="F39" s="19">
        <v>0.8</v>
      </c>
      <c r="G39">
        <f t="shared" si="4"/>
        <v>800</v>
      </c>
      <c r="H39">
        <f t="shared" si="10"/>
        <v>750</v>
      </c>
      <c r="I39">
        <f t="shared" si="11"/>
        <v>9775674769800</v>
      </c>
      <c r="J39">
        <f t="shared" si="5"/>
        <v>3225972674034</v>
      </c>
      <c r="K39" s="1">
        <f t="shared" si="6"/>
        <v>3225.9726740340002</v>
      </c>
      <c r="M39">
        <v>5000</v>
      </c>
      <c r="N39" s="19">
        <v>0.8</v>
      </c>
      <c r="O39">
        <f t="shared" si="7"/>
        <v>4000</v>
      </c>
      <c r="P39">
        <f t="shared" si="12"/>
        <v>3750</v>
      </c>
      <c r="Q39">
        <f t="shared" si="13"/>
        <v>21201995049000</v>
      </c>
      <c r="R39" s="29">
        <f t="shared" si="8"/>
        <v>6996658366170</v>
      </c>
      <c r="S39" s="1">
        <f t="shared" si="9"/>
        <v>6996.6583661699997</v>
      </c>
    </row>
    <row r="40" spans="5:37" x14ac:dyDescent="0.3">
      <c r="E40">
        <v>1000</v>
      </c>
      <c r="F40">
        <v>0.85</v>
      </c>
      <c r="G40">
        <f t="shared" si="4"/>
        <v>850</v>
      </c>
      <c r="H40">
        <f t="shared" si="10"/>
        <v>800</v>
      </c>
      <c r="I40">
        <f t="shared" si="11"/>
        <v>10401928789800</v>
      </c>
      <c r="J40">
        <f t="shared" si="5"/>
        <v>3432636500634</v>
      </c>
      <c r="K40" s="1">
        <f t="shared" si="6"/>
        <v>3432.6365006340002</v>
      </c>
      <c r="M40">
        <v>5000</v>
      </c>
      <c r="N40">
        <v>0.85</v>
      </c>
      <c r="O40">
        <f t="shared" si="7"/>
        <v>4250</v>
      </c>
      <c r="P40">
        <f t="shared" si="12"/>
        <v>4000</v>
      </c>
      <c r="Q40">
        <f t="shared" si="13"/>
        <v>22545845549000</v>
      </c>
      <c r="R40" s="29">
        <f t="shared" si="8"/>
        <v>7440129031170</v>
      </c>
      <c r="S40" s="1">
        <f t="shared" si="9"/>
        <v>7440.1290311700004</v>
      </c>
    </row>
    <row r="41" spans="5:37" x14ac:dyDescent="0.3">
      <c r="E41">
        <v>1000</v>
      </c>
      <c r="F41" s="19">
        <v>0.9</v>
      </c>
      <c r="G41">
        <f t="shared" si="4"/>
        <v>900</v>
      </c>
      <c r="H41">
        <f t="shared" si="10"/>
        <v>850</v>
      </c>
      <c r="I41">
        <f t="shared" si="11"/>
        <v>11028182809800</v>
      </c>
      <c r="J41">
        <f t="shared" si="5"/>
        <v>3639300327234</v>
      </c>
      <c r="K41" s="1">
        <f t="shared" si="6"/>
        <v>3639.3003272340002</v>
      </c>
      <c r="M41">
        <v>5000</v>
      </c>
      <c r="N41" s="19">
        <v>0.9</v>
      </c>
      <c r="O41">
        <f t="shared" si="7"/>
        <v>4500</v>
      </c>
      <c r="P41">
        <f t="shared" si="12"/>
        <v>4250</v>
      </c>
      <c r="Q41">
        <f t="shared" si="13"/>
        <v>23889696049000</v>
      </c>
      <c r="R41" s="29">
        <f t="shared" si="8"/>
        <v>7883599696170</v>
      </c>
      <c r="S41" s="1">
        <f t="shared" si="9"/>
        <v>7883.5996961700002</v>
      </c>
      <c r="AD41">
        <v>10</v>
      </c>
      <c r="AE41">
        <v>300</v>
      </c>
      <c r="AF41">
        <f>AE41/AD41</f>
        <v>30</v>
      </c>
    </row>
    <row r="42" spans="5:37" x14ac:dyDescent="0.3">
      <c r="E42">
        <v>1000</v>
      </c>
      <c r="F42">
        <v>0.95</v>
      </c>
      <c r="G42">
        <f t="shared" si="4"/>
        <v>950</v>
      </c>
      <c r="H42">
        <f t="shared" si="10"/>
        <v>900</v>
      </c>
      <c r="I42">
        <f t="shared" si="11"/>
        <v>11654436829800</v>
      </c>
      <c r="J42">
        <f t="shared" si="5"/>
        <v>3845964153834</v>
      </c>
      <c r="K42" s="1">
        <f t="shared" si="6"/>
        <v>3845.9641538340002</v>
      </c>
      <c r="M42">
        <v>5000</v>
      </c>
      <c r="N42">
        <v>0.95</v>
      </c>
      <c r="O42">
        <f t="shared" si="7"/>
        <v>4750</v>
      </c>
      <c r="P42">
        <f t="shared" si="12"/>
        <v>4500</v>
      </c>
      <c r="Q42">
        <f t="shared" si="13"/>
        <v>25233546549000</v>
      </c>
      <c r="R42" s="29">
        <f t="shared" si="8"/>
        <v>8327070361170</v>
      </c>
      <c r="S42" s="1">
        <f t="shared" si="9"/>
        <v>8327.0703611699992</v>
      </c>
      <c r="AD42">
        <v>72</v>
      </c>
      <c r="AE42">
        <v>300</v>
      </c>
      <c r="AF42">
        <f>AE42/AD42</f>
        <v>4.166666666666667</v>
      </c>
    </row>
    <row r="43" spans="5:37" x14ac:dyDescent="0.3">
      <c r="E43">
        <v>1000</v>
      </c>
      <c r="F43" s="19">
        <v>1</v>
      </c>
      <c r="G43">
        <f t="shared" si="4"/>
        <v>1000</v>
      </c>
      <c r="H43">
        <f t="shared" si="10"/>
        <v>950</v>
      </c>
      <c r="I43">
        <f t="shared" si="11"/>
        <v>12280690849800</v>
      </c>
      <c r="J43">
        <f t="shared" si="5"/>
        <v>4052627980434</v>
      </c>
      <c r="K43" s="1">
        <f t="shared" si="6"/>
        <v>4052.6279804340002</v>
      </c>
      <c r="M43">
        <v>5000</v>
      </c>
      <c r="N43" s="19">
        <v>1</v>
      </c>
      <c r="O43">
        <f t="shared" si="7"/>
        <v>5000</v>
      </c>
      <c r="P43">
        <f t="shared" si="12"/>
        <v>4750</v>
      </c>
      <c r="Q43">
        <f t="shared" si="13"/>
        <v>26577397049000</v>
      </c>
      <c r="R43" s="29">
        <f t="shared" si="8"/>
        <v>8770541026170</v>
      </c>
      <c r="S43" s="1">
        <f t="shared" si="9"/>
        <v>8770.5410261699999</v>
      </c>
      <c r="AA43" t="s">
        <v>87</v>
      </c>
      <c r="AB43" t="s">
        <v>88</v>
      </c>
    </row>
    <row r="44" spans="5:37" x14ac:dyDescent="0.3">
      <c r="H44">
        <f t="shared" si="10"/>
        <v>1000</v>
      </c>
      <c r="J44" s="29">
        <f t="shared" ref="J26:J46" si="14">I44*0.4</f>
        <v>0</v>
      </c>
      <c r="X44" t="s">
        <v>89</v>
      </c>
      <c r="Y44" s="28">
        <v>0.4</v>
      </c>
      <c r="Z44" s="28">
        <v>0.2</v>
      </c>
    </row>
    <row r="45" spans="5:37" x14ac:dyDescent="0.3">
      <c r="H45">
        <f t="shared" si="10"/>
        <v>0</v>
      </c>
      <c r="J45" s="29">
        <f t="shared" si="14"/>
        <v>0</v>
      </c>
    </row>
    <row r="46" spans="5:37" x14ac:dyDescent="0.3">
      <c r="H46">
        <f t="shared" si="10"/>
        <v>0</v>
      </c>
      <c r="J46" s="29">
        <f t="shared" si="14"/>
        <v>0</v>
      </c>
      <c r="X46" t="s">
        <v>90</v>
      </c>
      <c r="Y46" s="28">
        <f>Y$44*6</f>
        <v>2.4000000000000004</v>
      </c>
      <c r="Z46" s="28">
        <f>Z$44*6</f>
        <v>1.2000000000000002</v>
      </c>
    </row>
    <row r="47" spans="5:37" x14ac:dyDescent="0.3">
      <c r="X47" t="s">
        <v>91</v>
      </c>
      <c r="Y47" s="28">
        <f>Y$44*6+Y46</f>
        <v>4.8000000000000007</v>
      </c>
      <c r="Z47" s="28">
        <f>Z$44*6+Z46</f>
        <v>2.4000000000000004</v>
      </c>
    </row>
    <row r="48" spans="5:37" x14ac:dyDescent="0.3">
      <c r="X48" t="s">
        <v>92</v>
      </c>
      <c r="Y48" s="28">
        <f>Y$44*6+Y47</f>
        <v>7.2000000000000011</v>
      </c>
      <c r="Z48" s="28">
        <f>Z$44*6+Z47</f>
        <v>3.6000000000000005</v>
      </c>
    </row>
  </sheetData>
  <mergeCells count="7">
    <mergeCell ref="G20:H20"/>
    <mergeCell ref="N1:T1"/>
    <mergeCell ref="N11:T11"/>
    <mergeCell ref="G13:H13"/>
    <mergeCell ref="G14:H14"/>
    <mergeCell ref="G15:H15"/>
    <mergeCell ref="G19:H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육성1 골드</vt:lpstr>
      <vt:lpstr>묘묙석</vt:lpstr>
      <vt:lpstr>회심타절멸타 골드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2025-09-23T01:15:51Z</dcterms:created>
  <dcterms:modified xsi:type="dcterms:W3CDTF">2025-09-25T12:39:02Z</dcterms:modified>
</cp:coreProperties>
</file>