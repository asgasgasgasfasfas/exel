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BM\각성 절멸타 수치\"/>
    </mc:Choice>
  </mc:AlternateContent>
  <xr:revisionPtr revIDLastSave="0" documentId="13_ncr:1_{694A4C8D-B188-442A-80BD-7E7DE9A575FB}" xr6:coauthVersionLast="47" xr6:coauthVersionMax="47" xr10:uidLastSave="{00000000-0000-0000-0000-000000000000}"/>
  <bookViews>
    <workbookView xWindow="15495" yWindow="0" windowWidth="19410" windowHeight="15585" activeTab="1" xr2:uid="{3E321328-0C01-4213-932A-34E838058470}"/>
  </bookViews>
  <sheets>
    <sheet name="보스체력" sheetId="2" r:id="rId1"/>
    <sheet name="패기" sheetId="1" r:id="rId2"/>
    <sheet name="무기" sheetId="3" r:id="rId3"/>
    <sheet name="갑옷" sheetId="4" r:id="rId4"/>
    <sheet name="절멸타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E11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2" i="2"/>
  <c r="D2" i="2" s="1"/>
  <c r="G39" i="5"/>
  <c r="H39" i="5" s="1"/>
  <c r="G38" i="5"/>
  <c r="H38" i="5" s="1"/>
  <c r="G37" i="5"/>
  <c r="H37" i="5" s="1"/>
  <c r="H36" i="5"/>
  <c r="N36" i="5" s="1"/>
  <c r="G36" i="5"/>
  <c r="G35" i="5"/>
  <c r="H35" i="5" s="1"/>
  <c r="G34" i="5"/>
  <c r="H34" i="5" s="1"/>
  <c r="K32" i="5"/>
  <c r="C21" i="5"/>
  <c r="C20" i="5"/>
  <c r="D20" i="5" s="1"/>
  <c r="C19" i="5"/>
  <c r="D21" i="5" s="1"/>
  <c r="N18" i="5"/>
  <c r="C18" i="5"/>
  <c r="N17" i="5"/>
  <c r="C12" i="5"/>
  <c r="C11" i="5"/>
  <c r="S7" i="5"/>
  <c r="Q7" i="5"/>
  <c r="P7" i="5"/>
  <c r="O7" i="5"/>
  <c r="S6" i="5"/>
  <c r="R6" i="5"/>
  <c r="R7" i="5" s="1"/>
  <c r="Q6" i="5"/>
  <c r="P6" i="5"/>
  <c r="O6" i="5"/>
  <c r="Q4" i="5"/>
  <c r="O4" i="5"/>
  <c r="S3" i="5"/>
  <c r="S4" i="5" s="1"/>
  <c r="R3" i="5"/>
  <c r="R4" i="5" s="1"/>
  <c r="Q3" i="5"/>
  <c r="P3" i="5"/>
  <c r="P4" i="5" s="1"/>
  <c r="O3" i="5"/>
  <c r="I34" i="5" l="1"/>
  <c r="N34" i="5"/>
  <c r="J34" i="5"/>
  <c r="M34" i="5"/>
  <c r="L34" i="5"/>
  <c r="K34" i="5"/>
  <c r="L35" i="5"/>
  <c r="K35" i="5"/>
  <c r="J35" i="5"/>
  <c r="M35" i="5"/>
  <c r="I35" i="5"/>
  <c r="N35" i="5"/>
  <c r="K37" i="5"/>
  <c r="N37" i="5"/>
  <c r="M37" i="5"/>
  <c r="L37" i="5"/>
  <c r="J37" i="5"/>
  <c r="I37" i="5"/>
  <c r="O37" i="5" s="1"/>
  <c r="I38" i="5"/>
  <c r="J38" i="5"/>
  <c r="N38" i="5"/>
  <c r="M38" i="5"/>
  <c r="L38" i="5"/>
  <c r="K38" i="5"/>
  <c r="L39" i="5"/>
  <c r="L40" i="5" s="1"/>
  <c r="L41" i="5" s="1"/>
  <c r="L42" i="5" s="1"/>
  <c r="K39" i="5"/>
  <c r="K40" i="5" s="1"/>
  <c r="K41" i="5" s="1"/>
  <c r="K42" i="5" s="1"/>
  <c r="J39" i="5"/>
  <c r="J40" i="5" s="1"/>
  <c r="J41" i="5" s="1"/>
  <c r="J42" i="5" s="1"/>
  <c r="I39" i="5"/>
  <c r="R29" i="5"/>
  <c r="S29" i="5" s="1"/>
  <c r="T29" i="5" s="1"/>
  <c r="N39" i="5"/>
  <c r="N40" i="5" s="1"/>
  <c r="N41" i="5" s="1"/>
  <c r="N42" i="5" s="1"/>
  <c r="M39" i="5"/>
  <c r="M40" i="5" s="1"/>
  <c r="M41" i="5" s="1"/>
  <c r="M42" i="5" s="1"/>
  <c r="I36" i="5"/>
  <c r="J36" i="5"/>
  <c r="K36" i="5"/>
  <c r="L36" i="5"/>
  <c r="M36" i="5"/>
  <c r="O35" i="5" l="1"/>
  <c r="O38" i="5"/>
  <c r="I40" i="5"/>
  <c r="O39" i="5"/>
  <c r="O36" i="5"/>
  <c r="O34" i="5"/>
  <c r="I41" i="5" l="1"/>
  <c r="O40" i="5"/>
  <c r="O41" i="5" l="1"/>
  <c r="I42" i="5"/>
  <c r="O42" i="5" s="1"/>
  <c r="N3" i="3" l="1"/>
  <c r="N4" i="3" s="1"/>
  <c r="N2" i="3"/>
  <c r="O2" i="3" s="1"/>
  <c r="L2" i="3"/>
  <c r="M2" i="3" s="1"/>
  <c r="D3" i="2"/>
  <c r="J3" i="1"/>
  <c r="K2" i="1" s="1"/>
  <c r="G3" i="1"/>
  <c r="G4" i="1" s="1"/>
  <c r="J2" i="1"/>
  <c r="Q2" i="3" l="1"/>
  <c r="L3" i="3"/>
  <c r="L4" i="3" s="1"/>
  <c r="L5" i="3" s="1"/>
  <c r="O4" i="3"/>
  <c r="N5" i="3"/>
  <c r="O3" i="3"/>
  <c r="D4" i="2"/>
  <c r="C3" i="2"/>
  <c r="C2" i="2"/>
  <c r="G5" i="1"/>
  <c r="H4" i="1"/>
  <c r="H3" i="1"/>
  <c r="K3" i="1"/>
  <c r="M3" i="1" s="1"/>
  <c r="J4" i="1"/>
  <c r="M3" i="3" l="1"/>
  <c r="M4" i="3"/>
  <c r="Q3" i="3"/>
  <c r="Q4" i="3"/>
  <c r="N6" i="3"/>
  <c r="O5" i="3"/>
  <c r="M5" i="3"/>
  <c r="L6" i="3"/>
  <c r="C4" i="2"/>
  <c r="D5" i="2"/>
  <c r="K4" i="1"/>
  <c r="M4" i="1" s="1"/>
  <c r="J5" i="1"/>
  <c r="H5" i="1"/>
  <c r="G6" i="1"/>
  <c r="L7" i="3" l="1"/>
  <c r="M6" i="3"/>
  <c r="Q5" i="3"/>
  <c r="N7" i="3"/>
  <c r="O6" i="3"/>
  <c r="D6" i="2"/>
  <c r="C5" i="2"/>
  <c r="G7" i="1"/>
  <c r="H6" i="1"/>
  <c r="J6" i="1"/>
  <c r="K5" i="1"/>
  <c r="M5" i="1" s="1"/>
  <c r="Q6" i="3" l="1"/>
  <c r="O7" i="3"/>
  <c r="N8" i="3"/>
  <c r="M7" i="3"/>
  <c r="L8" i="3"/>
  <c r="D7" i="2"/>
  <c r="C6" i="2"/>
  <c r="J7" i="1"/>
  <c r="K6" i="1"/>
  <c r="M6" i="1" s="1"/>
  <c r="H7" i="1"/>
  <c r="G8" i="1"/>
  <c r="L9" i="3" l="1"/>
  <c r="M8" i="3"/>
  <c r="N9" i="3"/>
  <c r="O8" i="3"/>
  <c r="Q7" i="3"/>
  <c r="D8" i="2"/>
  <c r="C7" i="2"/>
  <c r="G9" i="1"/>
  <c r="I8" i="1"/>
  <c r="H8" i="1"/>
  <c r="K7" i="1"/>
  <c r="M7" i="1" s="1"/>
  <c r="J8" i="1"/>
  <c r="Q8" i="3" l="1"/>
  <c r="O9" i="3"/>
  <c r="N10" i="3"/>
  <c r="L10" i="3"/>
  <c r="M9" i="3"/>
  <c r="D9" i="2"/>
  <c r="C8" i="2"/>
  <c r="J9" i="1"/>
  <c r="K8" i="1"/>
  <c r="M8" i="1" s="1"/>
  <c r="H9" i="1"/>
  <c r="G10" i="1"/>
  <c r="Q9" i="3" l="1"/>
  <c r="L11" i="3"/>
  <c r="M10" i="3"/>
  <c r="N11" i="3"/>
  <c r="O10" i="3"/>
  <c r="C9" i="2"/>
  <c r="D10" i="2"/>
  <c r="G11" i="1"/>
  <c r="H10" i="1"/>
  <c r="K9" i="1"/>
  <c r="M9" i="1" s="1"/>
  <c r="J10" i="1"/>
  <c r="Q10" i="3" l="1"/>
  <c r="N12" i="3"/>
  <c r="O11" i="3"/>
  <c r="L12" i="3"/>
  <c r="M11" i="3"/>
  <c r="D11" i="2"/>
  <c r="C10" i="2"/>
  <c r="J11" i="1"/>
  <c r="K10" i="1"/>
  <c r="M10" i="1" s="1"/>
  <c r="G12" i="1"/>
  <c r="H11" i="1"/>
  <c r="M12" i="3" l="1"/>
  <c r="L13" i="3"/>
  <c r="Q11" i="3"/>
  <c r="O12" i="3"/>
  <c r="Q12" i="3" s="1"/>
  <c r="N13" i="3"/>
  <c r="C11" i="2"/>
  <c r="D12" i="2"/>
  <c r="H12" i="1"/>
  <c r="G13" i="1"/>
  <c r="K11" i="1"/>
  <c r="M11" i="1" s="1"/>
  <c r="J12" i="1"/>
  <c r="N14" i="3" l="1"/>
  <c r="O13" i="3"/>
  <c r="L14" i="3"/>
  <c r="M13" i="3"/>
  <c r="D13" i="2"/>
  <c r="C12" i="2"/>
  <c r="H13" i="1"/>
  <c r="G14" i="1"/>
  <c r="J13" i="1"/>
  <c r="K12" i="1"/>
  <c r="M12" i="1" s="1"/>
  <c r="M14" i="3" l="1"/>
  <c r="L15" i="3"/>
  <c r="Q13" i="3"/>
  <c r="O14" i="3"/>
  <c r="N15" i="3"/>
  <c r="D14" i="2"/>
  <c r="C13" i="2"/>
  <c r="J14" i="1"/>
  <c r="K13" i="1"/>
  <c r="M13" i="1" s="1"/>
  <c r="H14" i="1"/>
  <c r="G15" i="1"/>
  <c r="Q14" i="3" l="1"/>
  <c r="N16" i="3"/>
  <c r="O15" i="3"/>
  <c r="L16" i="3"/>
  <c r="M15" i="3"/>
  <c r="D15" i="2"/>
  <c r="C14" i="2"/>
  <c r="G16" i="1"/>
  <c r="H15" i="1"/>
  <c r="K14" i="1"/>
  <c r="M14" i="1" s="1"/>
  <c r="J15" i="1"/>
  <c r="L17" i="3" l="1"/>
  <c r="M16" i="3"/>
  <c r="Q15" i="3"/>
  <c r="O16" i="3"/>
  <c r="N17" i="3"/>
  <c r="C15" i="2"/>
  <c r="D16" i="2"/>
  <c r="J16" i="1"/>
  <c r="K15" i="1"/>
  <c r="M15" i="1" s="1"/>
  <c r="G17" i="1"/>
  <c r="H16" i="1"/>
  <c r="Q16" i="3" l="1"/>
  <c r="N18" i="3"/>
  <c r="O17" i="3"/>
  <c r="M17" i="3"/>
  <c r="L18" i="3"/>
  <c r="D17" i="2"/>
  <c r="C16" i="2"/>
  <c r="G18" i="1"/>
  <c r="H17" i="1"/>
  <c r="K16" i="1"/>
  <c r="M16" i="1" s="1"/>
  <c r="J17" i="1"/>
  <c r="L19" i="3" l="1"/>
  <c r="M18" i="3"/>
  <c r="Q17" i="3"/>
  <c r="N19" i="3"/>
  <c r="O18" i="3"/>
  <c r="C17" i="2"/>
  <c r="D18" i="2"/>
  <c r="J18" i="1"/>
  <c r="K17" i="1"/>
  <c r="M17" i="1" s="1"/>
  <c r="G19" i="1"/>
  <c r="H18" i="1"/>
  <c r="Q18" i="3" l="1"/>
  <c r="O19" i="3"/>
  <c r="N20" i="3"/>
  <c r="M19" i="3"/>
  <c r="L20" i="3"/>
  <c r="D19" i="2"/>
  <c r="C18" i="2"/>
  <c r="H19" i="1"/>
  <c r="G20" i="1"/>
  <c r="J19" i="1"/>
  <c r="K18" i="1"/>
  <c r="M18" i="1" s="1"/>
  <c r="N21" i="3" l="1"/>
  <c r="O20" i="3"/>
  <c r="L21" i="3"/>
  <c r="M20" i="3"/>
  <c r="Q19" i="3"/>
  <c r="D20" i="2"/>
  <c r="C19" i="2"/>
  <c r="K19" i="1"/>
  <c r="M19" i="1" s="1"/>
  <c r="J20" i="1"/>
  <c r="G21" i="1"/>
  <c r="H20" i="1"/>
  <c r="Q20" i="3" l="1"/>
  <c r="L22" i="3"/>
  <c r="M21" i="3"/>
  <c r="O21" i="3"/>
  <c r="N22" i="3"/>
  <c r="C20" i="2"/>
  <c r="H21" i="1"/>
  <c r="G22" i="1"/>
  <c r="J21" i="1"/>
  <c r="K20" i="1"/>
  <c r="M20" i="1" s="1"/>
  <c r="Q21" i="3" l="1"/>
  <c r="N23" i="3"/>
  <c r="O22" i="3"/>
  <c r="M22" i="3"/>
  <c r="L23" i="3"/>
  <c r="C21" i="2"/>
  <c r="K21" i="1"/>
  <c r="M21" i="1" s="1"/>
  <c r="J22" i="1"/>
  <c r="G23" i="1"/>
  <c r="H22" i="1"/>
  <c r="Q22" i="3" l="1"/>
  <c r="L24" i="3"/>
  <c r="M23" i="3"/>
  <c r="N24" i="3"/>
  <c r="O23" i="3"/>
  <c r="C22" i="2"/>
  <c r="G24" i="1"/>
  <c r="H23" i="1"/>
  <c r="J23" i="1"/>
  <c r="K22" i="1"/>
  <c r="M22" i="1" s="1"/>
  <c r="Q23" i="3" l="1"/>
  <c r="O24" i="3"/>
  <c r="N25" i="3"/>
  <c r="M24" i="3"/>
  <c r="L25" i="3"/>
  <c r="C23" i="2"/>
  <c r="K23" i="1"/>
  <c r="M23" i="1" s="1"/>
  <c r="J24" i="1"/>
  <c r="H24" i="1"/>
  <c r="G25" i="1"/>
  <c r="N26" i="3" l="1"/>
  <c r="O25" i="3"/>
  <c r="L26" i="3"/>
  <c r="M25" i="3"/>
  <c r="Q24" i="3"/>
  <c r="C24" i="2"/>
  <c r="G26" i="1"/>
  <c r="H25" i="1"/>
  <c r="J25" i="1"/>
  <c r="K24" i="1"/>
  <c r="M24" i="1" s="1"/>
  <c r="M26" i="3" l="1"/>
  <c r="L27" i="3"/>
  <c r="Q25" i="3"/>
  <c r="O26" i="3"/>
  <c r="N27" i="3"/>
  <c r="C25" i="2"/>
  <c r="J26" i="1"/>
  <c r="K25" i="1"/>
  <c r="M25" i="1" s="1"/>
  <c r="H26" i="1"/>
  <c r="G27" i="1"/>
  <c r="Q26" i="3" l="1"/>
  <c r="L28" i="3"/>
  <c r="M27" i="3"/>
  <c r="N28" i="3"/>
  <c r="O27" i="3"/>
  <c r="C26" i="2"/>
  <c r="G28" i="1"/>
  <c r="H27" i="1"/>
  <c r="K26" i="1"/>
  <c r="M26" i="1" s="1"/>
  <c r="J27" i="1"/>
  <c r="Q27" i="3" l="1"/>
  <c r="O28" i="3"/>
  <c r="N29" i="3"/>
  <c r="L29" i="3"/>
  <c r="M28" i="3"/>
  <c r="C27" i="2"/>
  <c r="K27" i="1"/>
  <c r="M27" i="1" s="1"/>
  <c r="J28" i="1"/>
  <c r="G29" i="1"/>
  <c r="H28" i="1"/>
  <c r="N30" i="3" l="1"/>
  <c r="O29" i="3"/>
  <c r="M29" i="3"/>
  <c r="L30" i="3"/>
  <c r="Q28" i="3"/>
  <c r="C28" i="2"/>
  <c r="K28" i="1"/>
  <c r="M28" i="1" s="1"/>
  <c r="J29" i="1"/>
  <c r="G30" i="1"/>
  <c r="H29" i="1"/>
  <c r="Q29" i="3" l="1"/>
  <c r="L31" i="3"/>
  <c r="M30" i="3"/>
  <c r="N31" i="3"/>
  <c r="O30" i="3"/>
  <c r="C29" i="2"/>
  <c r="J30" i="1"/>
  <c r="K29" i="1"/>
  <c r="M29" i="1" s="1"/>
  <c r="G31" i="1"/>
  <c r="H30" i="1"/>
  <c r="Q30" i="3" l="1"/>
  <c r="O31" i="3"/>
  <c r="N32" i="3"/>
  <c r="M31" i="3"/>
  <c r="L32" i="3"/>
  <c r="C30" i="2"/>
  <c r="H31" i="1"/>
  <c r="G32" i="1"/>
  <c r="J31" i="1"/>
  <c r="K30" i="1"/>
  <c r="M30" i="1" s="1"/>
  <c r="N33" i="3" l="1"/>
  <c r="O32" i="3"/>
  <c r="L33" i="3"/>
  <c r="M32" i="3"/>
  <c r="Q31" i="3"/>
  <c r="C31" i="2"/>
  <c r="G33" i="1"/>
  <c r="H33" i="1" s="1"/>
  <c r="H32" i="1"/>
  <c r="J32" i="1"/>
  <c r="K31" i="1"/>
  <c r="M31" i="1" s="1"/>
  <c r="L34" i="3" l="1"/>
  <c r="M33" i="3"/>
  <c r="Q32" i="3"/>
  <c r="O33" i="3"/>
  <c r="N34" i="3"/>
  <c r="C32" i="2"/>
  <c r="J33" i="1"/>
  <c r="K33" i="1" s="1"/>
  <c r="M33" i="1" s="1"/>
  <c r="K32" i="1"/>
  <c r="M32" i="1" s="1"/>
  <c r="Q33" i="3" l="1"/>
  <c r="N35" i="3"/>
  <c r="O34" i="3"/>
  <c r="M34" i="3"/>
  <c r="L35" i="3"/>
  <c r="C33" i="2"/>
  <c r="Q34" i="3" l="1"/>
  <c r="L36" i="3"/>
  <c r="M35" i="3"/>
  <c r="N36" i="3"/>
  <c r="O35" i="3"/>
  <c r="C34" i="2"/>
  <c r="Q35" i="3" l="1"/>
  <c r="N37" i="3"/>
  <c r="O36" i="3"/>
  <c r="M36" i="3"/>
  <c r="L37" i="3"/>
  <c r="C35" i="2"/>
  <c r="Q36" i="3" l="1"/>
  <c r="L38" i="3"/>
  <c r="M38" i="3" s="1"/>
  <c r="M37" i="3"/>
  <c r="N38" i="3"/>
  <c r="O38" i="3" s="1"/>
  <c r="O37" i="3"/>
  <c r="C36" i="2"/>
  <c r="Q37" i="3" l="1"/>
  <c r="Q38" i="3"/>
  <c r="C37" i="2"/>
  <c r="C38" i="2" l="1"/>
  <c r="C39" i="2" l="1"/>
  <c r="C40" i="2" l="1"/>
  <c r="C41" i="2" l="1"/>
  <c r="C42" i="2" l="1"/>
  <c r="C43" i="2" l="1"/>
  <c r="C44" i="2" l="1"/>
  <c r="C45" i="2" l="1"/>
  <c r="C46" i="2" l="1"/>
  <c r="C47" i="2" l="1"/>
  <c r="C48" i="2" l="1"/>
  <c r="C49" i="2" l="1"/>
  <c r="C50" i="2" l="1"/>
  <c r="C51" i="2" l="1"/>
  <c r="C52" i="2" l="1"/>
  <c r="C53" i="2" l="1"/>
  <c r="C54" i="2" l="1"/>
  <c r="C55" i="2" l="1"/>
  <c r="C56" i="2" l="1"/>
  <c r="C57" i="2" l="1"/>
  <c r="C58" i="2" l="1"/>
  <c r="C59" i="2" l="1"/>
  <c r="C60" i="2" l="1"/>
  <c r="C61" i="2" l="1"/>
  <c r="C62" i="2" l="1"/>
  <c r="C63" i="2" l="1"/>
  <c r="C64" i="2" l="1"/>
  <c r="C65" i="2" l="1"/>
  <c r="C66" i="2" l="1"/>
  <c r="C67" i="2" l="1"/>
  <c r="C68" i="2" l="1"/>
  <c r="C69" i="2" l="1"/>
  <c r="C70" i="2" l="1"/>
  <c r="C71" i="2" l="1"/>
  <c r="C72" i="2" l="1"/>
  <c r="C73" i="2" l="1"/>
  <c r="C74" i="2" l="1"/>
  <c r="C75" i="2" l="1"/>
  <c r="C76" i="2" l="1"/>
  <c r="C77" i="2" l="1"/>
  <c r="C78" i="2" l="1"/>
  <c r="C79" i="2" l="1"/>
  <c r="C80" i="2" l="1"/>
  <c r="C81" i="2" l="1"/>
  <c r="C82" i="2" l="1"/>
  <c r="C83" i="2" l="1"/>
  <c r="C84" i="2" l="1"/>
  <c r="C85" i="2" l="1"/>
  <c r="C87" i="2" l="1"/>
  <c r="C86" i="2"/>
</calcChain>
</file>

<file path=xl/sharedStrings.xml><?xml version="1.0" encoding="utf-8"?>
<sst xmlns="http://schemas.openxmlformats.org/spreadsheetml/2006/main" count="299" uniqueCount="121">
  <si>
    <t>아이디</t>
  </si>
  <si>
    <t>이름</t>
  </si>
  <si>
    <t>각성 장착 효과</t>
  </si>
  <si>
    <t>다음 각성 장착 예정 수치1</t>
  </si>
  <si>
    <t>다음 각성 장착 예정 수치2</t>
  </si>
  <si>
    <t>각성조건</t>
  </si>
  <si>
    <t>화무</t>
  </si>
  <si>
    <t>패기 각성 공격력 / 생명력</t>
  </si>
  <si>
    <t>마혼극</t>
  </si>
  <si>
    <t>백귀야행</t>
  </si>
  <si>
    <t>태휘</t>
  </si>
  <si>
    <t>멸야</t>
  </si>
  <si>
    <t>패기</t>
    <phoneticPr fontId="2" type="noConversion"/>
  </si>
  <si>
    <t>ㅠㅜ</t>
    <phoneticPr fontId="2" type="noConversion"/>
  </si>
  <si>
    <t>각성 보유 효과</t>
  </si>
  <si>
    <t>다음 각성 장착 예정 수치3</t>
  </si>
  <si>
    <t>다음 각성 보유 예정 수치1</t>
  </si>
  <si>
    <t>각성조건1내용</t>
  </si>
  <si>
    <t>각성조건1</t>
  </si>
  <si>
    <t>각성조건2</t>
  </si>
  <si>
    <t>청룡검</t>
  </si>
  <si>
    <t>각성 무기 공격력</t>
  </si>
  <si>
    <t>일반</t>
  </si>
  <si>
    <t>고급</t>
  </si>
  <si>
    <t>희귀</t>
  </si>
  <si>
    <t>영웅</t>
  </si>
  <si>
    <t>전설</t>
  </si>
  <si>
    <t>신화</t>
  </si>
  <si>
    <t>화마검</t>
  </si>
  <si>
    <t>칠흑검</t>
  </si>
  <si>
    <t>뇌격검</t>
  </si>
  <si>
    <t>혈왕검</t>
  </si>
  <si>
    <t>성광검</t>
  </si>
  <si>
    <t>용성검각성29</t>
  </si>
  <si>
    <t>-</t>
  </si>
  <si>
    <t>ID</t>
  </si>
  <si>
    <t>스탯이름</t>
  </si>
  <si>
    <t>고정값</t>
  </si>
  <si>
    <t>고정값조정</t>
  </si>
  <si>
    <t>상승값</t>
  </si>
  <si>
    <t>최대값</t>
  </si>
  <si>
    <t>예측(사용X)</t>
  </si>
  <si>
    <t>1A   100만</t>
  </si>
  <si>
    <t>랭킹</t>
    <phoneticPr fontId="2" type="noConversion"/>
  </si>
  <si>
    <t>스테이지</t>
    <phoneticPr fontId="2" type="noConversion"/>
  </si>
  <si>
    <t>20시간</t>
    <phoneticPr fontId="2" type="noConversion"/>
  </si>
  <si>
    <t>공격력</t>
  </si>
  <si>
    <t>52C_4만육성</t>
  </si>
  <si>
    <t>10A   1000만</t>
  </si>
  <si>
    <t>생명력</t>
  </si>
  <si>
    <t>100A   1억</t>
  </si>
  <si>
    <t>950b</t>
    <phoneticPr fontId="2" type="noConversion"/>
  </si>
  <si>
    <t>회심타확률</t>
  </si>
  <si>
    <t>51C</t>
  </si>
  <si>
    <t>125c</t>
    <phoneticPr fontId="2" type="noConversion"/>
  </si>
  <si>
    <t>1B   10억</t>
  </si>
  <si>
    <t>회심타데미지</t>
  </si>
  <si>
    <t>110C</t>
  </si>
  <si>
    <t>272c</t>
    <phoneticPr fontId="2" type="noConversion"/>
  </si>
  <si>
    <t>10B   100억</t>
  </si>
  <si>
    <t>50b</t>
    <phoneticPr fontId="2" type="noConversion"/>
  </si>
  <si>
    <t>100b</t>
    <phoneticPr fontId="2" type="noConversion"/>
  </si>
  <si>
    <t>150b</t>
    <phoneticPr fontId="2" type="noConversion"/>
  </si>
  <si>
    <t>200b</t>
    <phoneticPr fontId="2" type="noConversion"/>
  </si>
  <si>
    <t>250b</t>
    <phoneticPr fontId="2" type="noConversion"/>
  </si>
  <si>
    <t>51C</t>
    <phoneticPr fontId="2" type="noConversion"/>
  </si>
  <si>
    <t>흑천검</t>
    <phoneticPr fontId="2" type="noConversion"/>
  </si>
  <si>
    <t>절멸타확률</t>
  </si>
  <si>
    <t>300C</t>
  </si>
  <si>
    <t>376c</t>
    <phoneticPr fontId="2" type="noConversion"/>
  </si>
  <si>
    <t>100B   1000억</t>
  </si>
  <si>
    <t>절멸타데미지</t>
  </si>
  <si>
    <t>600C</t>
  </si>
  <si>
    <t>810c</t>
    <phoneticPr fontId="2" type="noConversion"/>
  </si>
  <si>
    <t>1C   1조</t>
  </si>
  <si>
    <t>10C   10조</t>
  </si>
  <si>
    <t>23b</t>
    <phoneticPr fontId="2" type="noConversion"/>
  </si>
  <si>
    <t>44b</t>
    <phoneticPr fontId="2" type="noConversion"/>
  </si>
  <si>
    <t>66b</t>
    <phoneticPr fontId="2" type="noConversion"/>
  </si>
  <si>
    <t>87b</t>
    <phoneticPr fontId="2" type="noConversion"/>
  </si>
  <si>
    <t>11b</t>
    <phoneticPr fontId="2" type="noConversion"/>
  </si>
  <si>
    <t>등차수열항</t>
    <phoneticPr fontId="2" type="noConversion"/>
  </si>
  <si>
    <t>등차합</t>
    <phoneticPr fontId="2" type="noConversion"/>
  </si>
  <si>
    <t>100C   100조</t>
  </si>
  <si>
    <t>개수</t>
    <phoneticPr fontId="2" type="noConversion"/>
  </si>
  <si>
    <t>노말</t>
    <phoneticPr fontId="2" type="noConversion"/>
  </si>
  <si>
    <t>고급</t>
    <phoneticPr fontId="2" type="noConversion"/>
  </si>
  <si>
    <t>비용</t>
    <phoneticPr fontId="2" type="noConversion"/>
  </si>
  <si>
    <t>희귀</t>
    <phoneticPr fontId="2" type="noConversion"/>
  </si>
  <si>
    <t>영웅</t>
    <phoneticPr fontId="2" type="noConversion"/>
  </si>
  <si>
    <t>전설</t>
    <phoneticPr fontId="2" type="noConversion"/>
  </si>
  <si>
    <t>어빌</t>
    <phoneticPr fontId="2" type="noConversion"/>
  </si>
  <si>
    <t>다이아</t>
    <phoneticPr fontId="2" type="noConversion"/>
  </si>
  <si>
    <t>돈</t>
    <phoneticPr fontId="2" type="noConversion"/>
  </si>
  <si>
    <t>신화</t>
    <phoneticPr fontId="2" type="noConversion"/>
  </si>
  <si>
    <t>다야</t>
    <phoneticPr fontId="2" type="noConversion"/>
  </si>
  <si>
    <t>한번당 가격</t>
    <phoneticPr fontId="2" type="noConversion"/>
  </si>
  <si>
    <t>단계</t>
  </si>
  <si>
    <t>확률(%)</t>
  </si>
  <si>
    <t>확률(소수)</t>
  </si>
  <si>
    <t>합</t>
    <phoneticPr fontId="2" type="noConversion"/>
  </si>
  <si>
    <t>현금</t>
    <phoneticPr fontId="2" type="noConversion"/>
  </si>
  <si>
    <t>공격력</t>
    <phoneticPr fontId="2" type="noConversion"/>
  </si>
  <si>
    <t>생명력</t>
    <phoneticPr fontId="2" type="noConversion"/>
  </si>
  <si>
    <t>근력증폭</t>
    <phoneticPr fontId="2" type="noConversion"/>
  </si>
  <si>
    <t>방어증폭</t>
    <phoneticPr fontId="2" type="noConversion"/>
  </si>
  <si>
    <t>공격숙련도</t>
    <phoneticPr fontId="2" type="noConversion"/>
  </si>
  <si>
    <t>스킬숙련도</t>
    <phoneticPr fontId="2" type="noConversion"/>
  </si>
  <si>
    <t>금화획득량</t>
    <phoneticPr fontId="2" type="noConversion"/>
  </si>
  <si>
    <t>강화석획득량</t>
    <phoneticPr fontId="2" type="noConversion"/>
  </si>
  <si>
    <t>경험치획등량</t>
    <phoneticPr fontId="2" type="noConversion"/>
  </si>
  <si>
    <t>노다지</t>
    <phoneticPr fontId="2" type="noConversion"/>
  </si>
  <si>
    <t>67b</t>
    <phoneticPr fontId="2" type="noConversion"/>
  </si>
  <si>
    <t>12시간</t>
    <phoneticPr fontId="2" type="noConversion"/>
  </si>
  <si>
    <t>회심타</t>
    <phoneticPr fontId="2" type="noConversion"/>
  </si>
  <si>
    <t>92b</t>
    <phoneticPr fontId="2" type="noConversion"/>
  </si>
  <si>
    <t>회심타데미지</t>
    <phoneticPr fontId="2" type="noConversion"/>
  </si>
  <si>
    <t>랭킹2등</t>
    <phoneticPr fontId="2" type="noConversion"/>
  </si>
  <si>
    <t>골드b</t>
    <phoneticPr fontId="2" type="noConversion"/>
  </si>
  <si>
    <t>강화석</t>
    <phoneticPr fontId="2" type="noConversion"/>
  </si>
  <si>
    <t>수정 각성 보유 예정 수치1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</si>
</sst>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0.000%"/>
    <numFmt numFmtId="177" formatCode="0.000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9" fontId="0" fillId="0" borderId="0" xfId="2" applyFont="1">
      <alignment vertical="center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76" fontId="0" fillId="3" borderId="0" xfId="2" applyNumberFormat="1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2" borderId="0" xfId="0" applyNumberForma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954B-DBD0-4949-91DB-6228BE175F92}">
  <dimension ref="A1:J87"/>
  <sheetViews>
    <sheetView workbookViewId="0">
      <selection activeCell="D11" sqref="D11"/>
    </sheetView>
  </sheetViews>
  <sheetFormatPr defaultRowHeight="16.5" x14ac:dyDescent="0.3"/>
  <sheetData>
    <row r="1" spans="1:10" x14ac:dyDescent="0.3">
      <c r="A1">
        <v>0</v>
      </c>
      <c r="B1">
        <v>100</v>
      </c>
    </row>
    <row r="2" spans="1:10" x14ac:dyDescent="0.3">
      <c r="A2">
        <v>1</v>
      </c>
      <c r="B2">
        <f>B$1*10^(A2/30)</f>
        <v>107.97751623277097</v>
      </c>
      <c r="C2">
        <f>B2/B1</f>
        <v>1.0797751623277096</v>
      </c>
      <c r="D2">
        <f t="shared" ref="D2:D7" si="0">B2/B$1</f>
        <v>1.0797751623277096</v>
      </c>
    </row>
    <row r="3" spans="1:10" x14ac:dyDescent="0.3">
      <c r="A3">
        <v>2</v>
      </c>
      <c r="B3">
        <f t="shared" ref="B3:B66" si="1">B$1*10^(A3/30)</f>
        <v>116.59144011798317</v>
      </c>
      <c r="C3">
        <f t="shared" ref="C3:C66" si="2">B3/B2</f>
        <v>1.0797751623277096</v>
      </c>
      <c r="D3">
        <f t="shared" si="0"/>
        <v>1.1659144011798317</v>
      </c>
    </row>
    <row r="4" spans="1:10" x14ac:dyDescent="0.3">
      <c r="A4">
        <v>3</v>
      </c>
      <c r="B4">
        <f t="shared" si="1"/>
        <v>125.89254117941672</v>
      </c>
      <c r="C4">
        <f t="shared" si="2"/>
        <v>1.0797751623277096</v>
      </c>
      <c r="D4">
        <f t="shared" si="0"/>
        <v>1.2589254117941673</v>
      </c>
    </row>
    <row r="5" spans="1:10" x14ac:dyDescent="0.3">
      <c r="A5">
        <v>4</v>
      </c>
      <c r="B5">
        <f t="shared" si="1"/>
        <v>135.93563908785256</v>
      </c>
      <c r="C5">
        <f t="shared" si="2"/>
        <v>1.0797751623277096</v>
      </c>
      <c r="D5">
        <f t="shared" si="0"/>
        <v>1.3593563908785256</v>
      </c>
    </row>
    <row r="6" spans="1:10" x14ac:dyDescent="0.3">
      <c r="A6">
        <v>5</v>
      </c>
      <c r="B6">
        <f t="shared" si="1"/>
        <v>146.77992676220697</v>
      </c>
      <c r="C6">
        <f t="shared" si="2"/>
        <v>1.0797751623277096</v>
      </c>
      <c r="D6">
        <f t="shared" si="0"/>
        <v>1.4677992676220697</v>
      </c>
    </row>
    <row r="7" spans="1:10" x14ac:dyDescent="0.3">
      <c r="A7">
        <v>6</v>
      </c>
      <c r="B7">
        <f t="shared" si="1"/>
        <v>158.48931924611136</v>
      </c>
      <c r="C7">
        <f t="shared" si="2"/>
        <v>1.0797751623277096</v>
      </c>
      <c r="D7">
        <f t="shared" si="0"/>
        <v>1.5848931924611136</v>
      </c>
    </row>
    <row r="8" spans="1:10" x14ac:dyDescent="0.3">
      <c r="A8">
        <v>7</v>
      </c>
      <c r="B8">
        <f t="shared" si="1"/>
        <v>171.13283041617808</v>
      </c>
      <c r="C8">
        <f t="shared" si="2"/>
        <v>1.0797751623277096</v>
      </c>
      <c r="D8">
        <f>B8/B$1</f>
        <v>1.7113283041617808</v>
      </c>
    </row>
    <row r="9" spans="1:10" x14ac:dyDescent="0.3">
      <c r="A9">
        <v>8</v>
      </c>
      <c r="B9">
        <f t="shared" si="1"/>
        <v>184.78497974222913</v>
      </c>
      <c r="C9">
        <f t="shared" si="2"/>
        <v>1.0797751623277099</v>
      </c>
      <c r="D9">
        <f t="shared" ref="D9:D20" si="3">B9/B$1</f>
        <v>1.8478497974222912</v>
      </c>
      <c r="I9">
        <v>739</v>
      </c>
    </row>
    <row r="10" spans="1:10" x14ac:dyDescent="0.3">
      <c r="A10">
        <v>9</v>
      </c>
      <c r="B10">
        <f t="shared" si="1"/>
        <v>199.52623149688799</v>
      </c>
      <c r="C10">
        <f t="shared" si="2"/>
        <v>1.0797751623277096</v>
      </c>
      <c r="D10">
        <f t="shared" si="3"/>
        <v>1.99526231496888</v>
      </c>
      <c r="I10">
        <v>743</v>
      </c>
      <c r="J10">
        <v>1</v>
      </c>
    </row>
    <row r="11" spans="1:10" x14ac:dyDescent="0.3">
      <c r="A11">
        <v>10</v>
      </c>
      <c r="B11">
        <f t="shared" si="1"/>
        <v>215.44346900318837</v>
      </c>
      <c r="C11">
        <f t="shared" si="2"/>
        <v>1.0797751623277094</v>
      </c>
      <c r="D11">
        <f t="shared" si="3"/>
        <v>2.1544346900318838</v>
      </c>
      <c r="I11">
        <v>747</v>
      </c>
      <c r="J11">
        <v>2</v>
      </c>
    </row>
    <row r="12" spans="1:10" x14ac:dyDescent="0.3">
      <c r="A12">
        <v>11</v>
      </c>
      <c r="B12">
        <f t="shared" si="1"/>
        <v>232.63050671536263</v>
      </c>
      <c r="C12">
        <f t="shared" si="2"/>
        <v>1.0797751623277099</v>
      </c>
      <c r="D12">
        <f t="shared" si="3"/>
        <v>2.3263050671536263</v>
      </c>
      <c r="G12" t="s">
        <v>13</v>
      </c>
      <c r="I12">
        <v>750</v>
      </c>
      <c r="J12">
        <v>3</v>
      </c>
    </row>
    <row r="13" spans="1:10" x14ac:dyDescent="0.3">
      <c r="A13">
        <v>12</v>
      </c>
      <c r="B13">
        <f t="shared" si="1"/>
        <v>251.18864315095806</v>
      </c>
      <c r="C13">
        <f t="shared" si="2"/>
        <v>1.0797751623277099</v>
      </c>
      <c r="D13">
        <f t="shared" si="3"/>
        <v>2.5118864315095806</v>
      </c>
      <c r="I13">
        <v>754</v>
      </c>
      <c r="J13">
        <v>4</v>
      </c>
    </row>
    <row r="14" spans="1:10" x14ac:dyDescent="0.3">
      <c r="A14">
        <v>13</v>
      </c>
      <c r="B14">
        <f t="shared" si="1"/>
        <v>271.22725793320285</v>
      </c>
      <c r="C14">
        <f t="shared" si="2"/>
        <v>1.0797751623277096</v>
      </c>
      <c r="D14">
        <f t="shared" si="3"/>
        <v>2.7122725793320286</v>
      </c>
      <c r="I14">
        <v>758</v>
      </c>
      <c r="J14">
        <v>5</v>
      </c>
    </row>
    <row r="15" spans="1:10" x14ac:dyDescent="0.3">
      <c r="A15">
        <v>14</v>
      </c>
      <c r="B15">
        <f t="shared" si="1"/>
        <v>292.86445646252366</v>
      </c>
      <c r="C15">
        <f t="shared" si="2"/>
        <v>1.0797751623277096</v>
      </c>
      <c r="D15">
        <f t="shared" si="3"/>
        <v>2.9286445646252366</v>
      </c>
      <c r="I15">
        <v>768</v>
      </c>
      <c r="J15">
        <v>6</v>
      </c>
    </row>
    <row r="16" spans="1:10" x14ac:dyDescent="0.3">
      <c r="A16">
        <v>15</v>
      </c>
      <c r="B16">
        <f t="shared" si="1"/>
        <v>316.22776601683796</v>
      </c>
      <c r="C16">
        <f t="shared" si="2"/>
        <v>1.0797751623277096</v>
      </c>
      <c r="D16">
        <f t="shared" si="3"/>
        <v>3.1622776601683795</v>
      </c>
      <c r="J16">
        <v>7</v>
      </c>
    </row>
    <row r="17" spans="1:4" x14ac:dyDescent="0.3">
      <c r="A17">
        <v>16</v>
      </c>
      <c r="B17">
        <f t="shared" si="1"/>
        <v>341.45488738336024</v>
      </c>
      <c r="C17">
        <f t="shared" si="2"/>
        <v>1.0797751623277099</v>
      </c>
      <c r="D17">
        <f t="shared" si="3"/>
        <v>3.4145488738336023</v>
      </c>
    </row>
    <row r="18" spans="1:4" x14ac:dyDescent="0.3">
      <c r="A18">
        <v>17</v>
      </c>
      <c r="B18">
        <f t="shared" si="1"/>
        <v>368.69450645195758</v>
      </c>
      <c r="C18">
        <f t="shared" si="2"/>
        <v>1.0797751623277094</v>
      </c>
      <c r="D18">
        <f t="shared" si="3"/>
        <v>3.6869450645195756</v>
      </c>
    </row>
    <row r="19" spans="1:4" x14ac:dyDescent="0.3">
      <c r="A19">
        <v>18</v>
      </c>
      <c r="B19">
        <f t="shared" si="1"/>
        <v>398.10717055349727</v>
      </c>
      <c r="C19">
        <f t="shared" si="2"/>
        <v>1.0797751623277096</v>
      </c>
      <c r="D19">
        <f t="shared" si="3"/>
        <v>3.9810717055349727</v>
      </c>
    </row>
    <row r="20" spans="1:4" x14ac:dyDescent="0.3">
      <c r="A20">
        <v>19</v>
      </c>
      <c r="B20">
        <f t="shared" si="1"/>
        <v>429.86623470822769</v>
      </c>
      <c r="C20">
        <f t="shared" si="2"/>
        <v>1.0797751623277096</v>
      </c>
      <c r="D20">
        <f t="shared" si="3"/>
        <v>4.2986623470822769</v>
      </c>
    </row>
    <row r="21" spans="1:4" x14ac:dyDescent="0.3">
      <c r="A21">
        <v>20</v>
      </c>
      <c r="B21">
        <f t="shared" si="1"/>
        <v>464.15888336127796</v>
      </c>
      <c r="C21">
        <f t="shared" si="2"/>
        <v>1.0797751623277099</v>
      </c>
    </row>
    <row r="22" spans="1:4" x14ac:dyDescent="0.3">
      <c r="A22">
        <v>21</v>
      </c>
      <c r="B22">
        <f t="shared" si="1"/>
        <v>501.18723362727229</v>
      </c>
      <c r="C22">
        <f t="shared" si="2"/>
        <v>1.0797751623277094</v>
      </c>
    </row>
    <row r="23" spans="1:4" x14ac:dyDescent="0.3">
      <c r="A23">
        <v>22</v>
      </c>
      <c r="B23">
        <f t="shared" si="1"/>
        <v>541.16952654646366</v>
      </c>
      <c r="C23">
        <f t="shared" si="2"/>
        <v>1.0797751623277096</v>
      </c>
    </row>
    <row r="24" spans="1:4" x14ac:dyDescent="0.3">
      <c r="A24">
        <v>23</v>
      </c>
      <c r="B24">
        <f t="shared" si="1"/>
        <v>584.34141337351775</v>
      </c>
      <c r="C24">
        <f t="shared" si="2"/>
        <v>1.0797751623277101</v>
      </c>
    </row>
    <row r="25" spans="1:4" x14ac:dyDescent="0.3">
      <c r="A25">
        <v>24</v>
      </c>
      <c r="B25">
        <f t="shared" si="1"/>
        <v>630.95734448019346</v>
      </c>
      <c r="C25">
        <f t="shared" si="2"/>
        <v>1.0797751623277096</v>
      </c>
    </row>
    <row r="26" spans="1:4" x14ac:dyDescent="0.3">
      <c r="A26">
        <v>25</v>
      </c>
      <c r="B26">
        <f t="shared" si="1"/>
        <v>681.29206905796138</v>
      </c>
      <c r="C26">
        <f t="shared" si="2"/>
        <v>1.0797751623277094</v>
      </c>
    </row>
    <row r="27" spans="1:4" x14ac:dyDescent="0.3">
      <c r="A27">
        <v>26</v>
      </c>
      <c r="B27">
        <f t="shared" si="1"/>
        <v>735.64225445964155</v>
      </c>
      <c r="C27">
        <f t="shared" si="2"/>
        <v>1.0797751623277099</v>
      </c>
    </row>
    <row r="28" spans="1:4" x14ac:dyDescent="0.3">
      <c r="A28">
        <v>27</v>
      </c>
      <c r="B28">
        <f t="shared" si="1"/>
        <v>794.32823472428174</v>
      </c>
      <c r="C28">
        <f t="shared" si="2"/>
        <v>1.0797751623277096</v>
      </c>
    </row>
    <row r="29" spans="1:4" x14ac:dyDescent="0.3">
      <c r="A29">
        <v>28</v>
      </c>
      <c r="B29">
        <f t="shared" si="1"/>
        <v>857.6958985908941</v>
      </c>
      <c r="C29">
        <f t="shared" si="2"/>
        <v>1.0797751623277092</v>
      </c>
    </row>
    <row r="30" spans="1:4" x14ac:dyDescent="0.3">
      <c r="A30">
        <v>29</v>
      </c>
      <c r="B30">
        <f t="shared" si="1"/>
        <v>926.1187281287938</v>
      </c>
      <c r="C30">
        <f t="shared" si="2"/>
        <v>1.0797751623277101</v>
      </c>
    </row>
    <row r="31" spans="1:4" x14ac:dyDescent="0.3">
      <c r="A31">
        <v>30</v>
      </c>
      <c r="B31">
        <f t="shared" si="1"/>
        <v>1000</v>
      </c>
      <c r="C31">
        <f t="shared" si="2"/>
        <v>1.0797751623277092</v>
      </c>
    </row>
    <row r="32" spans="1:4" x14ac:dyDescent="0.3">
      <c r="A32">
        <v>31</v>
      </c>
      <c r="B32">
        <f t="shared" si="1"/>
        <v>1079.7751623277102</v>
      </c>
      <c r="C32">
        <f t="shared" si="2"/>
        <v>1.0797751623277101</v>
      </c>
    </row>
    <row r="33" spans="1:3" x14ac:dyDescent="0.3">
      <c r="A33">
        <v>32</v>
      </c>
      <c r="B33">
        <f t="shared" si="1"/>
        <v>1165.9144011798321</v>
      </c>
      <c r="C33">
        <f t="shared" si="2"/>
        <v>1.0797751623277094</v>
      </c>
    </row>
    <row r="34" spans="1:3" x14ac:dyDescent="0.3">
      <c r="A34">
        <v>33</v>
      </c>
      <c r="B34">
        <f t="shared" si="1"/>
        <v>1258.925411794168</v>
      </c>
      <c r="C34">
        <f t="shared" si="2"/>
        <v>1.0797751623277099</v>
      </c>
    </row>
    <row r="35" spans="1:3" x14ac:dyDescent="0.3">
      <c r="A35">
        <v>34</v>
      </c>
      <c r="B35">
        <f t="shared" si="1"/>
        <v>1359.3563908785256</v>
      </c>
      <c r="C35">
        <f t="shared" si="2"/>
        <v>1.079775162327709</v>
      </c>
    </row>
    <row r="36" spans="1:3" x14ac:dyDescent="0.3">
      <c r="A36">
        <v>35</v>
      </c>
      <c r="B36">
        <f t="shared" si="1"/>
        <v>1467.7992676220699</v>
      </c>
      <c r="C36">
        <f t="shared" si="2"/>
        <v>1.0797751623277099</v>
      </c>
    </row>
    <row r="37" spans="1:3" x14ac:dyDescent="0.3">
      <c r="A37">
        <v>36</v>
      </c>
      <c r="B37">
        <f t="shared" si="1"/>
        <v>1584.8931924611136</v>
      </c>
      <c r="C37">
        <f t="shared" si="2"/>
        <v>1.0797751623277094</v>
      </c>
    </row>
    <row r="38" spans="1:3" x14ac:dyDescent="0.3">
      <c r="A38">
        <v>37</v>
      </c>
      <c r="B38">
        <f t="shared" si="1"/>
        <v>1711.3283041617813</v>
      </c>
      <c r="C38">
        <f t="shared" si="2"/>
        <v>1.0797751623277099</v>
      </c>
    </row>
    <row r="39" spans="1:3" x14ac:dyDescent="0.3">
      <c r="A39">
        <v>38</v>
      </c>
      <c r="B39">
        <f t="shared" si="1"/>
        <v>1847.8497974222912</v>
      </c>
      <c r="C39">
        <f t="shared" si="2"/>
        <v>1.0797751623277094</v>
      </c>
    </row>
    <row r="40" spans="1:3" x14ac:dyDescent="0.3">
      <c r="A40">
        <v>39</v>
      </c>
      <c r="B40">
        <f t="shared" si="1"/>
        <v>1995.2623149688804</v>
      </c>
      <c r="C40">
        <f t="shared" si="2"/>
        <v>1.0797751623277099</v>
      </c>
    </row>
    <row r="41" spans="1:3" x14ac:dyDescent="0.3">
      <c r="A41">
        <v>40</v>
      </c>
      <c r="B41">
        <f t="shared" si="1"/>
        <v>2154.4346900318842</v>
      </c>
      <c r="C41">
        <f t="shared" si="2"/>
        <v>1.0797751623277094</v>
      </c>
    </row>
    <row r="42" spans="1:3" x14ac:dyDescent="0.3">
      <c r="A42">
        <v>41</v>
      </c>
      <c r="B42">
        <f t="shared" si="1"/>
        <v>2326.3050671536275</v>
      </c>
      <c r="C42">
        <f t="shared" si="2"/>
        <v>1.0797751623277101</v>
      </c>
    </row>
    <row r="43" spans="1:3" x14ac:dyDescent="0.3">
      <c r="A43">
        <v>42</v>
      </c>
      <c r="B43">
        <f t="shared" si="1"/>
        <v>2511.8864315095798</v>
      </c>
      <c r="C43">
        <f t="shared" si="2"/>
        <v>1.0797751623277088</v>
      </c>
    </row>
    <row r="44" spans="1:3" x14ac:dyDescent="0.3">
      <c r="A44">
        <v>43</v>
      </c>
      <c r="B44">
        <f t="shared" si="1"/>
        <v>2712.2725793320287</v>
      </c>
      <c r="C44">
        <f t="shared" si="2"/>
        <v>1.0797751623277101</v>
      </c>
    </row>
    <row r="45" spans="1:3" x14ac:dyDescent="0.3">
      <c r="A45">
        <v>44</v>
      </c>
      <c r="B45">
        <f t="shared" si="1"/>
        <v>2928.6445646252369</v>
      </c>
      <c r="C45">
        <f t="shared" si="2"/>
        <v>1.0797751623277096</v>
      </c>
    </row>
    <row r="46" spans="1:3" x14ac:dyDescent="0.3">
      <c r="A46">
        <v>45</v>
      </c>
      <c r="B46">
        <f t="shared" si="1"/>
        <v>3162.2776601683804</v>
      </c>
      <c r="C46">
        <f t="shared" si="2"/>
        <v>1.0797751623277099</v>
      </c>
    </row>
    <row r="47" spans="1:3" x14ac:dyDescent="0.3">
      <c r="A47">
        <v>46</v>
      </c>
      <c r="B47">
        <f t="shared" si="1"/>
        <v>3414.5488738336035</v>
      </c>
      <c r="C47">
        <f t="shared" si="2"/>
        <v>1.0797751623277099</v>
      </c>
    </row>
    <row r="48" spans="1:3" x14ac:dyDescent="0.3">
      <c r="A48">
        <v>47</v>
      </c>
      <c r="B48">
        <f t="shared" si="1"/>
        <v>3686.945064519577</v>
      </c>
      <c r="C48">
        <f t="shared" si="2"/>
        <v>1.0797751623277096</v>
      </c>
    </row>
    <row r="49" spans="1:3" x14ac:dyDescent="0.3">
      <c r="A49">
        <v>48</v>
      </c>
      <c r="B49">
        <f t="shared" si="1"/>
        <v>3981.0717055349755</v>
      </c>
      <c r="C49">
        <f t="shared" si="2"/>
        <v>1.0797751623277101</v>
      </c>
    </row>
    <row r="50" spans="1:3" x14ac:dyDescent="0.3">
      <c r="A50">
        <v>49</v>
      </c>
      <c r="B50">
        <f t="shared" si="1"/>
        <v>4298.6623470822769</v>
      </c>
      <c r="C50">
        <f t="shared" si="2"/>
        <v>1.0797751623277088</v>
      </c>
    </row>
    <row r="51" spans="1:3" x14ac:dyDescent="0.3">
      <c r="A51">
        <v>50</v>
      </c>
      <c r="B51">
        <f t="shared" si="1"/>
        <v>4641.5888336127809</v>
      </c>
      <c r="C51">
        <f t="shared" si="2"/>
        <v>1.0797751623277101</v>
      </c>
    </row>
    <row r="52" spans="1:3" x14ac:dyDescent="0.3">
      <c r="A52">
        <v>51</v>
      </c>
      <c r="B52">
        <f t="shared" si="1"/>
        <v>5011.8723362727242</v>
      </c>
      <c r="C52">
        <f t="shared" si="2"/>
        <v>1.0797751623277094</v>
      </c>
    </row>
    <row r="53" spans="1:3" x14ac:dyDescent="0.3">
      <c r="A53">
        <v>52</v>
      </c>
      <c r="B53">
        <f t="shared" si="1"/>
        <v>5411.6952654646393</v>
      </c>
      <c r="C53">
        <f t="shared" si="2"/>
        <v>1.0797751623277099</v>
      </c>
    </row>
    <row r="54" spans="1:3" x14ac:dyDescent="0.3">
      <c r="A54">
        <v>53</v>
      </c>
      <c r="B54">
        <f t="shared" si="1"/>
        <v>5843.4141337351775</v>
      </c>
      <c r="C54">
        <f t="shared" si="2"/>
        <v>1.0797751623277094</v>
      </c>
    </row>
    <row r="55" spans="1:3" x14ac:dyDescent="0.3">
      <c r="A55">
        <v>54</v>
      </c>
      <c r="B55">
        <f t="shared" si="1"/>
        <v>6309.5734448019366</v>
      </c>
      <c r="C55">
        <f t="shared" si="2"/>
        <v>1.0797751623277101</v>
      </c>
    </row>
    <row r="56" spans="1:3" x14ac:dyDescent="0.3">
      <c r="A56">
        <v>55</v>
      </c>
      <c r="B56">
        <f t="shared" si="1"/>
        <v>6812.9206905796127</v>
      </c>
      <c r="C56">
        <f t="shared" si="2"/>
        <v>1.079775162327709</v>
      </c>
    </row>
    <row r="57" spans="1:3" x14ac:dyDescent="0.3">
      <c r="A57">
        <v>56</v>
      </c>
      <c r="B57">
        <f t="shared" si="1"/>
        <v>7356.4225445964157</v>
      </c>
      <c r="C57">
        <f t="shared" si="2"/>
        <v>1.0797751623277101</v>
      </c>
    </row>
    <row r="58" spans="1:3" x14ac:dyDescent="0.3">
      <c r="A58">
        <v>57</v>
      </c>
      <c r="B58">
        <f t="shared" si="1"/>
        <v>7943.2823472428199</v>
      </c>
      <c r="C58">
        <f t="shared" si="2"/>
        <v>1.0797751623277099</v>
      </c>
    </row>
    <row r="59" spans="1:3" x14ac:dyDescent="0.3">
      <c r="A59">
        <v>58</v>
      </c>
      <c r="B59">
        <f t="shared" si="1"/>
        <v>8576.9589859089483</v>
      </c>
      <c r="C59">
        <f t="shared" si="2"/>
        <v>1.0797751623277099</v>
      </c>
    </row>
    <row r="60" spans="1:3" x14ac:dyDescent="0.3">
      <c r="A60">
        <v>59</v>
      </c>
      <c r="B60">
        <f t="shared" si="1"/>
        <v>9261.1872812879374</v>
      </c>
      <c r="C60">
        <f t="shared" si="2"/>
        <v>1.079775162327709</v>
      </c>
    </row>
    <row r="61" spans="1:3" x14ac:dyDescent="0.3">
      <c r="A61">
        <v>60</v>
      </c>
      <c r="B61">
        <f t="shared" si="1"/>
        <v>10000</v>
      </c>
      <c r="C61">
        <f t="shared" si="2"/>
        <v>1.0797751623277094</v>
      </c>
    </row>
    <row r="62" spans="1:3" x14ac:dyDescent="0.3">
      <c r="A62">
        <v>61</v>
      </c>
      <c r="B62">
        <f t="shared" si="1"/>
        <v>10797.751623277096</v>
      </c>
      <c r="C62">
        <f t="shared" si="2"/>
        <v>1.0797751623277096</v>
      </c>
    </row>
    <row r="63" spans="1:3" x14ac:dyDescent="0.3">
      <c r="A63">
        <v>62</v>
      </c>
      <c r="B63">
        <f t="shared" si="1"/>
        <v>11659.144011798327</v>
      </c>
      <c r="C63">
        <f t="shared" si="2"/>
        <v>1.0797751623277108</v>
      </c>
    </row>
    <row r="64" spans="1:3" x14ac:dyDescent="0.3">
      <c r="A64">
        <v>63</v>
      </c>
      <c r="B64">
        <f t="shared" si="1"/>
        <v>12589.254117941677</v>
      </c>
      <c r="C64">
        <f t="shared" si="2"/>
        <v>1.0797751623277092</v>
      </c>
    </row>
    <row r="65" spans="1:3" x14ac:dyDescent="0.3">
      <c r="A65">
        <v>64</v>
      </c>
      <c r="B65">
        <f t="shared" si="1"/>
        <v>13593.563908785265</v>
      </c>
      <c r="C65">
        <f t="shared" si="2"/>
        <v>1.0797751623277099</v>
      </c>
    </row>
    <row r="66" spans="1:3" x14ac:dyDescent="0.3">
      <c r="A66">
        <v>65</v>
      </c>
      <c r="B66">
        <f t="shared" si="1"/>
        <v>14677.992676220696</v>
      </c>
      <c r="C66">
        <f t="shared" si="2"/>
        <v>1.079775162327709</v>
      </c>
    </row>
    <row r="67" spans="1:3" x14ac:dyDescent="0.3">
      <c r="A67">
        <v>66</v>
      </c>
      <c r="B67">
        <f t="shared" ref="B67:B87" si="4">B$1*10^(A67/30)</f>
        <v>15848.931924611154</v>
      </c>
      <c r="C67">
        <f t="shared" ref="C67:C87" si="5">B67/B66</f>
        <v>1.079775162327711</v>
      </c>
    </row>
    <row r="68" spans="1:3" x14ac:dyDescent="0.3">
      <c r="A68">
        <v>67</v>
      </c>
      <c r="B68">
        <f t="shared" si="4"/>
        <v>17113.283041617815</v>
      </c>
      <c r="C68">
        <f t="shared" si="5"/>
        <v>1.0797751623277088</v>
      </c>
    </row>
    <row r="69" spans="1:3" x14ac:dyDescent="0.3">
      <c r="A69">
        <v>68</v>
      </c>
      <c r="B69">
        <f t="shared" si="4"/>
        <v>18478.497974222912</v>
      </c>
      <c r="C69">
        <f t="shared" si="5"/>
        <v>1.0797751623277094</v>
      </c>
    </row>
    <row r="70" spans="1:3" x14ac:dyDescent="0.3">
      <c r="A70">
        <v>69</v>
      </c>
      <c r="B70">
        <f t="shared" si="4"/>
        <v>19952.623149688803</v>
      </c>
      <c r="C70">
        <f t="shared" si="5"/>
        <v>1.0797751623277099</v>
      </c>
    </row>
    <row r="71" spans="1:3" x14ac:dyDescent="0.3">
      <c r="A71">
        <v>70</v>
      </c>
      <c r="B71">
        <f t="shared" si="4"/>
        <v>21544.346900318847</v>
      </c>
      <c r="C71">
        <f t="shared" si="5"/>
        <v>1.0797751623277099</v>
      </c>
    </row>
    <row r="72" spans="1:3" x14ac:dyDescent="0.3">
      <c r="A72">
        <v>71</v>
      </c>
      <c r="B72">
        <f t="shared" si="4"/>
        <v>23263.050671536279</v>
      </c>
      <c r="C72">
        <f t="shared" si="5"/>
        <v>1.0797751623277101</v>
      </c>
    </row>
    <row r="73" spans="1:3" x14ac:dyDescent="0.3">
      <c r="A73">
        <v>72</v>
      </c>
      <c r="B73">
        <f t="shared" si="4"/>
        <v>25118.864315095805</v>
      </c>
      <c r="C73">
        <f t="shared" si="5"/>
        <v>1.079775162327709</v>
      </c>
    </row>
    <row r="74" spans="1:3" x14ac:dyDescent="0.3">
      <c r="A74">
        <v>73</v>
      </c>
      <c r="B74">
        <f t="shared" si="4"/>
        <v>27122.725793320296</v>
      </c>
      <c r="C74">
        <f t="shared" si="5"/>
        <v>1.0797751623277101</v>
      </c>
    </row>
    <row r="75" spans="1:3" x14ac:dyDescent="0.3">
      <c r="A75">
        <v>74</v>
      </c>
      <c r="B75">
        <f t="shared" si="4"/>
        <v>29286.445646252385</v>
      </c>
      <c r="C75">
        <f t="shared" si="5"/>
        <v>1.0797751623277099</v>
      </c>
    </row>
    <row r="76" spans="1:3" x14ac:dyDescent="0.3">
      <c r="A76">
        <v>75</v>
      </c>
      <c r="B76">
        <f t="shared" si="4"/>
        <v>31622.776601683825</v>
      </c>
      <c r="C76">
        <f t="shared" si="5"/>
        <v>1.0797751623277101</v>
      </c>
    </row>
    <row r="77" spans="1:3" x14ac:dyDescent="0.3">
      <c r="A77">
        <v>76</v>
      </c>
      <c r="B77">
        <f t="shared" si="4"/>
        <v>34145.488738336033</v>
      </c>
      <c r="C77">
        <f t="shared" si="5"/>
        <v>1.079775162327709</v>
      </c>
    </row>
    <row r="78" spans="1:3" x14ac:dyDescent="0.3">
      <c r="A78">
        <v>77</v>
      </c>
      <c r="B78">
        <f t="shared" si="4"/>
        <v>36869.450645195779</v>
      </c>
      <c r="C78">
        <f t="shared" si="5"/>
        <v>1.0797751623277099</v>
      </c>
    </row>
    <row r="79" spans="1:3" x14ac:dyDescent="0.3">
      <c r="A79">
        <v>78</v>
      </c>
      <c r="B79">
        <f t="shared" si="4"/>
        <v>39810.717055349764</v>
      </c>
      <c r="C79">
        <f t="shared" si="5"/>
        <v>1.0797751623277101</v>
      </c>
    </row>
    <row r="80" spans="1:3" x14ac:dyDescent="0.3">
      <c r="A80">
        <v>79</v>
      </c>
      <c r="B80">
        <f t="shared" si="4"/>
        <v>42986.623470822778</v>
      </c>
      <c r="C80">
        <f t="shared" si="5"/>
        <v>1.0797751623277088</v>
      </c>
    </row>
    <row r="81" spans="1:3" x14ac:dyDescent="0.3">
      <c r="A81">
        <v>80</v>
      </c>
      <c r="B81">
        <f t="shared" si="4"/>
        <v>46415.88833612782</v>
      </c>
      <c r="C81">
        <f t="shared" si="5"/>
        <v>1.0797751623277101</v>
      </c>
    </row>
    <row r="82" spans="1:3" x14ac:dyDescent="0.3">
      <c r="A82">
        <v>81</v>
      </c>
      <c r="B82">
        <f t="shared" si="4"/>
        <v>50118.723362727265</v>
      </c>
      <c r="C82">
        <f t="shared" si="5"/>
        <v>1.0797751623277096</v>
      </c>
    </row>
    <row r="83" spans="1:3" x14ac:dyDescent="0.3">
      <c r="A83">
        <v>82</v>
      </c>
      <c r="B83">
        <f t="shared" si="4"/>
        <v>54116.952654646433</v>
      </c>
      <c r="C83">
        <f t="shared" si="5"/>
        <v>1.0797751623277101</v>
      </c>
    </row>
    <row r="84" spans="1:3" x14ac:dyDescent="0.3">
      <c r="A84">
        <v>83</v>
      </c>
      <c r="B84">
        <f t="shared" si="4"/>
        <v>58434.141337351786</v>
      </c>
      <c r="C84">
        <f t="shared" si="5"/>
        <v>1.0797751623277088</v>
      </c>
    </row>
    <row r="85" spans="1:3" x14ac:dyDescent="0.3">
      <c r="A85">
        <v>84</v>
      </c>
      <c r="B85">
        <f t="shared" si="4"/>
        <v>63095.734448019321</v>
      </c>
      <c r="C85">
        <f t="shared" si="5"/>
        <v>1.079775162327709</v>
      </c>
    </row>
    <row r="86" spans="1:3" x14ac:dyDescent="0.3">
      <c r="A86">
        <v>85</v>
      </c>
      <c r="B86">
        <f t="shared" si="4"/>
        <v>68129.206905796193</v>
      </c>
      <c r="C86">
        <f t="shared" si="5"/>
        <v>1.0797751623277108</v>
      </c>
    </row>
    <row r="87" spans="1:3" x14ac:dyDescent="0.3">
      <c r="A87">
        <v>86</v>
      </c>
      <c r="B87">
        <f t="shared" si="4"/>
        <v>73564.22544596417</v>
      </c>
      <c r="C87">
        <f t="shared" si="5"/>
        <v>1.0797751623277092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7E31-19EA-48A7-B6B9-1C0D6FA6B8D4}">
  <dimension ref="A1:M33"/>
  <sheetViews>
    <sheetView tabSelected="1" workbookViewId="0">
      <selection activeCell="I22" sqref="I22"/>
    </sheetView>
  </sheetViews>
  <sheetFormatPr defaultRowHeight="16.5" x14ac:dyDescent="0.3"/>
  <sheetData>
    <row r="1" spans="1:13" x14ac:dyDescent="0.3">
      <c r="A1" t="s">
        <v>12</v>
      </c>
      <c r="H1">
        <v>40500</v>
      </c>
      <c r="I1">
        <v>6203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100</v>
      </c>
      <c r="J2">
        <f>I1+H1</f>
        <v>46703</v>
      </c>
      <c r="K2">
        <f>J3/J2</f>
        <v>1.1712952058754256</v>
      </c>
    </row>
    <row r="3" spans="1:13" x14ac:dyDescent="0.3">
      <c r="A3">
        <v>1</v>
      </c>
      <c r="B3" t="s">
        <v>6</v>
      </c>
      <c r="C3" t="s">
        <v>7</v>
      </c>
      <c r="D3">
        <v>8000</v>
      </c>
      <c r="E3">
        <v>30</v>
      </c>
      <c r="F3">
        <v>1</v>
      </c>
      <c r="G3">
        <f>G2+E3</f>
        <v>130</v>
      </c>
      <c r="H3">
        <f>G3/G2</f>
        <v>1.3</v>
      </c>
      <c r="J3">
        <f t="shared" ref="J3:J33" si="0">J2+D3</f>
        <v>54703</v>
      </c>
      <c r="K3">
        <f>J3/J2</f>
        <v>1.1712952058754256</v>
      </c>
      <c r="M3">
        <f>K3*H3</f>
        <v>1.5226837676380534</v>
      </c>
    </row>
    <row r="4" spans="1:13" x14ac:dyDescent="0.3">
      <c r="A4">
        <v>2</v>
      </c>
      <c r="B4" t="s">
        <v>6</v>
      </c>
      <c r="C4" t="s">
        <v>7</v>
      </c>
      <c r="D4">
        <v>9000</v>
      </c>
      <c r="E4">
        <v>40</v>
      </c>
      <c r="F4">
        <v>1</v>
      </c>
      <c r="G4">
        <f>G3+E4</f>
        <v>170</v>
      </c>
      <c r="H4">
        <f t="shared" ref="H4:H33" si="1">G4/G3</f>
        <v>1.3076923076923077</v>
      </c>
      <c r="J4">
        <f t="shared" si="0"/>
        <v>63703</v>
      </c>
      <c r="K4">
        <f t="shared" ref="K4:K33" si="2">J4/J3</f>
        <v>1.1645247975430963</v>
      </c>
      <c r="M4">
        <f t="shared" ref="M4:M33" si="3">K4*H4</f>
        <v>1.5228401198640491</v>
      </c>
    </row>
    <row r="5" spans="1:13" x14ac:dyDescent="0.3">
      <c r="A5">
        <v>3</v>
      </c>
      <c r="B5" t="s">
        <v>6</v>
      </c>
      <c r="C5" t="s">
        <v>7</v>
      </c>
      <c r="D5">
        <v>11000</v>
      </c>
      <c r="E5">
        <v>50</v>
      </c>
      <c r="F5">
        <v>1</v>
      </c>
      <c r="G5">
        <f t="shared" ref="G5:G33" si="4">G4+E5</f>
        <v>220</v>
      </c>
      <c r="H5">
        <f t="shared" si="1"/>
        <v>1.2941176470588236</v>
      </c>
      <c r="J5">
        <f t="shared" si="0"/>
        <v>74703</v>
      </c>
      <c r="K5">
        <f t="shared" si="2"/>
        <v>1.1726763260756949</v>
      </c>
      <c r="M5">
        <f t="shared" si="3"/>
        <v>1.5175811278626641</v>
      </c>
    </row>
    <row r="6" spans="1:13" x14ac:dyDescent="0.3">
      <c r="A6">
        <v>4</v>
      </c>
      <c r="B6" t="s">
        <v>6</v>
      </c>
      <c r="C6" t="s">
        <v>7</v>
      </c>
      <c r="D6">
        <v>15000</v>
      </c>
      <c r="E6">
        <v>60</v>
      </c>
      <c r="F6">
        <v>1</v>
      </c>
      <c r="G6">
        <f t="shared" si="4"/>
        <v>280</v>
      </c>
      <c r="H6">
        <f t="shared" si="1"/>
        <v>1.2727272727272727</v>
      </c>
      <c r="J6">
        <f t="shared" si="0"/>
        <v>89703</v>
      </c>
      <c r="K6">
        <f t="shared" si="2"/>
        <v>1.2007951487892052</v>
      </c>
      <c r="M6">
        <f t="shared" si="3"/>
        <v>1.5282847348226247</v>
      </c>
    </row>
    <row r="7" spans="1:13" x14ac:dyDescent="0.3">
      <c r="A7">
        <v>5</v>
      </c>
      <c r="B7" t="s">
        <v>6</v>
      </c>
      <c r="C7" t="s">
        <v>7</v>
      </c>
      <c r="D7">
        <v>20000</v>
      </c>
      <c r="E7">
        <v>70</v>
      </c>
      <c r="F7">
        <v>1</v>
      </c>
      <c r="G7">
        <f t="shared" si="4"/>
        <v>350</v>
      </c>
      <c r="H7">
        <f t="shared" si="1"/>
        <v>1.25</v>
      </c>
      <c r="J7">
        <f t="shared" si="0"/>
        <v>109703</v>
      </c>
      <c r="K7">
        <f t="shared" si="2"/>
        <v>1.2229579835679967</v>
      </c>
      <c r="M7">
        <f t="shared" si="3"/>
        <v>1.5286974794599959</v>
      </c>
    </row>
    <row r="8" spans="1:13" x14ac:dyDescent="0.3">
      <c r="A8" s="1">
        <v>6</v>
      </c>
      <c r="B8" s="1" t="s">
        <v>6</v>
      </c>
      <c r="C8" s="1" t="s">
        <v>7</v>
      </c>
      <c r="D8" s="1">
        <v>135000</v>
      </c>
      <c r="E8" s="1">
        <v>180</v>
      </c>
      <c r="F8" s="1">
        <v>4</v>
      </c>
      <c r="G8" s="1">
        <f t="shared" si="4"/>
        <v>530</v>
      </c>
      <c r="H8" s="1">
        <f t="shared" si="1"/>
        <v>1.5142857142857142</v>
      </c>
      <c r="I8" s="1">
        <f>G8/G2</f>
        <v>5.3</v>
      </c>
      <c r="J8" s="1">
        <f t="shared" si="0"/>
        <v>244703</v>
      </c>
      <c r="K8" s="1">
        <f t="shared" si="2"/>
        <v>2.2305953346763534</v>
      </c>
      <c r="M8">
        <f t="shared" si="3"/>
        <v>3.3777586496527636</v>
      </c>
    </row>
    <row r="9" spans="1:13" x14ac:dyDescent="0.3">
      <c r="A9">
        <v>7</v>
      </c>
      <c r="B9" t="s">
        <v>8</v>
      </c>
      <c r="C9" t="s">
        <v>7</v>
      </c>
      <c r="D9">
        <v>38000</v>
      </c>
      <c r="E9">
        <v>160</v>
      </c>
      <c r="F9">
        <v>1</v>
      </c>
      <c r="G9">
        <f t="shared" si="4"/>
        <v>690</v>
      </c>
      <c r="H9">
        <f t="shared" si="1"/>
        <v>1.3018867924528301</v>
      </c>
      <c r="J9">
        <f t="shared" si="0"/>
        <v>282703</v>
      </c>
      <c r="K9">
        <f t="shared" si="2"/>
        <v>1.1552902906789047</v>
      </c>
      <c r="M9">
        <f t="shared" si="3"/>
        <v>1.5040571708838568</v>
      </c>
    </row>
    <row r="10" spans="1:13" x14ac:dyDescent="0.3">
      <c r="A10">
        <v>8</v>
      </c>
      <c r="B10" t="s">
        <v>8</v>
      </c>
      <c r="C10" t="s">
        <v>7</v>
      </c>
      <c r="D10">
        <v>43000</v>
      </c>
      <c r="E10">
        <v>210</v>
      </c>
      <c r="F10">
        <v>1</v>
      </c>
      <c r="G10">
        <f t="shared" si="4"/>
        <v>900</v>
      </c>
      <c r="H10">
        <f t="shared" si="1"/>
        <v>1.3043478260869565</v>
      </c>
      <c r="J10">
        <f t="shared" si="0"/>
        <v>325703</v>
      </c>
      <c r="K10">
        <f t="shared" si="2"/>
        <v>1.1521030905225627</v>
      </c>
      <c r="M10">
        <f t="shared" si="3"/>
        <v>1.5027431615511686</v>
      </c>
    </row>
    <row r="11" spans="1:13" x14ac:dyDescent="0.3">
      <c r="A11">
        <v>9</v>
      </c>
      <c r="B11" t="s">
        <v>8</v>
      </c>
      <c r="C11" t="s">
        <v>7</v>
      </c>
      <c r="D11">
        <v>50000</v>
      </c>
      <c r="E11">
        <v>270</v>
      </c>
      <c r="F11">
        <v>1</v>
      </c>
      <c r="G11">
        <f t="shared" si="4"/>
        <v>1170</v>
      </c>
      <c r="H11">
        <f t="shared" si="1"/>
        <v>1.3</v>
      </c>
      <c r="J11">
        <f t="shared" si="0"/>
        <v>375703</v>
      </c>
      <c r="K11">
        <f t="shared" si="2"/>
        <v>1.1535140910584183</v>
      </c>
      <c r="M11">
        <f t="shared" si="3"/>
        <v>1.4995683183759438</v>
      </c>
    </row>
    <row r="12" spans="1:13" x14ac:dyDescent="0.3">
      <c r="A12">
        <v>10</v>
      </c>
      <c r="B12" t="s">
        <v>8</v>
      </c>
      <c r="C12" t="s">
        <v>7</v>
      </c>
      <c r="D12">
        <v>60000</v>
      </c>
      <c r="E12">
        <v>350</v>
      </c>
      <c r="F12">
        <v>1</v>
      </c>
      <c r="G12">
        <f t="shared" si="4"/>
        <v>1520</v>
      </c>
      <c r="H12">
        <f t="shared" si="1"/>
        <v>1.2991452991452992</v>
      </c>
      <c r="J12">
        <f t="shared" si="0"/>
        <v>435703</v>
      </c>
      <c r="K12">
        <f t="shared" si="2"/>
        <v>1.1597006145811986</v>
      </c>
      <c r="M12">
        <f t="shared" si="3"/>
        <v>1.5066196018490785</v>
      </c>
    </row>
    <row r="13" spans="1:13" x14ac:dyDescent="0.3">
      <c r="A13">
        <v>11</v>
      </c>
      <c r="B13" t="s">
        <v>8</v>
      </c>
      <c r="C13" t="s">
        <v>7</v>
      </c>
      <c r="D13">
        <v>70000</v>
      </c>
      <c r="E13">
        <v>450</v>
      </c>
      <c r="F13">
        <v>1</v>
      </c>
      <c r="G13">
        <f t="shared" si="4"/>
        <v>1970</v>
      </c>
      <c r="H13">
        <f t="shared" si="1"/>
        <v>1.2960526315789473</v>
      </c>
      <c r="J13">
        <f t="shared" si="0"/>
        <v>505703</v>
      </c>
      <c r="K13">
        <f t="shared" si="2"/>
        <v>1.1606598990596806</v>
      </c>
      <c r="M13">
        <f t="shared" si="3"/>
        <v>1.5042763165444544</v>
      </c>
    </row>
    <row r="14" spans="1:13" x14ac:dyDescent="0.3">
      <c r="A14" s="1">
        <v>12</v>
      </c>
      <c r="B14" s="1" t="s">
        <v>8</v>
      </c>
      <c r="C14" s="1" t="s">
        <v>7</v>
      </c>
      <c r="D14" s="1">
        <v>600000</v>
      </c>
      <c r="E14" s="1">
        <v>1000</v>
      </c>
      <c r="F14" s="1">
        <v>4</v>
      </c>
      <c r="G14" s="1">
        <f t="shared" si="4"/>
        <v>2970</v>
      </c>
      <c r="H14" s="1">
        <f t="shared" si="1"/>
        <v>1.5076142131979695</v>
      </c>
      <c r="I14" s="1"/>
      <c r="J14" s="1">
        <f t="shared" si="0"/>
        <v>1105703</v>
      </c>
      <c r="K14" s="1">
        <f t="shared" si="2"/>
        <v>2.1864671556229647</v>
      </c>
      <c r="M14">
        <f t="shared" si="3"/>
        <v>3.2963489605077183</v>
      </c>
    </row>
    <row r="15" spans="1:13" x14ac:dyDescent="0.3">
      <c r="A15">
        <v>13</v>
      </c>
      <c r="B15" t="s">
        <v>9</v>
      </c>
      <c r="C15" t="s">
        <v>7</v>
      </c>
      <c r="D15">
        <v>170000</v>
      </c>
      <c r="E15">
        <v>900</v>
      </c>
      <c r="F15">
        <v>1</v>
      </c>
      <c r="G15">
        <f t="shared" si="4"/>
        <v>3870</v>
      </c>
      <c r="H15">
        <f t="shared" si="1"/>
        <v>1.303030303030303</v>
      </c>
      <c r="J15">
        <f t="shared" si="0"/>
        <v>1275703</v>
      </c>
      <c r="K15">
        <f t="shared" si="2"/>
        <v>1.1537483392918351</v>
      </c>
      <c r="M15">
        <f t="shared" si="3"/>
        <v>1.5033690481681488</v>
      </c>
    </row>
    <row r="16" spans="1:13" x14ac:dyDescent="0.3">
      <c r="A16">
        <v>14</v>
      </c>
      <c r="B16" t="s">
        <v>9</v>
      </c>
      <c r="C16" t="s">
        <v>7</v>
      </c>
      <c r="D16">
        <v>200000</v>
      </c>
      <c r="E16">
        <v>1200</v>
      </c>
      <c r="F16">
        <v>1</v>
      </c>
      <c r="G16">
        <f t="shared" si="4"/>
        <v>5070</v>
      </c>
      <c r="H16">
        <f t="shared" si="1"/>
        <v>1.3100775193798451</v>
      </c>
      <c r="J16">
        <f t="shared" si="0"/>
        <v>1475703</v>
      </c>
      <c r="K16">
        <f t="shared" si="2"/>
        <v>1.1567763029482567</v>
      </c>
      <c r="M16">
        <f t="shared" si="3"/>
        <v>1.5154666294438404</v>
      </c>
    </row>
    <row r="17" spans="1:13" x14ac:dyDescent="0.3">
      <c r="A17">
        <v>15</v>
      </c>
      <c r="B17" t="s">
        <v>9</v>
      </c>
      <c r="C17" t="s">
        <v>7</v>
      </c>
      <c r="D17">
        <v>230000</v>
      </c>
      <c r="E17">
        <v>1600</v>
      </c>
      <c r="F17">
        <v>1</v>
      </c>
      <c r="G17">
        <f t="shared" si="4"/>
        <v>6670</v>
      </c>
      <c r="H17">
        <f t="shared" si="1"/>
        <v>1.3155818540433926</v>
      </c>
      <c r="J17">
        <f t="shared" si="0"/>
        <v>1705703</v>
      </c>
      <c r="K17">
        <f t="shared" si="2"/>
        <v>1.1558579199202008</v>
      </c>
      <c r="M17">
        <f t="shared" si="3"/>
        <v>1.520625705299357</v>
      </c>
    </row>
    <row r="18" spans="1:13" x14ac:dyDescent="0.3">
      <c r="A18">
        <v>16</v>
      </c>
      <c r="B18" t="s">
        <v>9</v>
      </c>
      <c r="C18" t="s">
        <v>7</v>
      </c>
      <c r="D18">
        <v>260000</v>
      </c>
      <c r="E18">
        <v>2000</v>
      </c>
      <c r="F18">
        <v>1</v>
      </c>
      <c r="G18">
        <f t="shared" si="4"/>
        <v>8670</v>
      </c>
      <c r="H18">
        <f t="shared" si="1"/>
        <v>1.2998500749625188</v>
      </c>
      <c r="J18">
        <f t="shared" si="0"/>
        <v>1965703</v>
      </c>
      <c r="K18">
        <f t="shared" si="2"/>
        <v>1.1524298192592732</v>
      </c>
      <c r="M18">
        <f t="shared" si="3"/>
        <v>1.4979859869532084</v>
      </c>
    </row>
    <row r="19" spans="1:13" x14ac:dyDescent="0.3">
      <c r="A19">
        <v>17</v>
      </c>
      <c r="B19" t="s">
        <v>9</v>
      </c>
      <c r="C19" t="s">
        <v>7</v>
      </c>
      <c r="D19">
        <v>300000</v>
      </c>
      <c r="E19">
        <v>2600</v>
      </c>
      <c r="F19">
        <v>1</v>
      </c>
      <c r="G19">
        <f t="shared" si="4"/>
        <v>11270</v>
      </c>
      <c r="H19">
        <f t="shared" si="1"/>
        <v>1.2998846597462514</v>
      </c>
      <c r="J19">
        <f t="shared" si="0"/>
        <v>2265703</v>
      </c>
      <c r="K19">
        <f t="shared" si="2"/>
        <v>1.1526171552874467</v>
      </c>
      <c r="M19">
        <f t="shared" si="3"/>
        <v>1.498269358718515</v>
      </c>
    </row>
    <row r="20" spans="1:13" x14ac:dyDescent="0.3">
      <c r="A20">
        <v>18</v>
      </c>
      <c r="B20" t="s">
        <v>9</v>
      </c>
      <c r="C20" t="s">
        <v>7</v>
      </c>
      <c r="D20">
        <v>3000000</v>
      </c>
      <c r="E20">
        <v>4000</v>
      </c>
      <c r="F20">
        <v>4</v>
      </c>
      <c r="G20">
        <f t="shared" si="4"/>
        <v>15270</v>
      </c>
      <c r="H20">
        <f t="shared" si="1"/>
        <v>1.3549245785270629</v>
      </c>
      <c r="J20">
        <f t="shared" si="0"/>
        <v>5265703</v>
      </c>
      <c r="K20">
        <f t="shared" si="2"/>
        <v>2.324092345731104</v>
      </c>
      <c r="M20">
        <f t="shared" si="3"/>
        <v>3.148969841997689</v>
      </c>
    </row>
    <row r="21" spans="1:13" x14ac:dyDescent="0.3">
      <c r="A21">
        <v>19</v>
      </c>
      <c r="B21" t="s">
        <v>10</v>
      </c>
      <c r="C21" t="s">
        <v>7</v>
      </c>
      <c r="D21">
        <v>200000</v>
      </c>
      <c r="E21">
        <v>50</v>
      </c>
      <c r="F21">
        <v>1</v>
      </c>
      <c r="G21">
        <f t="shared" si="4"/>
        <v>15320</v>
      </c>
      <c r="H21">
        <f t="shared" si="1"/>
        <v>1.0032743942370661</v>
      </c>
      <c r="J21">
        <f t="shared" si="0"/>
        <v>5465703</v>
      </c>
      <c r="K21">
        <f t="shared" si="2"/>
        <v>1.037981633221623</v>
      </c>
      <c r="M21">
        <f t="shared" si="3"/>
        <v>1.0413803942996243</v>
      </c>
    </row>
    <row r="22" spans="1:13" x14ac:dyDescent="0.3">
      <c r="A22">
        <v>20</v>
      </c>
      <c r="B22" t="s">
        <v>10</v>
      </c>
      <c r="C22" t="s">
        <v>7</v>
      </c>
      <c r="D22">
        <v>200000</v>
      </c>
      <c r="E22">
        <v>50</v>
      </c>
      <c r="F22">
        <v>1</v>
      </c>
      <c r="G22">
        <f t="shared" si="4"/>
        <v>15370</v>
      </c>
      <c r="H22">
        <f t="shared" si="1"/>
        <v>1.0032637075718016</v>
      </c>
      <c r="J22">
        <f t="shared" si="0"/>
        <v>5665703</v>
      </c>
      <c r="K22">
        <f t="shared" si="2"/>
        <v>1.0365918162768815</v>
      </c>
      <c r="M22">
        <f t="shared" si="3"/>
        <v>1.039974948836532</v>
      </c>
    </row>
    <row r="23" spans="1:13" x14ac:dyDescent="0.3">
      <c r="A23">
        <v>21</v>
      </c>
      <c r="B23" t="s">
        <v>10</v>
      </c>
      <c r="C23" t="s">
        <v>7</v>
      </c>
      <c r="D23">
        <v>200000</v>
      </c>
      <c r="E23">
        <v>50</v>
      </c>
      <c r="F23">
        <v>1</v>
      </c>
      <c r="G23">
        <f t="shared" si="4"/>
        <v>15420</v>
      </c>
      <c r="H23">
        <f t="shared" si="1"/>
        <v>1.003253090435914</v>
      </c>
      <c r="J23">
        <f t="shared" si="0"/>
        <v>5865703</v>
      </c>
      <c r="K23">
        <f t="shared" si="2"/>
        <v>1.0353001207440631</v>
      </c>
      <c r="M23">
        <f t="shared" si="3"/>
        <v>1.0386680456651562</v>
      </c>
    </row>
    <row r="24" spans="1:13" x14ac:dyDescent="0.3">
      <c r="A24">
        <v>22</v>
      </c>
      <c r="B24" t="s">
        <v>10</v>
      </c>
      <c r="C24" t="s">
        <v>7</v>
      </c>
      <c r="D24">
        <v>200000</v>
      </c>
      <c r="E24">
        <v>50</v>
      </c>
      <c r="F24">
        <v>1</v>
      </c>
      <c r="G24">
        <f t="shared" si="4"/>
        <v>15470</v>
      </c>
      <c r="H24">
        <f t="shared" si="1"/>
        <v>1.003242542153048</v>
      </c>
      <c r="J24">
        <f t="shared" si="0"/>
        <v>6065703</v>
      </c>
      <c r="K24">
        <f t="shared" si="2"/>
        <v>1.0340965098301089</v>
      </c>
      <c r="M24">
        <f t="shared" si="3"/>
        <v>1.0374496113535527</v>
      </c>
    </row>
    <row r="25" spans="1:13" x14ac:dyDescent="0.3">
      <c r="A25">
        <v>23</v>
      </c>
      <c r="B25" t="s">
        <v>10</v>
      </c>
      <c r="C25" t="s">
        <v>7</v>
      </c>
      <c r="D25">
        <v>200000</v>
      </c>
      <c r="E25">
        <v>50</v>
      </c>
      <c r="F25">
        <v>1</v>
      </c>
      <c r="G25">
        <f t="shared" si="4"/>
        <v>15520</v>
      </c>
      <c r="H25">
        <f t="shared" si="1"/>
        <v>1.0032320620555915</v>
      </c>
      <c r="J25">
        <f t="shared" si="0"/>
        <v>6265703</v>
      </c>
      <c r="K25">
        <f t="shared" si="2"/>
        <v>1.0329722704853832</v>
      </c>
      <c r="M25">
        <f t="shared" si="3"/>
        <v>1.0363109009652971</v>
      </c>
    </row>
    <row r="26" spans="1:13" x14ac:dyDescent="0.3">
      <c r="A26">
        <v>24</v>
      </c>
      <c r="B26" t="s">
        <v>10</v>
      </c>
      <c r="C26" t="s">
        <v>7</v>
      </c>
      <c r="D26">
        <v>1000000</v>
      </c>
      <c r="E26">
        <v>200</v>
      </c>
      <c r="F26">
        <v>4</v>
      </c>
      <c r="G26">
        <f t="shared" si="4"/>
        <v>15720</v>
      </c>
      <c r="H26">
        <f t="shared" si="1"/>
        <v>1.0128865979381443</v>
      </c>
      <c r="J26">
        <f t="shared" si="0"/>
        <v>7265703</v>
      </c>
      <c r="K26">
        <f t="shared" si="2"/>
        <v>1.1595990106776526</v>
      </c>
      <c r="M26">
        <f t="shared" si="3"/>
        <v>1.1745422968977253</v>
      </c>
    </row>
    <row r="27" spans="1:13" x14ac:dyDescent="0.3">
      <c r="A27">
        <v>25</v>
      </c>
      <c r="B27" t="s">
        <v>11</v>
      </c>
      <c r="C27" t="s">
        <v>7</v>
      </c>
      <c r="D27">
        <v>200000</v>
      </c>
      <c r="E27">
        <v>50</v>
      </c>
      <c r="F27">
        <v>1</v>
      </c>
      <c r="G27">
        <f t="shared" si="4"/>
        <v>15770</v>
      </c>
      <c r="H27">
        <f t="shared" si="1"/>
        <v>1.0031806615776082</v>
      </c>
      <c r="J27">
        <f t="shared" si="0"/>
        <v>7465703</v>
      </c>
      <c r="K27">
        <f t="shared" si="2"/>
        <v>1.0275265862092078</v>
      </c>
      <c r="M27">
        <f t="shared" si="3"/>
        <v>1.0307948005419343</v>
      </c>
    </row>
    <row r="28" spans="1:13" x14ac:dyDescent="0.3">
      <c r="A28">
        <v>26</v>
      </c>
      <c r="B28" t="s">
        <v>11</v>
      </c>
      <c r="C28" t="s">
        <v>7</v>
      </c>
      <c r="D28">
        <v>200000</v>
      </c>
      <c r="E28">
        <v>50</v>
      </c>
      <c r="F28">
        <v>1</v>
      </c>
      <c r="G28">
        <f t="shared" si="4"/>
        <v>15820</v>
      </c>
      <c r="H28">
        <f t="shared" si="1"/>
        <v>1.0031705770450221</v>
      </c>
      <c r="J28">
        <f t="shared" si="0"/>
        <v>7665703</v>
      </c>
      <c r="K28">
        <f t="shared" si="2"/>
        <v>1.026789171763195</v>
      </c>
      <c r="M28">
        <f t="shared" si="3"/>
        <v>1.0300446859412646</v>
      </c>
    </row>
    <row r="29" spans="1:13" x14ac:dyDescent="0.3">
      <c r="A29">
        <v>27</v>
      </c>
      <c r="B29" t="s">
        <v>11</v>
      </c>
      <c r="C29" t="s">
        <v>7</v>
      </c>
      <c r="D29">
        <v>200000</v>
      </c>
      <c r="E29">
        <v>50</v>
      </c>
      <c r="F29">
        <v>1</v>
      </c>
      <c r="G29">
        <f t="shared" si="4"/>
        <v>15870</v>
      </c>
      <c r="H29">
        <f t="shared" si="1"/>
        <v>1.0031605562579013</v>
      </c>
      <c r="J29">
        <f t="shared" si="0"/>
        <v>7865703</v>
      </c>
      <c r="K29">
        <f t="shared" si="2"/>
        <v>1.0260902359509623</v>
      </c>
      <c r="M29">
        <f t="shared" si="3"/>
        <v>1.0293332518673686</v>
      </c>
    </row>
    <row r="30" spans="1:13" x14ac:dyDescent="0.3">
      <c r="A30">
        <v>28</v>
      </c>
      <c r="B30" t="s">
        <v>11</v>
      </c>
      <c r="C30" t="s">
        <v>7</v>
      </c>
      <c r="D30">
        <v>200000</v>
      </c>
      <c r="E30">
        <v>50</v>
      </c>
      <c r="F30">
        <v>1</v>
      </c>
      <c r="G30">
        <f t="shared" si="4"/>
        <v>15920</v>
      </c>
      <c r="H30">
        <f t="shared" si="1"/>
        <v>1.0031505986137366</v>
      </c>
      <c r="J30">
        <f t="shared" si="0"/>
        <v>8065703</v>
      </c>
      <c r="K30">
        <f t="shared" si="2"/>
        <v>1.0254268436019005</v>
      </c>
      <c r="M30">
        <f t="shared" si="3"/>
        <v>1.028657551993841</v>
      </c>
    </row>
    <row r="31" spans="1:13" x14ac:dyDescent="0.3">
      <c r="A31">
        <v>29</v>
      </c>
      <c r="B31" t="s">
        <v>11</v>
      </c>
      <c r="C31" t="s">
        <v>7</v>
      </c>
      <c r="D31">
        <v>200000</v>
      </c>
      <c r="E31">
        <v>50</v>
      </c>
      <c r="F31">
        <v>1</v>
      </c>
      <c r="G31">
        <f t="shared" si="4"/>
        <v>15970</v>
      </c>
      <c r="H31">
        <f t="shared" si="1"/>
        <v>1.0031407035175879</v>
      </c>
      <c r="J31">
        <f t="shared" si="0"/>
        <v>8265703</v>
      </c>
      <c r="K31">
        <f t="shared" si="2"/>
        <v>1.024796350671479</v>
      </c>
      <c r="M31">
        <f t="shared" si="3"/>
        <v>1.0280149321748442</v>
      </c>
    </row>
    <row r="32" spans="1:13" x14ac:dyDescent="0.3">
      <c r="A32">
        <v>30</v>
      </c>
      <c r="B32" t="s">
        <v>11</v>
      </c>
      <c r="C32" t="s">
        <v>7</v>
      </c>
      <c r="D32">
        <v>1000000</v>
      </c>
      <c r="E32">
        <v>200</v>
      </c>
      <c r="F32">
        <v>4</v>
      </c>
      <c r="G32">
        <f t="shared" si="4"/>
        <v>16170</v>
      </c>
      <c r="H32">
        <f t="shared" si="1"/>
        <v>1.0125234815278648</v>
      </c>
      <c r="J32">
        <f t="shared" si="0"/>
        <v>9265703</v>
      </c>
      <c r="K32">
        <f t="shared" si="2"/>
        <v>1.1209818451013787</v>
      </c>
      <c r="M32">
        <f t="shared" si="3"/>
        <v>1.1350204405315776</v>
      </c>
    </row>
    <row r="33" spans="1:13" x14ac:dyDescent="0.3">
      <c r="A33">
        <v>31</v>
      </c>
      <c r="B33" t="s">
        <v>11</v>
      </c>
      <c r="C33" t="s">
        <v>7</v>
      </c>
      <c r="D33">
        <v>-1</v>
      </c>
      <c r="E33">
        <v>-1</v>
      </c>
      <c r="F33">
        <v>-1</v>
      </c>
      <c r="G33">
        <f t="shared" si="4"/>
        <v>16169</v>
      </c>
      <c r="H33">
        <f t="shared" si="1"/>
        <v>0.99993815708101419</v>
      </c>
      <c r="J33">
        <f t="shared" si="0"/>
        <v>9265702</v>
      </c>
      <c r="K33">
        <f t="shared" si="2"/>
        <v>0.99999989207510753</v>
      </c>
      <c r="M33">
        <f t="shared" si="3"/>
        <v>0.99993804916279616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42A7-5168-4122-94BE-0FC79D3B86C1}">
  <dimension ref="A1:W44"/>
  <sheetViews>
    <sheetView topLeftCell="A4" workbookViewId="0">
      <selection activeCell="L29" sqref="L29"/>
    </sheetView>
  </sheetViews>
  <sheetFormatPr defaultRowHeight="16.5" x14ac:dyDescent="0.3"/>
  <sheetData>
    <row r="1" spans="1:23" x14ac:dyDescent="0.3">
      <c r="A1" t="s">
        <v>0</v>
      </c>
      <c r="B1" t="s">
        <v>1</v>
      </c>
      <c r="C1" t="s">
        <v>14</v>
      </c>
      <c r="D1" t="s">
        <v>3</v>
      </c>
      <c r="E1" t="s">
        <v>4</v>
      </c>
      <c r="F1" t="s">
        <v>15</v>
      </c>
      <c r="G1" t="s">
        <v>16</v>
      </c>
      <c r="H1" t="s">
        <v>120</v>
      </c>
      <c r="I1" t="s">
        <v>17</v>
      </c>
      <c r="J1" t="s">
        <v>18</v>
      </c>
      <c r="K1" t="s">
        <v>19</v>
      </c>
      <c r="L1">
        <v>100</v>
      </c>
      <c r="N1">
        <v>600000</v>
      </c>
    </row>
    <row r="2" spans="1:23" x14ac:dyDescent="0.3">
      <c r="A2">
        <v>1</v>
      </c>
      <c r="B2" t="s">
        <v>20</v>
      </c>
      <c r="C2" t="s">
        <v>21</v>
      </c>
      <c r="D2">
        <v>75000</v>
      </c>
      <c r="E2">
        <v>0</v>
      </c>
      <c r="F2">
        <v>310000</v>
      </c>
      <c r="G2">
        <v>26</v>
      </c>
      <c r="H2">
        <v>20</v>
      </c>
      <c r="I2" t="s">
        <v>22</v>
      </c>
      <c r="J2">
        <v>200</v>
      </c>
      <c r="K2">
        <v>1</v>
      </c>
      <c r="L2">
        <f t="shared" ref="L2:L38" si="0">G2+L1</f>
        <v>126</v>
      </c>
      <c r="M2" s="12">
        <f>L2/L1</f>
        <v>1.26</v>
      </c>
      <c r="N2">
        <f t="shared" ref="N2:N38" si="1">N1+D2</f>
        <v>675000</v>
      </c>
      <c r="O2">
        <f>N2/N1</f>
        <v>1.125</v>
      </c>
      <c r="Q2">
        <f>O2*M2</f>
        <v>1.4175</v>
      </c>
    </row>
    <row r="3" spans="1:23" x14ac:dyDescent="0.3">
      <c r="A3">
        <v>2</v>
      </c>
      <c r="B3" t="s">
        <v>20</v>
      </c>
      <c r="C3" t="s">
        <v>21</v>
      </c>
      <c r="D3">
        <v>75000</v>
      </c>
      <c r="E3">
        <v>0</v>
      </c>
      <c r="F3">
        <v>320000</v>
      </c>
      <c r="G3">
        <v>34</v>
      </c>
      <c r="H3">
        <v>30</v>
      </c>
      <c r="I3" t="s">
        <v>23</v>
      </c>
      <c r="J3">
        <v>200</v>
      </c>
      <c r="K3">
        <v>1</v>
      </c>
      <c r="L3">
        <f t="shared" si="0"/>
        <v>160</v>
      </c>
      <c r="M3" s="12">
        <f t="shared" ref="M3:M38" si="2">L3/L2</f>
        <v>1.2698412698412698</v>
      </c>
      <c r="N3">
        <f t="shared" si="1"/>
        <v>750000</v>
      </c>
      <c r="O3">
        <f t="shared" ref="O3:O38" si="3">N3/N2</f>
        <v>1.1111111111111112</v>
      </c>
      <c r="Q3">
        <f t="shared" ref="Q3:Q38" si="4">O3*M3</f>
        <v>1.4109347442680775</v>
      </c>
    </row>
    <row r="4" spans="1:23" x14ac:dyDescent="0.3">
      <c r="A4">
        <v>3</v>
      </c>
      <c r="B4" t="s">
        <v>20</v>
      </c>
      <c r="C4" t="s">
        <v>21</v>
      </c>
      <c r="D4">
        <v>75000</v>
      </c>
      <c r="E4">
        <v>0</v>
      </c>
      <c r="F4">
        <v>330000</v>
      </c>
      <c r="G4">
        <v>42</v>
      </c>
      <c r="H4">
        <v>50</v>
      </c>
      <c r="I4" t="s">
        <v>24</v>
      </c>
      <c r="J4">
        <v>200</v>
      </c>
      <c r="K4">
        <v>1</v>
      </c>
      <c r="L4">
        <f t="shared" si="0"/>
        <v>202</v>
      </c>
      <c r="M4" s="12">
        <f t="shared" si="2"/>
        <v>1.2625</v>
      </c>
      <c r="N4">
        <f t="shared" si="1"/>
        <v>825000</v>
      </c>
      <c r="O4">
        <f t="shared" si="3"/>
        <v>1.1000000000000001</v>
      </c>
      <c r="Q4">
        <f t="shared" si="4"/>
        <v>1.3887500000000002</v>
      </c>
    </row>
    <row r="5" spans="1:23" x14ac:dyDescent="0.3">
      <c r="A5">
        <v>4</v>
      </c>
      <c r="B5" t="s">
        <v>20</v>
      </c>
      <c r="C5" t="s">
        <v>21</v>
      </c>
      <c r="D5">
        <v>75000</v>
      </c>
      <c r="E5">
        <v>0</v>
      </c>
      <c r="F5">
        <v>340000</v>
      </c>
      <c r="G5">
        <v>53</v>
      </c>
      <c r="H5">
        <v>70</v>
      </c>
      <c r="I5" t="s">
        <v>25</v>
      </c>
      <c r="J5">
        <v>200</v>
      </c>
      <c r="K5">
        <v>1</v>
      </c>
      <c r="L5">
        <f t="shared" si="0"/>
        <v>255</v>
      </c>
      <c r="M5" s="12">
        <f t="shared" si="2"/>
        <v>1.2623762376237624</v>
      </c>
      <c r="N5">
        <f t="shared" si="1"/>
        <v>900000</v>
      </c>
      <c r="O5">
        <f t="shared" si="3"/>
        <v>1.0909090909090908</v>
      </c>
      <c r="Q5">
        <f t="shared" si="4"/>
        <v>1.3771377137713769</v>
      </c>
    </row>
    <row r="6" spans="1:23" x14ac:dyDescent="0.3">
      <c r="A6">
        <v>5</v>
      </c>
      <c r="B6" t="s">
        <v>20</v>
      </c>
      <c r="C6" t="s">
        <v>21</v>
      </c>
      <c r="D6">
        <v>75000</v>
      </c>
      <c r="E6">
        <v>0</v>
      </c>
      <c r="F6">
        <v>350000</v>
      </c>
      <c r="G6">
        <v>67</v>
      </c>
      <c r="H6">
        <v>80</v>
      </c>
      <c r="I6" t="s">
        <v>26</v>
      </c>
      <c r="J6">
        <v>200</v>
      </c>
      <c r="K6">
        <v>1</v>
      </c>
      <c r="L6">
        <f t="shared" si="0"/>
        <v>322</v>
      </c>
      <c r="M6" s="12">
        <f t="shared" si="2"/>
        <v>1.2627450980392156</v>
      </c>
      <c r="N6">
        <f t="shared" si="1"/>
        <v>975000</v>
      </c>
      <c r="O6">
        <f t="shared" si="3"/>
        <v>1.0833333333333333</v>
      </c>
      <c r="Q6">
        <f t="shared" si="4"/>
        <v>1.3679738562091501</v>
      </c>
    </row>
    <row r="7" spans="1:23" x14ac:dyDescent="0.3">
      <c r="A7">
        <v>6</v>
      </c>
      <c r="B7" t="s">
        <v>20</v>
      </c>
      <c r="C7" t="s">
        <v>21</v>
      </c>
      <c r="D7">
        <v>300000</v>
      </c>
      <c r="E7">
        <v>0</v>
      </c>
      <c r="F7">
        <v>400000</v>
      </c>
      <c r="G7">
        <v>330</v>
      </c>
      <c r="H7">
        <v>250</v>
      </c>
      <c r="I7" t="s">
        <v>27</v>
      </c>
      <c r="J7">
        <v>200</v>
      </c>
      <c r="K7">
        <v>5</v>
      </c>
      <c r="L7">
        <f t="shared" si="0"/>
        <v>652</v>
      </c>
      <c r="M7" s="12">
        <f t="shared" si="2"/>
        <v>2.0248447204968945</v>
      </c>
      <c r="N7">
        <f t="shared" si="1"/>
        <v>1275000</v>
      </c>
      <c r="O7">
        <f t="shared" si="3"/>
        <v>1.3076923076923077</v>
      </c>
      <c r="Q7">
        <f t="shared" si="4"/>
        <v>2.6478738652651699</v>
      </c>
    </row>
    <row r="8" spans="1:23" x14ac:dyDescent="0.3">
      <c r="A8">
        <v>7</v>
      </c>
      <c r="B8" t="s">
        <v>28</v>
      </c>
      <c r="C8" t="s">
        <v>21</v>
      </c>
      <c r="D8">
        <v>200000</v>
      </c>
      <c r="E8">
        <v>0</v>
      </c>
      <c r="F8">
        <v>410000</v>
      </c>
      <c r="G8">
        <v>170</v>
      </c>
      <c r="H8">
        <v>100</v>
      </c>
      <c r="I8" t="s">
        <v>22</v>
      </c>
      <c r="J8">
        <v>250</v>
      </c>
      <c r="K8">
        <v>1</v>
      </c>
      <c r="L8">
        <f t="shared" si="0"/>
        <v>822</v>
      </c>
      <c r="M8" s="12">
        <f t="shared" si="2"/>
        <v>1.2607361963190185</v>
      </c>
      <c r="N8">
        <f t="shared" si="1"/>
        <v>1475000</v>
      </c>
      <c r="O8">
        <f t="shared" si="3"/>
        <v>1.1568627450980393</v>
      </c>
      <c r="Q8">
        <f t="shared" si="4"/>
        <v>1.4584987369180804</v>
      </c>
    </row>
    <row r="9" spans="1:23" x14ac:dyDescent="0.3">
      <c r="A9">
        <v>8</v>
      </c>
      <c r="B9" t="s">
        <v>28</v>
      </c>
      <c r="C9" t="s">
        <v>21</v>
      </c>
      <c r="D9">
        <v>200000</v>
      </c>
      <c r="E9">
        <v>0</v>
      </c>
      <c r="F9">
        <v>420000</v>
      </c>
      <c r="G9">
        <v>215</v>
      </c>
      <c r="H9">
        <v>120</v>
      </c>
      <c r="I9" t="s">
        <v>23</v>
      </c>
      <c r="J9">
        <v>250</v>
      </c>
      <c r="K9">
        <v>1</v>
      </c>
      <c r="L9">
        <f t="shared" si="0"/>
        <v>1037</v>
      </c>
      <c r="M9" s="12">
        <f t="shared" si="2"/>
        <v>1.2615571776155718</v>
      </c>
      <c r="N9">
        <f t="shared" si="1"/>
        <v>1675000</v>
      </c>
      <c r="O9">
        <f t="shared" si="3"/>
        <v>1.1355932203389831</v>
      </c>
      <c r="Q9">
        <f t="shared" si="4"/>
        <v>1.4326157779702258</v>
      </c>
      <c r="W9">
        <v>725</v>
      </c>
    </row>
    <row r="10" spans="1:23" x14ac:dyDescent="0.3">
      <c r="A10">
        <v>9</v>
      </c>
      <c r="B10" t="s">
        <v>28</v>
      </c>
      <c r="C10" t="s">
        <v>21</v>
      </c>
      <c r="D10">
        <v>100000</v>
      </c>
      <c r="E10">
        <v>0</v>
      </c>
      <c r="F10">
        <v>430000</v>
      </c>
      <c r="G10">
        <v>270</v>
      </c>
      <c r="H10">
        <v>140</v>
      </c>
      <c r="I10" t="s">
        <v>24</v>
      </c>
      <c r="J10">
        <v>250</v>
      </c>
      <c r="K10">
        <v>1</v>
      </c>
      <c r="L10">
        <f t="shared" si="0"/>
        <v>1307</v>
      </c>
      <c r="M10" s="12">
        <f t="shared" si="2"/>
        <v>1.2603664416586307</v>
      </c>
      <c r="N10">
        <f t="shared" si="1"/>
        <v>1775000</v>
      </c>
      <c r="O10">
        <f t="shared" si="3"/>
        <v>1.0597014925373134</v>
      </c>
      <c r="Q10">
        <f t="shared" si="4"/>
        <v>1.3356121993695935</v>
      </c>
    </row>
    <row r="11" spans="1:23" x14ac:dyDescent="0.3">
      <c r="A11">
        <v>10</v>
      </c>
      <c r="B11" t="s">
        <v>28</v>
      </c>
      <c r="C11" t="s">
        <v>21</v>
      </c>
      <c r="D11">
        <v>100000</v>
      </c>
      <c r="E11">
        <v>0</v>
      </c>
      <c r="F11">
        <v>440000</v>
      </c>
      <c r="G11">
        <v>350</v>
      </c>
      <c r="H11">
        <v>160</v>
      </c>
      <c r="I11" t="s">
        <v>25</v>
      </c>
      <c r="J11">
        <v>250</v>
      </c>
      <c r="K11">
        <v>1</v>
      </c>
      <c r="L11">
        <f t="shared" si="0"/>
        <v>1657</v>
      </c>
      <c r="M11" s="12">
        <f t="shared" si="2"/>
        <v>1.2677888293802602</v>
      </c>
      <c r="N11">
        <f t="shared" si="1"/>
        <v>1875000</v>
      </c>
      <c r="O11">
        <f t="shared" si="3"/>
        <v>1.056338028169014</v>
      </c>
      <c r="Q11">
        <f t="shared" si="4"/>
        <v>1.3392135521622466</v>
      </c>
    </row>
    <row r="12" spans="1:23" x14ac:dyDescent="0.3">
      <c r="A12">
        <v>11</v>
      </c>
      <c r="B12" t="s">
        <v>28</v>
      </c>
      <c r="C12" t="s">
        <v>21</v>
      </c>
      <c r="D12">
        <v>100000</v>
      </c>
      <c r="E12">
        <v>0</v>
      </c>
      <c r="F12">
        <v>450000</v>
      </c>
      <c r="G12">
        <v>430</v>
      </c>
      <c r="H12">
        <v>180</v>
      </c>
      <c r="I12" t="s">
        <v>26</v>
      </c>
      <c r="J12">
        <v>250</v>
      </c>
      <c r="K12">
        <v>1</v>
      </c>
      <c r="L12">
        <f t="shared" si="0"/>
        <v>2087</v>
      </c>
      <c r="M12" s="12">
        <f t="shared" si="2"/>
        <v>1.2595051297525648</v>
      </c>
      <c r="N12">
        <f t="shared" si="1"/>
        <v>1975000</v>
      </c>
      <c r="O12">
        <f t="shared" si="3"/>
        <v>1.0533333333333332</v>
      </c>
      <c r="Q12">
        <f t="shared" si="4"/>
        <v>1.3266787366727015</v>
      </c>
    </row>
    <row r="13" spans="1:23" x14ac:dyDescent="0.3">
      <c r="A13">
        <v>12</v>
      </c>
      <c r="B13" t="s">
        <v>28</v>
      </c>
      <c r="C13" t="s">
        <v>21</v>
      </c>
      <c r="D13">
        <v>400000</v>
      </c>
      <c r="E13">
        <v>0</v>
      </c>
      <c r="F13">
        <v>500000</v>
      </c>
      <c r="G13">
        <v>2300</v>
      </c>
      <c r="H13">
        <v>700</v>
      </c>
      <c r="I13" t="s">
        <v>27</v>
      </c>
      <c r="J13">
        <v>250</v>
      </c>
      <c r="K13">
        <v>5</v>
      </c>
      <c r="L13">
        <f t="shared" si="0"/>
        <v>4387</v>
      </c>
      <c r="M13" s="12">
        <f t="shared" si="2"/>
        <v>2.1020603737422139</v>
      </c>
      <c r="N13">
        <f t="shared" si="1"/>
        <v>2375000</v>
      </c>
      <c r="O13">
        <f t="shared" si="3"/>
        <v>1.2025316455696202</v>
      </c>
      <c r="Q13">
        <f t="shared" si="4"/>
        <v>2.5277941203229153</v>
      </c>
    </row>
    <row r="14" spans="1:23" x14ac:dyDescent="0.3">
      <c r="A14">
        <v>13</v>
      </c>
      <c r="B14" t="s">
        <v>29</v>
      </c>
      <c r="C14" t="s">
        <v>21</v>
      </c>
      <c r="D14">
        <v>200000</v>
      </c>
      <c r="E14">
        <v>0</v>
      </c>
      <c r="F14">
        <v>510000</v>
      </c>
      <c r="G14" s="1">
        <v>1150</v>
      </c>
      <c r="H14">
        <v>340</v>
      </c>
      <c r="I14" t="s">
        <v>22</v>
      </c>
      <c r="J14">
        <v>300</v>
      </c>
      <c r="K14">
        <v>1</v>
      </c>
      <c r="L14">
        <f t="shared" si="0"/>
        <v>5537</v>
      </c>
      <c r="M14" s="12">
        <f t="shared" si="2"/>
        <v>1.2621381354000456</v>
      </c>
      <c r="N14">
        <f t="shared" si="1"/>
        <v>2575000</v>
      </c>
      <c r="O14">
        <f t="shared" si="3"/>
        <v>1.0842105263157895</v>
      </c>
      <c r="Q14">
        <f t="shared" si="4"/>
        <v>1.3684234520653127</v>
      </c>
    </row>
    <row r="15" spans="1:23" x14ac:dyDescent="0.3">
      <c r="A15">
        <v>14</v>
      </c>
      <c r="B15" t="s">
        <v>29</v>
      </c>
      <c r="C15" t="s">
        <v>21</v>
      </c>
      <c r="D15">
        <v>200000</v>
      </c>
      <c r="E15">
        <v>0</v>
      </c>
      <c r="F15">
        <v>520000</v>
      </c>
      <c r="G15">
        <v>1450</v>
      </c>
      <c r="H15">
        <v>400</v>
      </c>
      <c r="I15" t="s">
        <v>23</v>
      </c>
      <c r="J15">
        <v>300</v>
      </c>
      <c r="K15">
        <v>1</v>
      </c>
      <c r="L15">
        <f t="shared" si="0"/>
        <v>6987</v>
      </c>
      <c r="M15" s="12">
        <f t="shared" si="2"/>
        <v>1.2618746613689724</v>
      </c>
      <c r="N15">
        <f t="shared" si="1"/>
        <v>2775000</v>
      </c>
      <c r="O15">
        <f t="shared" si="3"/>
        <v>1.0776699029126213</v>
      </c>
      <c r="Q15">
        <f t="shared" si="4"/>
        <v>1.3598843438053974</v>
      </c>
    </row>
    <row r="16" spans="1:23" x14ac:dyDescent="0.3">
      <c r="A16">
        <v>15</v>
      </c>
      <c r="B16" t="s">
        <v>29</v>
      </c>
      <c r="C16" t="s">
        <v>21</v>
      </c>
      <c r="D16">
        <v>200000</v>
      </c>
      <c r="E16">
        <v>0</v>
      </c>
      <c r="F16">
        <v>530000</v>
      </c>
      <c r="G16">
        <v>1850</v>
      </c>
      <c r="H16">
        <v>470</v>
      </c>
      <c r="I16" t="s">
        <v>24</v>
      </c>
      <c r="J16">
        <v>300</v>
      </c>
      <c r="K16">
        <v>1</v>
      </c>
      <c r="L16">
        <f t="shared" si="0"/>
        <v>8837</v>
      </c>
      <c r="M16" s="12">
        <f t="shared" si="2"/>
        <v>1.264777443824245</v>
      </c>
      <c r="N16">
        <f t="shared" si="1"/>
        <v>2975000</v>
      </c>
      <c r="O16">
        <f t="shared" si="3"/>
        <v>1.072072072072072</v>
      </c>
      <c r="Q16">
        <f t="shared" si="4"/>
        <v>1.355932574910677</v>
      </c>
    </row>
    <row r="17" spans="1:17" x14ac:dyDescent="0.3">
      <c r="A17">
        <v>16</v>
      </c>
      <c r="B17" t="s">
        <v>29</v>
      </c>
      <c r="C17" t="s">
        <v>21</v>
      </c>
      <c r="D17">
        <v>200000</v>
      </c>
      <c r="E17">
        <v>0</v>
      </c>
      <c r="F17">
        <v>540000</v>
      </c>
      <c r="G17">
        <v>2300</v>
      </c>
      <c r="H17">
        <v>550</v>
      </c>
      <c r="I17" t="s">
        <v>25</v>
      </c>
      <c r="J17">
        <v>300</v>
      </c>
      <c r="K17">
        <v>1</v>
      </c>
      <c r="L17">
        <f t="shared" si="0"/>
        <v>11137</v>
      </c>
      <c r="M17" s="12">
        <f t="shared" si="2"/>
        <v>1.2602693221681567</v>
      </c>
      <c r="N17">
        <f t="shared" si="1"/>
        <v>3175000</v>
      </c>
      <c r="O17">
        <f t="shared" si="3"/>
        <v>1.0672268907563025</v>
      </c>
      <c r="Q17">
        <f t="shared" si="4"/>
        <v>1.3449933102130747</v>
      </c>
    </row>
    <row r="18" spans="1:17" x14ac:dyDescent="0.3">
      <c r="A18">
        <v>17</v>
      </c>
      <c r="B18" t="s">
        <v>29</v>
      </c>
      <c r="C18" t="s">
        <v>21</v>
      </c>
      <c r="D18">
        <v>200000</v>
      </c>
      <c r="E18">
        <v>0</v>
      </c>
      <c r="F18">
        <v>550000</v>
      </c>
      <c r="G18">
        <v>2900</v>
      </c>
      <c r="H18">
        <v>640</v>
      </c>
      <c r="I18" t="s">
        <v>26</v>
      </c>
      <c r="J18">
        <v>300</v>
      </c>
      <c r="K18">
        <v>1</v>
      </c>
      <c r="L18">
        <f t="shared" si="0"/>
        <v>14037</v>
      </c>
      <c r="M18" s="12">
        <f t="shared" si="2"/>
        <v>1.2603932836490976</v>
      </c>
      <c r="N18">
        <f t="shared" si="1"/>
        <v>3375000</v>
      </c>
      <c r="O18">
        <f t="shared" si="3"/>
        <v>1.0629921259842521</v>
      </c>
      <c r="Q18">
        <f t="shared" si="4"/>
        <v>1.3397881361624269</v>
      </c>
    </row>
    <row r="19" spans="1:17" x14ac:dyDescent="0.3">
      <c r="A19">
        <v>18</v>
      </c>
      <c r="B19" t="s">
        <v>29</v>
      </c>
      <c r="C19" t="s">
        <v>21</v>
      </c>
      <c r="D19">
        <v>600000</v>
      </c>
      <c r="E19">
        <v>0</v>
      </c>
      <c r="F19">
        <v>600000</v>
      </c>
      <c r="G19">
        <v>15000</v>
      </c>
      <c r="H19">
        <v>2550</v>
      </c>
      <c r="I19" t="s">
        <v>27</v>
      </c>
      <c r="J19">
        <v>300</v>
      </c>
      <c r="K19">
        <v>5</v>
      </c>
      <c r="L19">
        <f t="shared" si="0"/>
        <v>29037</v>
      </c>
      <c r="M19" s="12">
        <f t="shared" si="2"/>
        <v>2.0686044026501391</v>
      </c>
      <c r="N19">
        <f t="shared" si="1"/>
        <v>3975000</v>
      </c>
      <c r="O19">
        <f t="shared" si="3"/>
        <v>1.1777777777777778</v>
      </c>
      <c r="Q19">
        <f t="shared" si="4"/>
        <v>2.4363562964546084</v>
      </c>
    </row>
    <row r="20" spans="1:17" x14ac:dyDescent="0.3">
      <c r="A20" s="1">
        <v>19</v>
      </c>
      <c r="B20" s="1" t="s">
        <v>30</v>
      </c>
      <c r="C20" s="1" t="s">
        <v>21</v>
      </c>
      <c r="D20" s="1">
        <v>240000</v>
      </c>
      <c r="E20" s="1">
        <v>0</v>
      </c>
      <c r="F20" s="1">
        <v>610000</v>
      </c>
      <c r="G20" s="1">
        <v>7600</v>
      </c>
      <c r="H20">
        <v>1200</v>
      </c>
      <c r="I20" s="1" t="s">
        <v>22</v>
      </c>
      <c r="J20" s="1">
        <v>350</v>
      </c>
      <c r="K20" s="1">
        <v>1</v>
      </c>
      <c r="L20" s="1">
        <f t="shared" si="0"/>
        <v>36637</v>
      </c>
      <c r="M20" s="13">
        <f t="shared" si="2"/>
        <v>1.2617350277232497</v>
      </c>
      <c r="N20" s="1">
        <f t="shared" si="1"/>
        <v>4215000</v>
      </c>
      <c r="O20" s="1">
        <f t="shared" si="3"/>
        <v>1.060377358490566</v>
      </c>
      <c r="P20" s="1"/>
      <c r="Q20" s="1">
        <f t="shared" si="4"/>
        <v>1.3379152558122007</v>
      </c>
    </row>
    <row r="21" spans="1:17" x14ac:dyDescent="0.3">
      <c r="A21">
        <v>20</v>
      </c>
      <c r="B21" t="s">
        <v>30</v>
      </c>
      <c r="C21" t="s">
        <v>21</v>
      </c>
      <c r="D21">
        <v>240000</v>
      </c>
      <c r="E21">
        <v>0</v>
      </c>
      <c r="F21">
        <v>620000</v>
      </c>
      <c r="G21">
        <v>9700</v>
      </c>
      <c r="H21">
        <v>1400</v>
      </c>
      <c r="I21" t="s">
        <v>23</v>
      </c>
      <c r="J21">
        <v>350</v>
      </c>
      <c r="K21">
        <v>1</v>
      </c>
      <c r="L21">
        <f t="shared" si="0"/>
        <v>46337</v>
      </c>
      <c r="M21" s="12">
        <f t="shared" si="2"/>
        <v>1.2647596691868876</v>
      </c>
      <c r="N21">
        <f t="shared" si="1"/>
        <v>4455000</v>
      </c>
      <c r="O21">
        <f t="shared" si="3"/>
        <v>1.0569395017793595</v>
      </c>
      <c r="Q21">
        <f t="shared" si="4"/>
        <v>1.3367744546210165</v>
      </c>
    </row>
    <row r="22" spans="1:17" x14ac:dyDescent="0.3">
      <c r="A22">
        <v>21</v>
      </c>
      <c r="B22" t="s">
        <v>30</v>
      </c>
      <c r="C22" t="s">
        <v>21</v>
      </c>
      <c r="D22">
        <v>240000</v>
      </c>
      <c r="E22">
        <v>0</v>
      </c>
      <c r="F22">
        <v>630000</v>
      </c>
      <c r="G22">
        <v>12000</v>
      </c>
      <c r="H22">
        <v>1650</v>
      </c>
      <c r="I22" t="s">
        <v>24</v>
      </c>
      <c r="J22">
        <v>350</v>
      </c>
      <c r="K22">
        <v>1</v>
      </c>
      <c r="L22">
        <f t="shared" si="0"/>
        <v>58337</v>
      </c>
      <c r="M22" s="12">
        <f t="shared" si="2"/>
        <v>1.2589723115436908</v>
      </c>
      <c r="N22">
        <f t="shared" si="1"/>
        <v>4695000</v>
      </c>
      <c r="O22">
        <f t="shared" si="3"/>
        <v>1.0538720538720538</v>
      </c>
      <c r="Q22">
        <f t="shared" si="4"/>
        <v>1.3267957357345967</v>
      </c>
    </row>
    <row r="23" spans="1:17" x14ac:dyDescent="0.3">
      <c r="A23">
        <v>22</v>
      </c>
      <c r="B23" t="s">
        <v>30</v>
      </c>
      <c r="C23" t="s">
        <v>21</v>
      </c>
      <c r="D23">
        <v>240000</v>
      </c>
      <c r="E23">
        <v>0</v>
      </c>
      <c r="F23">
        <v>640000</v>
      </c>
      <c r="G23">
        <v>15500</v>
      </c>
      <c r="H23">
        <v>1900</v>
      </c>
      <c r="I23" t="s">
        <v>25</v>
      </c>
      <c r="J23">
        <v>350</v>
      </c>
      <c r="K23">
        <v>1</v>
      </c>
      <c r="L23">
        <f t="shared" si="0"/>
        <v>73837</v>
      </c>
      <c r="M23" s="12">
        <f t="shared" si="2"/>
        <v>1.2656975847232459</v>
      </c>
      <c r="N23">
        <f t="shared" si="1"/>
        <v>4935000</v>
      </c>
      <c r="O23">
        <f t="shared" si="3"/>
        <v>1.0511182108626198</v>
      </c>
      <c r="Q23">
        <f t="shared" si="4"/>
        <v>1.3303977807474374</v>
      </c>
    </row>
    <row r="24" spans="1:17" x14ac:dyDescent="0.3">
      <c r="A24">
        <v>23</v>
      </c>
      <c r="B24" t="s">
        <v>30</v>
      </c>
      <c r="C24" t="s">
        <v>21</v>
      </c>
      <c r="D24">
        <v>240000</v>
      </c>
      <c r="E24">
        <v>0</v>
      </c>
      <c r="F24">
        <v>650000</v>
      </c>
      <c r="G24">
        <v>19000</v>
      </c>
      <c r="H24">
        <v>2300</v>
      </c>
      <c r="I24" t="s">
        <v>26</v>
      </c>
      <c r="J24">
        <v>350</v>
      </c>
      <c r="K24">
        <v>1</v>
      </c>
      <c r="L24">
        <f t="shared" si="0"/>
        <v>92837</v>
      </c>
      <c r="M24" s="12">
        <f t="shared" si="2"/>
        <v>1.2573235640667957</v>
      </c>
      <c r="N24">
        <f t="shared" si="1"/>
        <v>5175000</v>
      </c>
      <c r="O24">
        <f t="shared" si="3"/>
        <v>1.0486322188449848</v>
      </c>
      <c r="Q24">
        <f t="shared" si="4"/>
        <v>1.3184699987934483</v>
      </c>
    </row>
    <row r="25" spans="1:17" x14ac:dyDescent="0.3">
      <c r="A25" s="1">
        <v>24</v>
      </c>
      <c r="B25" s="1" t="s">
        <v>30</v>
      </c>
      <c r="C25" s="1" t="s">
        <v>21</v>
      </c>
      <c r="D25" s="1">
        <v>1000000</v>
      </c>
      <c r="E25" s="1">
        <v>0</v>
      </c>
      <c r="F25" s="1">
        <v>700000</v>
      </c>
      <c r="G25" s="1">
        <v>100000</v>
      </c>
      <c r="H25">
        <v>8500</v>
      </c>
      <c r="I25" s="1" t="s">
        <v>27</v>
      </c>
      <c r="J25" s="1">
        <v>350</v>
      </c>
      <c r="K25" s="1">
        <v>5</v>
      </c>
      <c r="L25" s="1">
        <f t="shared" si="0"/>
        <v>192837</v>
      </c>
      <c r="M25" s="13">
        <f t="shared" si="2"/>
        <v>2.077156737076812</v>
      </c>
      <c r="N25" s="1">
        <f t="shared" si="1"/>
        <v>6175000</v>
      </c>
      <c r="O25" s="1">
        <f t="shared" si="3"/>
        <v>1.1932367149758454</v>
      </c>
      <c r="P25" s="1"/>
      <c r="Q25" s="1">
        <f t="shared" si="4"/>
        <v>2.4785396814394809</v>
      </c>
    </row>
    <row r="26" spans="1:17" x14ac:dyDescent="0.3">
      <c r="A26">
        <v>25</v>
      </c>
      <c r="B26" t="s">
        <v>31</v>
      </c>
      <c r="C26" t="s">
        <v>21</v>
      </c>
      <c r="D26">
        <v>300000</v>
      </c>
      <c r="E26">
        <v>0</v>
      </c>
      <c r="F26">
        <v>700000</v>
      </c>
      <c r="G26">
        <v>50000</v>
      </c>
      <c r="H26">
        <v>4100</v>
      </c>
      <c r="I26" t="s">
        <v>22</v>
      </c>
      <c r="J26">
        <v>400</v>
      </c>
      <c r="K26">
        <v>1</v>
      </c>
      <c r="L26">
        <f t="shared" si="0"/>
        <v>242837</v>
      </c>
      <c r="M26" s="12">
        <f t="shared" si="2"/>
        <v>1.2592863402770216</v>
      </c>
      <c r="N26">
        <f t="shared" si="1"/>
        <v>6475000</v>
      </c>
      <c r="O26">
        <f t="shared" si="3"/>
        <v>1.048582995951417</v>
      </c>
      <c r="Q26">
        <f t="shared" si="4"/>
        <v>1.3204662434483749</v>
      </c>
    </row>
    <row r="27" spans="1:17" x14ac:dyDescent="0.3">
      <c r="A27">
        <v>26</v>
      </c>
      <c r="B27" t="s">
        <v>31</v>
      </c>
      <c r="C27" t="s">
        <v>21</v>
      </c>
      <c r="D27">
        <v>300000</v>
      </c>
      <c r="E27">
        <v>0</v>
      </c>
      <c r="F27">
        <v>700000</v>
      </c>
      <c r="G27">
        <v>65000</v>
      </c>
      <c r="H27">
        <v>4800</v>
      </c>
      <c r="I27" t="s">
        <v>23</v>
      </c>
      <c r="J27">
        <v>400</v>
      </c>
      <c r="K27">
        <v>1</v>
      </c>
      <c r="L27">
        <f t="shared" si="0"/>
        <v>307837</v>
      </c>
      <c r="M27" s="12">
        <f t="shared" si="2"/>
        <v>1.267669259626828</v>
      </c>
      <c r="N27">
        <f t="shared" si="1"/>
        <v>6775000</v>
      </c>
      <c r="O27">
        <f t="shared" si="3"/>
        <v>1.0463320463320462</v>
      </c>
      <c r="Q27">
        <f t="shared" si="4"/>
        <v>1.3264029704975688</v>
      </c>
    </row>
    <row r="28" spans="1:17" x14ac:dyDescent="0.3">
      <c r="A28">
        <v>27</v>
      </c>
      <c r="B28" t="s">
        <v>31</v>
      </c>
      <c r="C28" t="s">
        <v>21</v>
      </c>
      <c r="D28">
        <v>300000</v>
      </c>
      <c r="E28">
        <v>0</v>
      </c>
      <c r="F28">
        <v>700000</v>
      </c>
      <c r="G28">
        <v>80000</v>
      </c>
      <c r="H28">
        <v>5600</v>
      </c>
      <c r="I28" t="s">
        <v>24</v>
      </c>
      <c r="J28">
        <v>400</v>
      </c>
      <c r="K28">
        <v>1</v>
      </c>
      <c r="L28">
        <f t="shared" si="0"/>
        <v>387837</v>
      </c>
      <c r="M28" s="12">
        <f t="shared" si="2"/>
        <v>1.259877792468092</v>
      </c>
      <c r="N28">
        <f t="shared" si="1"/>
        <v>7075000</v>
      </c>
      <c r="O28">
        <f t="shared" si="3"/>
        <v>1.0442804428044281</v>
      </c>
      <c r="Q28">
        <f t="shared" si="4"/>
        <v>1.3156657389980444</v>
      </c>
    </row>
    <row r="29" spans="1:17" x14ac:dyDescent="0.3">
      <c r="A29">
        <v>28</v>
      </c>
      <c r="B29" t="s">
        <v>31</v>
      </c>
      <c r="C29" t="s">
        <v>21</v>
      </c>
      <c r="D29">
        <v>300000</v>
      </c>
      <c r="E29">
        <v>0</v>
      </c>
      <c r="F29">
        <v>700000</v>
      </c>
      <c r="G29">
        <v>100000</v>
      </c>
      <c r="H29">
        <v>6500</v>
      </c>
      <c r="I29" t="s">
        <v>25</v>
      </c>
      <c r="J29">
        <v>400</v>
      </c>
      <c r="K29">
        <v>1</v>
      </c>
      <c r="L29">
        <f t="shared" si="0"/>
        <v>487837</v>
      </c>
      <c r="M29" s="12">
        <f t="shared" si="2"/>
        <v>1.2578402782612284</v>
      </c>
      <c r="N29">
        <f t="shared" si="1"/>
        <v>7375000</v>
      </c>
      <c r="O29">
        <f t="shared" si="3"/>
        <v>1.0424028268551238</v>
      </c>
      <c r="Q29">
        <f t="shared" si="4"/>
        <v>1.31117626179174</v>
      </c>
    </row>
    <row r="30" spans="1:17" x14ac:dyDescent="0.3">
      <c r="A30">
        <v>29</v>
      </c>
      <c r="B30" t="s">
        <v>31</v>
      </c>
      <c r="C30" t="s">
        <v>21</v>
      </c>
      <c r="D30">
        <v>300000</v>
      </c>
      <c r="E30">
        <v>0</v>
      </c>
      <c r="F30">
        <v>700000</v>
      </c>
      <c r="G30">
        <v>130000</v>
      </c>
      <c r="H30">
        <v>7700</v>
      </c>
      <c r="I30" t="s">
        <v>26</v>
      </c>
      <c r="J30">
        <v>400</v>
      </c>
      <c r="K30">
        <v>1</v>
      </c>
      <c r="L30">
        <f t="shared" si="0"/>
        <v>617837</v>
      </c>
      <c r="M30" s="12">
        <f t="shared" si="2"/>
        <v>1.2664824521305271</v>
      </c>
      <c r="N30">
        <f t="shared" si="1"/>
        <v>7675000</v>
      </c>
      <c r="O30">
        <f t="shared" si="3"/>
        <v>1.0406779661016949</v>
      </c>
      <c r="Q30">
        <f t="shared" si="4"/>
        <v>1.3180003823866842</v>
      </c>
    </row>
    <row r="31" spans="1:17" x14ac:dyDescent="0.3">
      <c r="A31">
        <v>30</v>
      </c>
      <c r="B31" t="s">
        <v>31</v>
      </c>
      <c r="C31" t="s">
        <v>21</v>
      </c>
      <c r="D31">
        <v>2200000</v>
      </c>
      <c r="E31">
        <v>0</v>
      </c>
      <c r="F31">
        <v>700000</v>
      </c>
      <c r="G31">
        <v>160000</v>
      </c>
      <c r="H31">
        <v>30000</v>
      </c>
      <c r="I31" t="s">
        <v>27</v>
      </c>
      <c r="J31">
        <v>400</v>
      </c>
      <c r="K31">
        <v>5</v>
      </c>
      <c r="L31">
        <f t="shared" si="0"/>
        <v>777837</v>
      </c>
      <c r="M31" s="12">
        <f t="shared" si="2"/>
        <v>1.2589679802277947</v>
      </c>
      <c r="N31">
        <f t="shared" si="1"/>
        <v>9875000</v>
      </c>
      <c r="O31">
        <f t="shared" si="3"/>
        <v>1.2866449511400651</v>
      </c>
      <c r="Q31">
        <f t="shared" si="4"/>
        <v>1.6198447954070971</v>
      </c>
    </row>
    <row r="32" spans="1:17" x14ac:dyDescent="0.3">
      <c r="A32">
        <v>31</v>
      </c>
      <c r="B32" t="s">
        <v>32</v>
      </c>
      <c r="C32" t="s">
        <v>21</v>
      </c>
      <c r="D32">
        <v>400000</v>
      </c>
      <c r="E32">
        <v>0</v>
      </c>
      <c r="F32">
        <v>700000</v>
      </c>
      <c r="G32">
        <v>200000</v>
      </c>
      <c r="H32">
        <v>14000</v>
      </c>
      <c r="I32" t="s">
        <v>22</v>
      </c>
      <c r="J32">
        <v>450</v>
      </c>
      <c r="K32">
        <v>1</v>
      </c>
      <c r="L32">
        <f t="shared" si="0"/>
        <v>977837</v>
      </c>
      <c r="M32" s="12">
        <f t="shared" si="2"/>
        <v>1.257123279041753</v>
      </c>
      <c r="N32">
        <f t="shared" si="1"/>
        <v>10275000</v>
      </c>
      <c r="O32">
        <f t="shared" si="3"/>
        <v>1.040506329113924</v>
      </c>
      <c r="Q32">
        <f t="shared" si="4"/>
        <v>1.3080447283193937</v>
      </c>
    </row>
    <row r="33" spans="1:17" x14ac:dyDescent="0.3">
      <c r="A33">
        <v>32</v>
      </c>
      <c r="B33" t="s">
        <v>32</v>
      </c>
      <c r="C33" t="s">
        <v>21</v>
      </c>
      <c r="D33">
        <v>400000</v>
      </c>
      <c r="E33">
        <v>0</v>
      </c>
      <c r="F33">
        <v>700000</v>
      </c>
      <c r="G33">
        <v>17000</v>
      </c>
      <c r="H33">
        <v>17000</v>
      </c>
      <c r="I33" t="s">
        <v>23</v>
      </c>
      <c r="J33">
        <v>450</v>
      </c>
      <c r="K33">
        <v>1</v>
      </c>
      <c r="L33">
        <f t="shared" si="0"/>
        <v>994837</v>
      </c>
      <c r="M33" s="12">
        <f t="shared" si="2"/>
        <v>1.0173853106397079</v>
      </c>
      <c r="N33">
        <f t="shared" si="1"/>
        <v>10675000</v>
      </c>
      <c r="O33">
        <f t="shared" si="3"/>
        <v>1.0389294403892944</v>
      </c>
      <c r="Q33">
        <f t="shared" si="4"/>
        <v>1.0569915514432002</v>
      </c>
    </row>
    <row r="34" spans="1:17" x14ac:dyDescent="0.3">
      <c r="A34">
        <v>33</v>
      </c>
      <c r="B34" t="s">
        <v>32</v>
      </c>
      <c r="C34" t="s">
        <v>21</v>
      </c>
      <c r="D34">
        <v>400000</v>
      </c>
      <c r="E34">
        <v>0</v>
      </c>
      <c r="F34">
        <v>700000</v>
      </c>
      <c r="G34">
        <v>20000</v>
      </c>
      <c r="H34">
        <v>20000</v>
      </c>
      <c r="I34" t="s">
        <v>24</v>
      </c>
      <c r="J34">
        <v>450</v>
      </c>
      <c r="K34">
        <v>1</v>
      </c>
      <c r="L34">
        <f t="shared" si="0"/>
        <v>1014837</v>
      </c>
      <c r="M34" s="12">
        <f t="shared" si="2"/>
        <v>1.0201037958982224</v>
      </c>
      <c r="N34">
        <f t="shared" si="1"/>
        <v>11075000</v>
      </c>
      <c r="O34">
        <f t="shared" si="3"/>
        <v>1.0374707259953162</v>
      </c>
      <c r="Q34">
        <f t="shared" si="4"/>
        <v>1.0583278257211066</v>
      </c>
    </row>
    <row r="35" spans="1:17" x14ac:dyDescent="0.3">
      <c r="A35">
        <v>34</v>
      </c>
      <c r="B35" t="s">
        <v>32</v>
      </c>
      <c r="C35" t="s">
        <v>21</v>
      </c>
      <c r="D35">
        <v>400000</v>
      </c>
      <c r="E35">
        <v>0</v>
      </c>
      <c r="F35">
        <v>700000</v>
      </c>
      <c r="G35">
        <v>23000</v>
      </c>
      <c r="H35">
        <v>23000</v>
      </c>
      <c r="I35" t="s">
        <v>25</v>
      </c>
      <c r="J35">
        <v>450</v>
      </c>
      <c r="K35">
        <v>1</v>
      </c>
      <c r="L35">
        <f t="shared" si="0"/>
        <v>1037837</v>
      </c>
      <c r="M35" s="12">
        <f t="shared" si="2"/>
        <v>1.0226637381175498</v>
      </c>
      <c r="N35">
        <f t="shared" si="1"/>
        <v>11475000</v>
      </c>
      <c r="O35">
        <f t="shared" si="3"/>
        <v>1.0361173814898419</v>
      </c>
      <c r="Q35">
        <f t="shared" si="4"/>
        <v>1.0595996744829692</v>
      </c>
    </row>
    <row r="36" spans="1:17" x14ac:dyDescent="0.3">
      <c r="A36">
        <v>35</v>
      </c>
      <c r="B36" t="s">
        <v>32</v>
      </c>
      <c r="C36" t="s">
        <v>21</v>
      </c>
      <c r="D36">
        <v>400000</v>
      </c>
      <c r="E36">
        <v>0</v>
      </c>
      <c r="F36">
        <v>700000</v>
      </c>
      <c r="G36">
        <v>27000</v>
      </c>
      <c r="H36">
        <v>27000</v>
      </c>
      <c r="I36" t="s">
        <v>26</v>
      </c>
      <c r="J36">
        <v>450</v>
      </c>
      <c r="K36">
        <v>1</v>
      </c>
      <c r="L36">
        <f t="shared" si="0"/>
        <v>1064837</v>
      </c>
      <c r="M36" s="12">
        <f t="shared" si="2"/>
        <v>1.0260156460022143</v>
      </c>
      <c r="N36">
        <f t="shared" si="1"/>
        <v>11875000</v>
      </c>
      <c r="O36">
        <f t="shared" si="3"/>
        <v>1.0348583877995643</v>
      </c>
      <c r="Q36">
        <f t="shared" si="4"/>
        <v>1.06178089727898</v>
      </c>
    </row>
    <row r="37" spans="1:17" x14ac:dyDescent="0.3">
      <c r="A37">
        <v>36</v>
      </c>
      <c r="B37" t="s">
        <v>32</v>
      </c>
      <c r="C37" t="s">
        <v>21</v>
      </c>
      <c r="D37">
        <v>4500000</v>
      </c>
      <c r="E37">
        <v>0</v>
      </c>
      <c r="F37">
        <v>700000</v>
      </c>
      <c r="G37">
        <v>100000</v>
      </c>
      <c r="H37">
        <v>100000</v>
      </c>
      <c r="I37" t="s">
        <v>27</v>
      </c>
      <c r="J37">
        <v>450</v>
      </c>
      <c r="K37">
        <v>5</v>
      </c>
      <c r="L37">
        <f t="shared" si="0"/>
        <v>1164837</v>
      </c>
      <c r="M37" s="12">
        <f t="shared" si="2"/>
        <v>1.0939110868611817</v>
      </c>
      <c r="N37">
        <f t="shared" si="1"/>
        <v>16375000</v>
      </c>
      <c r="O37">
        <f t="shared" si="3"/>
        <v>1.3789473684210527</v>
      </c>
      <c r="Q37">
        <f t="shared" si="4"/>
        <v>1.50844581451384</v>
      </c>
    </row>
    <row r="38" spans="1:17" x14ac:dyDescent="0.3">
      <c r="A38">
        <v>37</v>
      </c>
      <c r="B38" t="s">
        <v>33</v>
      </c>
      <c r="C38" t="s">
        <v>34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1</v>
      </c>
      <c r="L38">
        <f t="shared" si="0"/>
        <v>1164836</v>
      </c>
      <c r="M38" s="12">
        <f t="shared" si="2"/>
        <v>0.9999991415107865</v>
      </c>
      <c r="N38">
        <f t="shared" si="1"/>
        <v>16374999</v>
      </c>
      <c r="O38">
        <f t="shared" si="3"/>
        <v>0.99999993893129768</v>
      </c>
      <c r="Q38">
        <f t="shared" si="4"/>
        <v>0.99999908044213659</v>
      </c>
    </row>
    <row r="41" spans="1:17" x14ac:dyDescent="0.3">
      <c r="D41">
        <v>483</v>
      </c>
    </row>
    <row r="42" spans="1:17" x14ac:dyDescent="0.3">
      <c r="D42">
        <v>487</v>
      </c>
    </row>
    <row r="43" spans="1:17" x14ac:dyDescent="0.3">
      <c r="D43">
        <v>489</v>
      </c>
    </row>
    <row r="44" spans="1:17" x14ac:dyDescent="0.3">
      <c r="D44">
        <v>491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4CB1-F95C-4C81-A370-97FF410FF308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3C74-20E1-4CF2-8AE1-F98B6BF5F0A1}">
  <dimension ref="A1:X68"/>
  <sheetViews>
    <sheetView workbookViewId="0">
      <selection activeCell="E11" sqref="E11"/>
    </sheetView>
  </sheetViews>
  <sheetFormatPr defaultRowHeight="16.5" x14ac:dyDescent="0.3"/>
  <cols>
    <col min="5" max="5" width="13.125" bestFit="1" customWidth="1"/>
  </cols>
  <sheetData>
    <row r="1" spans="1:24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J1" t="s">
        <v>42</v>
      </c>
      <c r="K1">
        <v>1000000</v>
      </c>
      <c r="V1" t="s">
        <v>43</v>
      </c>
      <c r="W1" t="s">
        <v>44</v>
      </c>
      <c r="X1" t="s">
        <v>45</v>
      </c>
    </row>
    <row r="2" spans="1:24" x14ac:dyDescent="0.3">
      <c r="A2">
        <v>1</v>
      </c>
      <c r="B2" t="s">
        <v>46</v>
      </c>
      <c r="C2">
        <v>1000000000</v>
      </c>
      <c r="D2">
        <v>1</v>
      </c>
      <c r="E2">
        <v>113608</v>
      </c>
      <c r="F2">
        <v>0</v>
      </c>
      <c r="G2" t="s">
        <v>47</v>
      </c>
      <c r="J2" t="s">
        <v>48</v>
      </c>
      <c r="K2">
        <v>10000000</v>
      </c>
      <c r="O2" s="2">
        <v>0.2</v>
      </c>
      <c r="P2" s="2">
        <v>0.4</v>
      </c>
      <c r="Q2" s="2">
        <v>0.6</v>
      </c>
      <c r="R2" s="2">
        <v>0.8</v>
      </c>
      <c r="S2" s="2">
        <v>1</v>
      </c>
      <c r="V2" s="3">
        <v>1</v>
      </c>
      <c r="W2" s="3"/>
    </row>
    <row r="3" spans="1:24" x14ac:dyDescent="0.3">
      <c r="A3">
        <v>2</v>
      </c>
      <c r="B3" t="s">
        <v>49</v>
      </c>
      <c r="C3">
        <v>1000000000</v>
      </c>
      <c r="D3">
        <v>1</v>
      </c>
      <c r="E3">
        <v>113608</v>
      </c>
      <c r="F3">
        <v>0</v>
      </c>
      <c r="G3" t="s">
        <v>47</v>
      </c>
      <c r="J3" t="s">
        <v>50</v>
      </c>
      <c r="K3">
        <v>100000000</v>
      </c>
      <c r="N3">
        <v>1000</v>
      </c>
      <c r="O3">
        <f>$N3*O$2</f>
        <v>200</v>
      </c>
      <c r="P3">
        <f t="shared" ref="P3:S3" si="0">$N3*P$2</f>
        <v>400</v>
      </c>
      <c r="Q3">
        <f t="shared" si="0"/>
        <v>600</v>
      </c>
      <c r="R3">
        <f t="shared" si="0"/>
        <v>800</v>
      </c>
      <c r="S3">
        <f t="shared" si="0"/>
        <v>1000</v>
      </c>
      <c r="V3">
        <v>2</v>
      </c>
      <c r="W3">
        <v>1055</v>
      </c>
      <c r="X3" t="s">
        <v>51</v>
      </c>
    </row>
    <row r="4" spans="1:24" x14ac:dyDescent="0.3">
      <c r="A4">
        <v>3</v>
      </c>
      <c r="B4" t="s">
        <v>52</v>
      </c>
      <c r="C4">
        <v>1500000000</v>
      </c>
      <c r="D4">
        <v>1</v>
      </c>
      <c r="E4">
        <v>250501608</v>
      </c>
      <c r="F4">
        <v>1000</v>
      </c>
      <c r="G4" t="s">
        <v>53</v>
      </c>
      <c r="H4" t="s">
        <v>54</v>
      </c>
      <c r="I4">
        <v>62</v>
      </c>
      <c r="J4" t="s">
        <v>55</v>
      </c>
      <c r="K4">
        <v>1000000000</v>
      </c>
      <c r="O4">
        <f>$C$4+O3*$E$4</f>
        <v>51600321600</v>
      </c>
      <c r="P4">
        <f t="shared" ref="P4:S4" si="1">$C$4+P3*$E$4</f>
        <v>101700643200</v>
      </c>
      <c r="Q4">
        <f t="shared" si="1"/>
        <v>151800964800</v>
      </c>
      <c r="R4">
        <f t="shared" si="1"/>
        <v>201901286400</v>
      </c>
      <c r="S4">
        <f t="shared" si="1"/>
        <v>252001608000</v>
      </c>
      <c r="V4">
        <v>10</v>
      </c>
      <c r="W4">
        <v>855</v>
      </c>
      <c r="X4">
        <v>590</v>
      </c>
    </row>
    <row r="5" spans="1:24" x14ac:dyDescent="0.3">
      <c r="A5">
        <v>4</v>
      </c>
      <c r="B5" t="s">
        <v>56</v>
      </c>
      <c r="C5">
        <v>1500000000</v>
      </c>
      <c r="D5">
        <v>1</v>
      </c>
      <c r="E5">
        <v>21501608</v>
      </c>
      <c r="F5">
        <v>5000</v>
      </c>
      <c r="G5" t="s">
        <v>57</v>
      </c>
      <c r="H5" t="s">
        <v>58</v>
      </c>
      <c r="I5">
        <v>136</v>
      </c>
      <c r="J5" t="s">
        <v>59</v>
      </c>
      <c r="K5">
        <v>10000000000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V5" t="s">
        <v>66</v>
      </c>
      <c r="W5">
        <v>1216</v>
      </c>
      <c r="X5">
        <v>1800</v>
      </c>
    </row>
    <row r="6" spans="1:24" x14ac:dyDescent="0.3">
      <c r="A6">
        <v>5</v>
      </c>
      <c r="B6" t="s">
        <v>67</v>
      </c>
      <c r="C6">
        <v>251751106392</v>
      </c>
      <c r="D6">
        <v>100</v>
      </c>
      <c r="E6">
        <v>800000000</v>
      </c>
      <c r="F6">
        <v>1000</v>
      </c>
      <c r="G6" t="s">
        <v>68</v>
      </c>
      <c r="H6" t="s">
        <v>69</v>
      </c>
      <c r="I6">
        <v>188</v>
      </c>
      <c r="J6" t="s">
        <v>70</v>
      </c>
      <c r="K6">
        <v>100000000000</v>
      </c>
      <c r="N6">
        <v>5000</v>
      </c>
      <c r="O6">
        <f>$N6*O$2</f>
        <v>1000</v>
      </c>
      <c r="P6">
        <f>$N6*P$2</f>
        <v>2000</v>
      </c>
      <c r="Q6">
        <f>$N6*Q$2</f>
        <v>3000</v>
      </c>
      <c r="R6">
        <f>$N6*R$2</f>
        <v>4000</v>
      </c>
      <c r="S6">
        <f>$N6*S$2</f>
        <v>5000</v>
      </c>
      <c r="W6">
        <v>1048</v>
      </c>
    </row>
    <row r="7" spans="1:24" x14ac:dyDescent="0.3">
      <c r="A7">
        <v>6</v>
      </c>
      <c r="B7" t="s">
        <v>71</v>
      </c>
      <c r="C7">
        <v>108986538392</v>
      </c>
      <c r="D7">
        <v>100</v>
      </c>
      <c r="E7">
        <v>420000000</v>
      </c>
      <c r="F7">
        <v>5000</v>
      </c>
      <c r="G7" t="s">
        <v>72</v>
      </c>
      <c r="H7" t="s">
        <v>73</v>
      </c>
      <c r="I7">
        <v>405</v>
      </c>
      <c r="J7" t="s">
        <v>74</v>
      </c>
      <c r="K7">
        <v>1000000000000</v>
      </c>
      <c r="O7">
        <f>$C$4+O6*$E$5</f>
        <v>23001608000</v>
      </c>
      <c r="P7">
        <f t="shared" ref="P7:S7" si="2">$C$4+P6*$E$5</f>
        <v>44503216000</v>
      </c>
      <c r="Q7">
        <f t="shared" si="2"/>
        <v>66004824000</v>
      </c>
      <c r="R7">
        <f t="shared" si="2"/>
        <v>87506432000</v>
      </c>
      <c r="S7">
        <f t="shared" si="2"/>
        <v>109008040000</v>
      </c>
    </row>
    <row r="8" spans="1:24" x14ac:dyDescent="0.3">
      <c r="H8">
        <v>250</v>
      </c>
      <c r="J8" t="s">
        <v>75</v>
      </c>
      <c r="K8">
        <v>10000000000000</v>
      </c>
      <c r="O8" t="s">
        <v>76</v>
      </c>
      <c r="P8" t="s">
        <v>77</v>
      </c>
      <c r="Q8" t="s">
        <v>78</v>
      </c>
      <c r="R8" t="s">
        <v>79</v>
      </c>
      <c r="S8" t="s">
        <v>80</v>
      </c>
      <c r="T8" t="s">
        <v>57</v>
      </c>
    </row>
    <row r="9" spans="1:24" x14ac:dyDescent="0.3">
      <c r="E9">
        <v>630004020000000</v>
      </c>
      <c r="H9">
        <v>544</v>
      </c>
    </row>
    <row r="10" spans="1:24" x14ac:dyDescent="0.3">
      <c r="C10" t="s">
        <v>81</v>
      </c>
      <c r="E10" t="s">
        <v>82</v>
      </c>
    </row>
    <row r="11" spans="1:24" x14ac:dyDescent="0.3">
      <c r="B11" t="s">
        <v>67</v>
      </c>
      <c r="C11">
        <f>C4+999*E4</f>
        <v>251751106392</v>
      </c>
      <c r="E11">
        <f>1000/2*(2*C6+(1000)*E6)</f>
        <v>651751106392000</v>
      </c>
      <c r="H11">
        <v>125</v>
      </c>
    </row>
    <row r="12" spans="1:24" x14ac:dyDescent="0.3">
      <c r="B12" t="s">
        <v>71</v>
      </c>
      <c r="C12">
        <f>C5+4999*E5</f>
        <v>108986538392</v>
      </c>
      <c r="E12">
        <f>5000/2*(2*C7+(5000)*E7)</f>
        <v>5794932691960000</v>
      </c>
    </row>
    <row r="17" spans="1:20" x14ac:dyDescent="0.3">
      <c r="J17" t="s">
        <v>83</v>
      </c>
      <c r="K17">
        <v>100000000000000</v>
      </c>
      <c r="M17" t="s">
        <v>52</v>
      </c>
      <c r="N17">
        <f>C4+1000*E4</f>
        <v>252001608000</v>
      </c>
      <c r="O17" t="s">
        <v>64</v>
      </c>
    </row>
    <row r="18" spans="1:20" x14ac:dyDescent="0.3">
      <c r="C18">
        <f>1000/2*(C4+999*E4)</f>
        <v>125875553196000</v>
      </c>
      <c r="E18">
        <v>252001608000</v>
      </c>
      <c r="M18" t="s">
        <v>56</v>
      </c>
      <c r="N18">
        <f>C4+5000*E5</f>
        <v>109008040000</v>
      </c>
      <c r="O18" t="s">
        <v>61</v>
      </c>
    </row>
    <row r="19" spans="1:20" x14ac:dyDescent="0.3">
      <c r="C19">
        <f>5000/2*(C5+5000*E5)</f>
        <v>272520100000000</v>
      </c>
      <c r="E19">
        <v>109008040000</v>
      </c>
    </row>
    <row r="20" spans="1:20" x14ac:dyDescent="0.3">
      <c r="C20">
        <f>1000/2*(C6+999*E6)</f>
        <v>525475553196000</v>
      </c>
      <c r="D20">
        <f>C20/C18</f>
        <v>4.1745640027320112</v>
      </c>
    </row>
    <row r="21" spans="1:20" x14ac:dyDescent="0.3">
      <c r="C21">
        <f>5000/2*(C7+5000*E7)</f>
        <v>5522466345980000</v>
      </c>
      <c r="D21">
        <f>C21/C19</f>
        <v>20.264436810275647</v>
      </c>
    </row>
    <row r="23" spans="1:20" x14ac:dyDescent="0.3">
      <c r="G23" t="s">
        <v>84</v>
      </c>
      <c r="H23" t="s">
        <v>84</v>
      </c>
    </row>
    <row r="24" spans="1:20" x14ac:dyDescent="0.3">
      <c r="E24" t="s">
        <v>85</v>
      </c>
      <c r="F24">
        <v>67</v>
      </c>
      <c r="G24">
        <v>9</v>
      </c>
      <c r="H24">
        <v>3</v>
      </c>
    </row>
    <row r="25" spans="1:20" x14ac:dyDescent="0.3">
      <c r="E25" t="s">
        <v>86</v>
      </c>
      <c r="F25">
        <v>20</v>
      </c>
      <c r="G25">
        <v>9</v>
      </c>
      <c r="H25">
        <v>3</v>
      </c>
    </row>
    <row r="26" spans="1:20" x14ac:dyDescent="0.3">
      <c r="A26" t="s">
        <v>87</v>
      </c>
      <c r="B26">
        <v>1200</v>
      </c>
      <c r="E26" t="s">
        <v>88</v>
      </c>
      <c r="F26">
        <v>10</v>
      </c>
      <c r="G26">
        <v>9</v>
      </c>
      <c r="H26">
        <v>3</v>
      </c>
    </row>
    <row r="27" spans="1:20" x14ac:dyDescent="0.3">
      <c r="E27" t="s">
        <v>89</v>
      </c>
      <c r="F27">
        <v>2.4</v>
      </c>
      <c r="G27">
        <v>9</v>
      </c>
      <c r="H27">
        <v>3</v>
      </c>
    </row>
    <row r="28" spans="1:20" x14ac:dyDescent="0.3">
      <c r="E28" t="s">
        <v>90</v>
      </c>
      <c r="F28">
        <v>0.5</v>
      </c>
      <c r="G28">
        <v>9</v>
      </c>
      <c r="H28">
        <v>3</v>
      </c>
      <c r="R28" t="s">
        <v>91</v>
      </c>
      <c r="S28" t="s">
        <v>92</v>
      </c>
      <c r="T28" t="s">
        <v>93</v>
      </c>
    </row>
    <row r="29" spans="1:20" x14ac:dyDescent="0.3">
      <c r="E29" t="s">
        <v>94</v>
      </c>
      <c r="F29">
        <v>0.1</v>
      </c>
      <c r="G29">
        <v>9</v>
      </c>
      <c r="H29">
        <v>3</v>
      </c>
      <c r="R29" s="4">
        <f>H39*1500</f>
        <v>13500000</v>
      </c>
      <c r="S29" s="5">
        <f>R29/R31*S31</f>
        <v>4500000</v>
      </c>
      <c r="T29" s="6">
        <f>S29/5.59</f>
        <v>805008.94454382826</v>
      </c>
    </row>
    <row r="30" spans="1:20" x14ac:dyDescent="0.3">
      <c r="R30" t="s">
        <v>91</v>
      </c>
      <c r="S30" t="s">
        <v>95</v>
      </c>
    </row>
    <row r="31" spans="1:20" x14ac:dyDescent="0.3">
      <c r="R31">
        <v>7500</v>
      </c>
      <c r="S31">
        <v>2500</v>
      </c>
    </row>
    <row r="32" spans="1:20" x14ac:dyDescent="0.3">
      <c r="I32" t="s">
        <v>96</v>
      </c>
      <c r="J32">
        <v>3000</v>
      </c>
      <c r="K32">
        <f>J32/2</f>
        <v>1500</v>
      </c>
    </row>
    <row r="33" spans="5:15" ht="33" x14ac:dyDescent="0.3">
      <c r="E33" s="7" t="s">
        <v>97</v>
      </c>
      <c r="F33" s="7" t="s">
        <v>98</v>
      </c>
      <c r="G33" s="7" t="s">
        <v>99</v>
      </c>
      <c r="I33">
        <v>6</v>
      </c>
      <c r="J33">
        <v>5</v>
      </c>
      <c r="K33">
        <v>4</v>
      </c>
      <c r="L33">
        <v>3</v>
      </c>
      <c r="M33">
        <v>2</v>
      </c>
      <c r="N33">
        <v>1</v>
      </c>
      <c r="O33" t="s">
        <v>100</v>
      </c>
    </row>
    <row r="34" spans="5:15" x14ac:dyDescent="0.3">
      <c r="E34" s="8">
        <v>1</v>
      </c>
      <c r="F34">
        <v>67</v>
      </c>
      <c r="G34" s="9">
        <f>F34/100/9</f>
        <v>7.4444444444444452E-2</v>
      </c>
      <c r="H34">
        <f t="shared" ref="H34:H38" si="3">1/G34</f>
        <v>13.432835820895521</v>
      </c>
      <c r="I34">
        <f t="shared" ref="I34:N39" si="4">$H34/I$33</f>
        <v>2.2388059701492535</v>
      </c>
      <c r="J34">
        <f t="shared" si="4"/>
        <v>2.6865671641791042</v>
      </c>
      <c r="K34">
        <f t="shared" si="4"/>
        <v>3.3582089552238803</v>
      </c>
      <c r="L34">
        <f t="shared" si="4"/>
        <v>4.4776119402985071</v>
      </c>
      <c r="M34">
        <f t="shared" si="4"/>
        <v>6.7164179104477606</v>
      </c>
      <c r="N34">
        <f t="shared" si="4"/>
        <v>13.432835820895521</v>
      </c>
      <c r="O34" s="5">
        <f t="shared" ref="O34:O38" si="5">SUM(I34:N34)</f>
        <v>32.910447761194028</v>
      </c>
    </row>
    <row r="35" spans="5:15" x14ac:dyDescent="0.3">
      <c r="E35" s="8">
        <v>2</v>
      </c>
      <c r="F35">
        <v>20</v>
      </c>
      <c r="G35" s="9">
        <f t="shared" ref="G35:G39" si="6">F35/100/9</f>
        <v>2.2222222222222223E-2</v>
      </c>
      <c r="H35">
        <f t="shared" si="3"/>
        <v>45</v>
      </c>
      <c r="I35">
        <f t="shared" si="4"/>
        <v>7.5</v>
      </c>
      <c r="J35">
        <f t="shared" si="4"/>
        <v>9</v>
      </c>
      <c r="K35">
        <f t="shared" si="4"/>
        <v>11.25</v>
      </c>
      <c r="L35">
        <f t="shared" si="4"/>
        <v>15</v>
      </c>
      <c r="M35">
        <f t="shared" si="4"/>
        <v>22.5</v>
      </c>
      <c r="N35">
        <f t="shared" si="4"/>
        <v>45</v>
      </c>
      <c r="O35" s="5">
        <f t="shared" si="5"/>
        <v>110.25</v>
      </c>
    </row>
    <row r="36" spans="5:15" x14ac:dyDescent="0.3">
      <c r="E36" s="8">
        <v>3</v>
      </c>
      <c r="F36">
        <v>10</v>
      </c>
      <c r="G36" s="9">
        <f t="shared" si="6"/>
        <v>1.1111111111111112E-2</v>
      </c>
      <c r="H36">
        <f t="shared" si="3"/>
        <v>90</v>
      </c>
      <c r="I36">
        <f t="shared" si="4"/>
        <v>15</v>
      </c>
      <c r="J36">
        <f t="shared" si="4"/>
        <v>18</v>
      </c>
      <c r="K36">
        <f t="shared" si="4"/>
        <v>22.5</v>
      </c>
      <c r="L36">
        <f t="shared" si="4"/>
        <v>30</v>
      </c>
      <c r="M36">
        <f t="shared" si="4"/>
        <v>45</v>
      </c>
      <c r="N36">
        <f t="shared" si="4"/>
        <v>90</v>
      </c>
      <c r="O36" s="5">
        <f t="shared" si="5"/>
        <v>220.5</v>
      </c>
    </row>
    <row r="37" spans="5:15" x14ac:dyDescent="0.3">
      <c r="E37" s="8">
        <v>4</v>
      </c>
      <c r="F37">
        <v>2.4</v>
      </c>
      <c r="G37" s="9">
        <f t="shared" si="6"/>
        <v>2.6666666666666666E-3</v>
      </c>
      <c r="H37">
        <f t="shared" si="3"/>
        <v>375</v>
      </c>
      <c r="I37">
        <f t="shared" si="4"/>
        <v>62.5</v>
      </c>
      <c r="J37">
        <f t="shared" si="4"/>
        <v>75</v>
      </c>
      <c r="K37">
        <f t="shared" si="4"/>
        <v>93.75</v>
      </c>
      <c r="L37">
        <f t="shared" si="4"/>
        <v>125</v>
      </c>
      <c r="M37">
        <f t="shared" si="4"/>
        <v>187.5</v>
      </c>
      <c r="N37">
        <f t="shared" si="4"/>
        <v>375</v>
      </c>
      <c r="O37" s="5">
        <f t="shared" si="5"/>
        <v>918.75</v>
      </c>
    </row>
    <row r="38" spans="5:15" x14ac:dyDescent="0.3">
      <c r="E38" s="10">
        <v>5</v>
      </c>
      <c r="F38">
        <v>0.5</v>
      </c>
      <c r="G38" s="9">
        <f t="shared" si="6"/>
        <v>5.5555555555555556E-4</v>
      </c>
      <c r="H38">
        <f t="shared" si="3"/>
        <v>1800</v>
      </c>
      <c r="I38">
        <f t="shared" si="4"/>
        <v>300</v>
      </c>
      <c r="J38">
        <f t="shared" si="4"/>
        <v>360</v>
      </c>
      <c r="K38">
        <f t="shared" si="4"/>
        <v>450</v>
      </c>
      <c r="L38">
        <f t="shared" si="4"/>
        <v>600</v>
      </c>
      <c r="M38">
        <f t="shared" si="4"/>
        <v>900</v>
      </c>
      <c r="N38">
        <f t="shared" si="4"/>
        <v>1800</v>
      </c>
      <c r="O38" s="5">
        <f t="shared" si="5"/>
        <v>4410</v>
      </c>
    </row>
    <row r="39" spans="5:15" x14ac:dyDescent="0.3">
      <c r="E39" s="10">
        <v>6</v>
      </c>
      <c r="F39">
        <v>0.1</v>
      </c>
      <c r="G39" s="9">
        <f t="shared" si="6"/>
        <v>1.1111111111111112E-4</v>
      </c>
      <c r="H39">
        <f>1/G39</f>
        <v>9000</v>
      </c>
      <c r="I39">
        <f>$H39/I$33</f>
        <v>1500</v>
      </c>
      <c r="J39">
        <f t="shared" si="4"/>
        <v>1800</v>
      </c>
      <c r="K39">
        <f t="shared" si="4"/>
        <v>2250</v>
      </c>
      <c r="L39">
        <f t="shared" si="4"/>
        <v>3000</v>
      </c>
      <c r="M39">
        <f t="shared" si="4"/>
        <v>4500</v>
      </c>
      <c r="N39">
        <f t="shared" si="4"/>
        <v>9000</v>
      </c>
      <c r="O39" s="5">
        <f t="shared" ref="O39:O41" si="7">SUM(I39:N39)</f>
        <v>22050</v>
      </c>
    </row>
    <row r="40" spans="5:15" x14ac:dyDescent="0.3">
      <c r="H40" t="s">
        <v>91</v>
      </c>
      <c r="I40" s="4">
        <f>I39*$K32</f>
        <v>2250000</v>
      </c>
      <c r="J40" s="4">
        <f t="shared" ref="J40:N40" si="8">J39*$K32</f>
        <v>2700000</v>
      </c>
      <c r="K40" s="4">
        <f t="shared" si="8"/>
        <v>3375000</v>
      </c>
      <c r="L40" s="4">
        <f t="shared" si="8"/>
        <v>4500000</v>
      </c>
      <c r="M40" s="4">
        <f t="shared" si="8"/>
        <v>6750000</v>
      </c>
      <c r="N40" s="4">
        <f t="shared" si="8"/>
        <v>13500000</v>
      </c>
      <c r="O40" s="5">
        <f t="shared" si="7"/>
        <v>33075000</v>
      </c>
    </row>
    <row r="41" spans="5:15" x14ac:dyDescent="0.3">
      <c r="H41" t="s">
        <v>92</v>
      </c>
      <c r="I41" s="4">
        <f>I40/$R31*$S31</f>
        <v>750000</v>
      </c>
      <c r="J41" s="4">
        <f t="shared" ref="J41:N41" si="9">J40/$R31*$S31</f>
        <v>900000</v>
      </c>
      <c r="K41" s="4">
        <f t="shared" si="9"/>
        <v>1125000</v>
      </c>
      <c r="L41" s="4">
        <f t="shared" si="9"/>
        <v>1500000</v>
      </c>
      <c r="M41" s="4">
        <f t="shared" si="9"/>
        <v>2250000</v>
      </c>
      <c r="N41" s="4">
        <f t="shared" si="9"/>
        <v>4500000</v>
      </c>
      <c r="O41" s="5">
        <f t="shared" si="7"/>
        <v>11025000</v>
      </c>
    </row>
    <row r="42" spans="5:15" x14ac:dyDescent="0.3">
      <c r="H42" t="s">
        <v>101</v>
      </c>
      <c r="I42" s="4">
        <f>I41/5.59</f>
        <v>134168.15742397137</v>
      </c>
      <c r="J42" s="4">
        <f t="shared" ref="J42:N42" si="10">J41/5.59</f>
        <v>161001.78890876565</v>
      </c>
      <c r="K42" s="4">
        <f t="shared" si="10"/>
        <v>201252.23613595706</v>
      </c>
      <c r="L42" s="4">
        <f t="shared" si="10"/>
        <v>268336.31484794273</v>
      </c>
      <c r="M42" s="4">
        <f t="shared" si="10"/>
        <v>402504.47227191413</v>
      </c>
      <c r="N42" s="4">
        <f t="shared" si="10"/>
        <v>805008.94454382826</v>
      </c>
      <c r="O42" s="5">
        <f>SUM(I42:N42)</f>
        <v>1972271.9141323792</v>
      </c>
    </row>
    <row r="49" spans="5:13" x14ac:dyDescent="0.3">
      <c r="E49" t="s">
        <v>102</v>
      </c>
    </row>
    <row r="50" spans="5:13" x14ac:dyDescent="0.3">
      <c r="E50" t="s">
        <v>103</v>
      </c>
    </row>
    <row r="51" spans="5:13" x14ac:dyDescent="0.3">
      <c r="E51" t="s">
        <v>104</v>
      </c>
    </row>
    <row r="52" spans="5:13" x14ac:dyDescent="0.3">
      <c r="E52" t="s">
        <v>105</v>
      </c>
    </row>
    <row r="53" spans="5:13" x14ac:dyDescent="0.3">
      <c r="E53" t="s">
        <v>106</v>
      </c>
      <c r="L53" t="s">
        <v>42</v>
      </c>
      <c r="M53">
        <v>1000000</v>
      </c>
    </row>
    <row r="54" spans="5:13" x14ac:dyDescent="0.3">
      <c r="E54" t="s">
        <v>107</v>
      </c>
      <c r="L54" t="s">
        <v>48</v>
      </c>
      <c r="M54">
        <v>10000000</v>
      </c>
    </row>
    <row r="55" spans="5:13" x14ac:dyDescent="0.3">
      <c r="E55" t="s">
        <v>108</v>
      </c>
      <c r="L55" t="s">
        <v>50</v>
      </c>
      <c r="M55">
        <v>100000000</v>
      </c>
    </row>
    <row r="56" spans="5:13" x14ac:dyDescent="0.3">
      <c r="E56" t="s">
        <v>109</v>
      </c>
      <c r="L56" t="s">
        <v>55</v>
      </c>
      <c r="M56">
        <v>1000000000</v>
      </c>
    </row>
    <row r="57" spans="5:13" x14ac:dyDescent="0.3">
      <c r="E57" t="s">
        <v>110</v>
      </c>
      <c r="L57" t="s">
        <v>59</v>
      </c>
      <c r="M57">
        <v>10000000000</v>
      </c>
    </row>
    <row r="58" spans="5:13" x14ac:dyDescent="0.3">
      <c r="L58" t="s">
        <v>70</v>
      </c>
      <c r="M58">
        <v>100000000000</v>
      </c>
    </row>
    <row r="59" spans="5:13" x14ac:dyDescent="0.3">
      <c r="L59" t="s">
        <v>74</v>
      </c>
      <c r="M59">
        <v>1000000000000</v>
      </c>
    </row>
    <row r="60" spans="5:13" x14ac:dyDescent="0.3">
      <c r="L60" t="s">
        <v>75</v>
      </c>
      <c r="M60">
        <v>10000000000000</v>
      </c>
    </row>
    <row r="61" spans="5:13" x14ac:dyDescent="0.3">
      <c r="L61" t="s">
        <v>83</v>
      </c>
      <c r="M61">
        <v>100000000000000</v>
      </c>
    </row>
    <row r="63" spans="5:13" x14ac:dyDescent="0.3">
      <c r="E63" t="s">
        <v>111</v>
      </c>
      <c r="F63" t="s">
        <v>112</v>
      </c>
    </row>
    <row r="64" spans="5:13" x14ac:dyDescent="0.3">
      <c r="E64" t="s">
        <v>113</v>
      </c>
    </row>
    <row r="65" spans="5:10" x14ac:dyDescent="0.3">
      <c r="E65" t="s">
        <v>114</v>
      </c>
      <c r="F65" t="s">
        <v>115</v>
      </c>
    </row>
    <row r="66" spans="5:10" x14ac:dyDescent="0.3">
      <c r="E66" t="s">
        <v>116</v>
      </c>
      <c r="F66">
        <v>1.6</v>
      </c>
    </row>
    <row r="67" spans="5:10" x14ac:dyDescent="0.3">
      <c r="E67" t="s">
        <v>117</v>
      </c>
      <c r="G67" t="s">
        <v>118</v>
      </c>
      <c r="H67" t="s">
        <v>119</v>
      </c>
      <c r="I67" t="s">
        <v>95</v>
      </c>
      <c r="J67" t="s">
        <v>91</v>
      </c>
    </row>
    <row r="68" spans="5:10" x14ac:dyDescent="0.3">
      <c r="E68" s="11">
        <v>12.37</v>
      </c>
      <c r="G68">
        <v>569</v>
      </c>
      <c r="H68">
        <v>41.8</v>
      </c>
      <c r="I68">
        <v>2000</v>
      </c>
      <c r="J68">
        <v>34560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보스체력</vt:lpstr>
      <vt:lpstr>패기</vt:lpstr>
      <vt:lpstr>무기</vt:lpstr>
      <vt:lpstr>갑옷</vt:lpstr>
      <vt:lpstr>절멸타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2025-10-09T18:29:10Z</dcterms:created>
  <dcterms:modified xsi:type="dcterms:W3CDTF">2025-10-17T08:37:09Z</dcterms:modified>
</cp:coreProperties>
</file>