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JJG\엑셀\정기\BM\컨텐츠 기획 모음\"/>
    </mc:Choice>
  </mc:AlternateContent>
  <xr:revisionPtr revIDLastSave="0" documentId="13_ncr:1_{0583F443-51A1-4BA9-9789-B147CDEB5E20}" xr6:coauthVersionLast="47" xr6:coauthVersionMax="47" xr10:uidLastSave="{00000000-0000-0000-0000-000000000000}"/>
  <bookViews>
    <workbookView xWindow="690" yWindow="1125" windowWidth="21810" windowHeight="11295" activeTab="1" xr2:uid="{3BF25590-3113-4B5B-812C-AC5FDFD7BF9A}"/>
  </bookViews>
  <sheets>
    <sheet name="패기" sheetId="1" r:id="rId1"/>
    <sheet name="신수" sheetId="2" r:id="rId2"/>
    <sheet name="Sheet1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7" i="3" l="1"/>
  <c r="H27" i="3"/>
  <c r="H26" i="3"/>
  <c r="I26" i="3" s="1"/>
  <c r="H25" i="3"/>
  <c r="I25" i="3" s="1"/>
  <c r="I28" i="3" s="1"/>
  <c r="F20" i="3"/>
  <c r="G20" i="3" s="1"/>
  <c r="H20" i="3" s="1"/>
  <c r="H19" i="3"/>
  <c r="G19" i="3"/>
  <c r="F19" i="3"/>
  <c r="F18" i="3"/>
  <c r="G18" i="3" s="1"/>
  <c r="H18" i="3" s="1"/>
  <c r="F17" i="3"/>
  <c r="G17" i="3" s="1"/>
  <c r="F16" i="3"/>
  <c r="G16" i="3" s="1"/>
  <c r="F15" i="3"/>
  <c r="G15" i="3" s="1"/>
  <c r="G14" i="3"/>
  <c r="F14" i="3"/>
  <c r="G13" i="3"/>
  <c r="F13" i="3"/>
  <c r="F12" i="3"/>
  <c r="G12" i="3" s="1"/>
  <c r="F11" i="3"/>
  <c r="G11" i="3" s="1"/>
  <c r="F10" i="3"/>
  <c r="G10" i="3" s="1"/>
  <c r="I9" i="3"/>
  <c r="F9" i="3"/>
  <c r="G9" i="3" s="1"/>
  <c r="G8" i="3"/>
  <c r="F8" i="3"/>
  <c r="S7" i="3"/>
  <c r="F7" i="3"/>
  <c r="G7" i="3" s="1"/>
  <c r="I6" i="3"/>
  <c r="F6" i="3"/>
  <c r="G6" i="3" s="1"/>
  <c r="F5" i="3"/>
  <c r="G5" i="3" s="1"/>
  <c r="R4" i="3"/>
  <c r="R5" i="3" s="1"/>
  <c r="Q4" i="3"/>
  <c r="Q5" i="3" s="1"/>
  <c r="P4" i="3"/>
  <c r="P5" i="3" s="1"/>
  <c r="G4" i="3"/>
  <c r="F4" i="3"/>
  <c r="F21" i="3" s="1"/>
  <c r="I3" i="3"/>
  <c r="F3" i="3"/>
  <c r="G3" i="3" s="1"/>
  <c r="I16" i="2"/>
  <c r="K16" i="2" s="1"/>
  <c r="J16" i="2" s="1"/>
  <c r="G16" i="2"/>
  <c r="F16" i="2" s="1"/>
  <c r="E16" i="2"/>
  <c r="I15" i="2"/>
  <c r="K15" i="2" s="1"/>
  <c r="J15" i="2" s="1"/>
  <c r="E15" i="2"/>
  <c r="G15" i="2" s="1"/>
  <c r="F15" i="2" s="1"/>
  <c r="I14" i="2"/>
  <c r="K14" i="2" s="1"/>
  <c r="J14" i="2" s="1"/>
  <c r="G14" i="2"/>
  <c r="F14" i="2" s="1"/>
  <c r="E14" i="2"/>
  <c r="I13" i="2"/>
  <c r="K13" i="2" s="1"/>
  <c r="J13" i="2" s="1"/>
  <c r="E13" i="2"/>
  <c r="G13" i="2" s="1"/>
  <c r="F13" i="2" s="1"/>
  <c r="I12" i="2"/>
  <c r="K12" i="2" s="1"/>
  <c r="J12" i="2" s="1"/>
  <c r="G12" i="2"/>
  <c r="F12" i="2" s="1"/>
  <c r="E12" i="2"/>
  <c r="I11" i="2"/>
  <c r="K11" i="2" s="1"/>
  <c r="J11" i="2" s="1"/>
  <c r="E11" i="2"/>
  <c r="G11" i="2" s="1"/>
  <c r="F11" i="2" s="1"/>
  <c r="I10" i="2"/>
  <c r="K10" i="2" s="1"/>
  <c r="J10" i="2" s="1"/>
  <c r="G10" i="2"/>
  <c r="F10" i="2" s="1"/>
  <c r="E10" i="2"/>
  <c r="I9" i="2"/>
  <c r="K9" i="2" s="1"/>
  <c r="J9" i="2" s="1"/>
  <c r="E9" i="2"/>
  <c r="G9" i="2" s="1"/>
  <c r="F9" i="2" s="1"/>
  <c r="I8" i="2"/>
  <c r="K8" i="2" s="1"/>
  <c r="J8" i="2" s="1"/>
  <c r="G8" i="2"/>
  <c r="F8" i="2" s="1"/>
  <c r="E8" i="2"/>
  <c r="I7" i="2"/>
  <c r="K7" i="2" s="1"/>
  <c r="J7" i="2" s="1"/>
  <c r="E7" i="2"/>
  <c r="G7" i="2" s="1"/>
  <c r="F7" i="2" s="1"/>
  <c r="I6" i="2"/>
  <c r="K6" i="2" s="1"/>
  <c r="J6" i="2" s="1"/>
  <c r="G6" i="2"/>
  <c r="F6" i="2" s="1"/>
  <c r="E6" i="2"/>
  <c r="I5" i="2"/>
  <c r="K5" i="2" s="1"/>
  <c r="J5" i="2" s="1"/>
  <c r="K4" i="2"/>
  <c r="J4" i="2" s="1"/>
  <c r="F11" i="1"/>
  <c r="I11" i="1" s="1"/>
  <c r="E11" i="1"/>
  <c r="H11" i="1" s="1"/>
  <c r="F10" i="1"/>
  <c r="I10" i="1" s="1"/>
  <c r="E10" i="1"/>
  <c r="H10" i="1" s="1"/>
  <c r="F9" i="1"/>
  <c r="I9" i="1" s="1"/>
  <c r="E9" i="1"/>
  <c r="H9" i="1" s="1"/>
  <c r="F8" i="1"/>
  <c r="I8" i="1" s="1"/>
  <c r="E8" i="1"/>
  <c r="H8" i="1" s="1"/>
  <c r="F7" i="1"/>
  <c r="I7" i="1" s="1"/>
  <c r="E7" i="1"/>
  <c r="H7" i="1" s="1"/>
  <c r="F6" i="1"/>
  <c r="I6" i="1" s="1"/>
  <c r="E6" i="1"/>
  <c r="H6" i="1" s="1"/>
  <c r="F5" i="1"/>
  <c r="I5" i="1" s="1"/>
  <c r="E5" i="1"/>
  <c r="H5" i="1" s="1"/>
  <c r="F4" i="1"/>
  <c r="I4" i="1" s="1"/>
  <c r="E4" i="1"/>
  <c r="H4" i="1" s="1"/>
  <c r="P6" i="3" l="1"/>
  <c r="P8" i="3" s="1"/>
  <c r="P7" i="3"/>
  <c r="Q6" i="3"/>
  <c r="Q7" i="3" s="1"/>
  <c r="R6" i="3"/>
  <c r="S6" i="3" s="1"/>
  <c r="R7" i="3"/>
</calcChain>
</file>

<file path=xl/sharedStrings.xml><?xml version="1.0" encoding="utf-8"?>
<sst xmlns="http://schemas.openxmlformats.org/spreadsheetml/2006/main" count="449" uniqueCount="283">
  <si>
    <t>패기</t>
    <phoneticPr fontId="3" type="noConversion"/>
  </si>
  <si>
    <t>업후 미는스테이지</t>
    <phoneticPr fontId="3" type="noConversion"/>
  </si>
  <si>
    <t>업전 미는스테이지</t>
    <phoneticPr fontId="3" type="noConversion"/>
  </si>
  <si>
    <t>신화1</t>
  </si>
  <si>
    <t>신화2</t>
  </si>
  <si>
    <t>신화3</t>
    <phoneticPr fontId="3" type="noConversion"/>
  </si>
  <si>
    <t>신화4</t>
    <phoneticPr fontId="3" type="noConversion"/>
  </si>
  <si>
    <t>전설</t>
    <phoneticPr fontId="3" type="noConversion"/>
  </si>
  <si>
    <t>200업(%)</t>
    <phoneticPr fontId="3" type="noConversion"/>
  </si>
  <si>
    <t>0업(%)</t>
    <phoneticPr fontId="3" type="noConversion"/>
  </si>
  <si>
    <t>등급</t>
    <phoneticPr fontId="3" type="noConversion"/>
  </si>
  <si>
    <t>빛 개별 스테이지</t>
    <phoneticPr fontId="3" type="noConversion"/>
  </si>
  <si>
    <t>빛 개별 공격력</t>
    <phoneticPr fontId="3" type="noConversion"/>
  </si>
  <si>
    <t>생짜 미는 스테이지</t>
    <phoneticPr fontId="3" type="noConversion"/>
  </si>
  <si>
    <t>생짜</t>
    <phoneticPr fontId="3" type="noConversion"/>
  </si>
  <si>
    <t>불 개별 스테이지</t>
    <phoneticPr fontId="3" type="noConversion"/>
  </si>
  <si>
    <t>불 개별 공격력</t>
    <phoneticPr fontId="3" type="noConversion"/>
  </si>
  <si>
    <t>빛 골획</t>
    <phoneticPr fontId="3" type="noConversion"/>
  </si>
  <si>
    <t>성</t>
    <phoneticPr fontId="3" type="noConversion"/>
  </si>
  <si>
    <t>타입</t>
  </si>
  <si>
    <t>공격력</t>
  </si>
  <si>
    <t>생명력</t>
  </si>
  <si>
    <t>골드획득량</t>
  </si>
  <si>
    <t>물1</t>
  </si>
  <si>
    <t>물2</t>
  </si>
  <si>
    <t>물3</t>
  </si>
  <si>
    <t>불1</t>
  </si>
  <si>
    <t>불2</t>
  </si>
  <si>
    <t>불3</t>
  </si>
  <si>
    <t>풀1</t>
  </si>
  <si>
    <t>풀2</t>
  </si>
  <si>
    <t>풀3</t>
  </si>
  <si>
    <t>빛1</t>
  </si>
  <si>
    <t>빛2</t>
  </si>
  <si>
    <t>빛3</t>
  </si>
  <si>
    <t>레벨</t>
  </si>
  <si>
    <t>경단비용</t>
  </si>
  <si>
    <t>성급</t>
    <phoneticPr fontId="3" type="noConversion"/>
  </si>
  <si>
    <t>타입</t>
    <phoneticPr fontId="3" type="noConversion"/>
  </si>
  <si>
    <t>속성</t>
    <phoneticPr fontId="3" type="noConversion"/>
  </si>
  <si>
    <t>확률1</t>
    <phoneticPr fontId="3" type="noConversion"/>
  </si>
  <si>
    <t>확률2</t>
    <phoneticPr fontId="3" type="noConversion"/>
  </si>
  <si>
    <t>총확률</t>
    <phoneticPr fontId="3" type="noConversion"/>
  </si>
  <si>
    <t>특정</t>
    <phoneticPr fontId="3" type="noConversion"/>
  </si>
  <si>
    <t>성급 됨</t>
    <phoneticPr fontId="3" type="noConversion"/>
  </si>
  <si>
    <t>물</t>
    <phoneticPr fontId="3" type="noConversion"/>
  </si>
  <si>
    <t>불</t>
    <phoneticPr fontId="3" type="noConversion"/>
  </si>
  <si>
    <t>풀</t>
    <phoneticPr fontId="3" type="noConversion"/>
  </si>
  <si>
    <t>빛</t>
    <phoneticPr fontId="3" type="noConversion"/>
  </si>
  <si>
    <r>
      <t>등급</t>
    </r>
    <r>
      <rPr>
        <b/>
        <sz val="12"/>
        <color theme="1"/>
        <rFont val="Arial"/>
        <family val="2"/>
      </rPr>
      <t xml:space="preserve"> </t>
    </r>
    <r>
      <rPr>
        <b/>
        <sz val="12"/>
        <color theme="1"/>
        <rFont val="굴림"/>
        <family val="3"/>
        <charset val="129"/>
      </rPr>
      <t>상승</t>
    </r>
  </si>
  <si>
    <r>
      <t>필요</t>
    </r>
    <r>
      <rPr>
        <b/>
        <sz val="12"/>
        <color theme="1"/>
        <rFont val="Arial"/>
        <family val="2"/>
      </rPr>
      <t xml:space="preserve"> </t>
    </r>
    <r>
      <rPr>
        <b/>
        <sz val="12"/>
        <color theme="1"/>
        <rFont val="굴림"/>
        <family val="3"/>
        <charset val="129"/>
      </rPr>
      <t>재료</t>
    </r>
    <r>
      <rPr>
        <b/>
        <sz val="12"/>
        <color theme="1"/>
        <rFont val="Arial"/>
        <family val="2"/>
      </rPr>
      <t xml:space="preserve"> (</t>
    </r>
    <r>
      <rPr>
        <b/>
        <sz val="12"/>
        <color theme="1"/>
        <rFont val="굴림"/>
        <family val="3"/>
        <charset val="129"/>
      </rPr>
      <t>상세</t>
    </r>
    <r>
      <rPr>
        <b/>
        <sz val="12"/>
        <color theme="1"/>
        <rFont val="Arial"/>
        <family val="2"/>
      </rPr>
      <t xml:space="preserve"> </t>
    </r>
    <r>
      <rPr>
        <b/>
        <sz val="12"/>
        <color theme="1"/>
        <rFont val="굴림"/>
        <family val="3"/>
        <charset val="129"/>
      </rPr>
      <t>조건</t>
    </r>
    <r>
      <rPr>
        <b/>
        <sz val="12"/>
        <color theme="1"/>
        <rFont val="Arial"/>
        <family val="2"/>
      </rPr>
      <t>)</t>
    </r>
  </si>
  <si>
    <t>비고</t>
  </si>
  <si>
    <r>
      <rPr>
        <b/>
        <sz val="12"/>
        <color theme="1"/>
        <rFont val="Segoe UI Symbol"/>
        <family val="2"/>
      </rPr>
      <t>3★</t>
    </r>
    <r>
      <rPr>
        <b/>
        <sz val="12"/>
        <color theme="1"/>
        <rFont val="Arial"/>
        <family val="2"/>
      </rPr>
      <t xml:space="preserve"> → 4</t>
    </r>
    <r>
      <rPr>
        <b/>
        <sz val="12"/>
        <color theme="1"/>
        <rFont val="Segoe UI Symbol"/>
        <family val="2"/>
      </rPr>
      <t>★</t>
    </r>
    <phoneticPr fontId="3" type="noConversion"/>
  </si>
  <si>
    <r>
      <t>(3</t>
    </r>
    <r>
      <rPr>
        <sz val="12"/>
        <color theme="1"/>
        <rFont val="굴림"/>
        <family val="3"/>
        <charset val="129"/>
      </rPr>
      <t>성</t>
    </r>
    <r>
      <rPr>
        <sz val="12"/>
        <color theme="1"/>
        <rFont val="Arial"/>
        <family val="2"/>
      </rPr>
      <t xml:space="preserve"> </t>
    </r>
    <r>
      <rPr>
        <sz val="12"/>
        <color theme="1"/>
        <rFont val="굴림"/>
        <family val="3"/>
        <charset val="129"/>
      </rPr>
      <t>본체</t>
    </r>
    <r>
      <rPr>
        <sz val="12"/>
        <color theme="1"/>
        <rFont val="Arial"/>
        <family val="2"/>
      </rPr>
      <t xml:space="preserve"> </t>
    </r>
    <r>
      <rPr>
        <sz val="12"/>
        <color theme="1"/>
        <rFont val="굴림"/>
        <family val="3"/>
        <charset val="129"/>
      </rPr>
      <t>속성</t>
    </r>
    <r>
      <rPr>
        <sz val="12"/>
        <color theme="1"/>
        <rFont val="Arial"/>
        <family val="2"/>
      </rPr>
      <t xml:space="preserve"> 3)</t>
    </r>
    <phoneticPr fontId="3" type="noConversion"/>
  </si>
  <si>
    <r>
      <t>1</t>
    </r>
    <r>
      <rPr>
        <sz val="12"/>
        <color theme="1"/>
        <rFont val="굴림"/>
        <family val="3"/>
        <charset val="129"/>
      </rPr>
      <t>차</t>
    </r>
    <r>
      <rPr>
        <sz val="12"/>
        <color theme="1"/>
        <rFont val="Arial"/>
        <family val="2"/>
      </rPr>
      <t xml:space="preserve"> </t>
    </r>
    <r>
      <rPr>
        <sz val="12"/>
        <color theme="1"/>
        <rFont val="굴림"/>
        <family val="3"/>
        <charset val="129"/>
      </rPr>
      <t>성장</t>
    </r>
  </si>
  <si>
    <t>4성</t>
    <phoneticPr fontId="3" type="noConversion"/>
  </si>
  <si>
    <r>
      <rPr>
        <b/>
        <sz val="12"/>
        <color theme="1"/>
        <rFont val="Segoe UI Symbol"/>
        <family val="2"/>
      </rPr>
      <t>4★</t>
    </r>
    <r>
      <rPr>
        <b/>
        <sz val="12"/>
        <color theme="1"/>
        <rFont val="Arial"/>
        <family val="2"/>
      </rPr>
      <t xml:space="preserve"> → 5</t>
    </r>
    <r>
      <rPr>
        <b/>
        <sz val="12"/>
        <color theme="1"/>
        <rFont val="Segoe UI Symbol"/>
        <family val="2"/>
      </rPr>
      <t>★</t>
    </r>
    <phoneticPr fontId="3" type="noConversion"/>
  </si>
  <si>
    <r>
      <t>(4</t>
    </r>
    <r>
      <rPr>
        <sz val="12"/>
        <color theme="1"/>
        <rFont val="굴림"/>
        <family val="3"/>
        <charset val="129"/>
      </rPr>
      <t>성</t>
    </r>
    <r>
      <rPr>
        <sz val="12"/>
        <color theme="1"/>
        <rFont val="Arial"/>
        <family val="2"/>
      </rPr>
      <t xml:space="preserve"> </t>
    </r>
    <r>
      <rPr>
        <sz val="12"/>
        <color theme="1"/>
        <rFont val="굴림"/>
        <family val="3"/>
        <charset val="129"/>
      </rPr>
      <t>동일</t>
    </r>
    <r>
      <rPr>
        <sz val="12"/>
        <color theme="1"/>
        <rFont val="Arial"/>
        <family val="2"/>
      </rPr>
      <t xml:space="preserve"> </t>
    </r>
    <r>
      <rPr>
        <sz val="12"/>
        <color theme="1"/>
        <rFont val="굴림"/>
        <family val="3"/>
        <charset val="129"/>
      </rPr>
      <t>속성</t>
    </r>
    <r>
      <rPr>
        <sz val="12"/>
        <color theme="1"/>
        <rFont val="Arial"/>
        <family val="2"/>
      </rPr>
      <t xml:space="preserve"> 3)</t>
    </r>
    <phoneticPr fontId="3" type="noConversion"/>
  </si>
  <si>
    <t>5성</t>
    <phoneticPr fontId="3" type="noConversion"/>
  </si>
  <si>
    <r>
      <t>5</t>
    </r>
    <r>
      <rPr>
        <b/>
        <sz val="12"/>
        <color theme="1"/>
        <rFont val="Segoe UI Symbol"/>
        <family val="2"/>
      </rPr>
      <t>★</t>
    </r>
    <r>
      <rPr>
        <b/>
        <sz val="12"/>
        <color theme="1"/>
        <rFont val="Arial"/>
        <family val="2"/>
      </rPr>
      <t xml:space="preserve"> → 6</t>
    </r>
    <r>
      <rPr>
        <b/>
        <sz val="12"/>
        <color theme="1"/>
        <rFont val="Segoe UI Symbol"/>
        <family val="2"/>
      </rPr>
      <t>★</t>
    </r>
  </si>
  <si>
    <r>
      <t>(5</t>
    </r>
    <r>
      <rPr>
        <sz val="12"/>
        <color theme="1"/>
        <rFont val="굴림"/>
        <family val="3"/>
        <charset val="129"/>
      </rPr>
      <t>성</t>
    </r>
    <r>
      <rPr>
        <sz val="12"/>
        <color theme="1"/>
        <rFont val="Arial"/>
        <family val="2"/>
      </rPr>
      <t xml:space="preserve"> </t>
    </r>
    <r>
      <rPr>
        <sz val="12"/>
        <color theme="1"/>
        <rFont val="굴림"/>
        <family val="3"/>
        <charset val="129"/>
      </rPr>
      <t>본체</t>
    </r>
    <r>
      <rPr>
        <sz val="12"/>
        <color theme="1"/>
        <rFont val="Arial"/>
        <family val="2"/>
      </rPr>
      <t xml:space="preserve"> 1) + (5</t>
    </r>
    <r>
      <rPr>
        <sz val="12"/>
        <color theme="1"/>
        <rFont val="굴림"/>
        <family val="3"/>
        <charset val="129"/>
      </rPr>
      <t>성</t>
    </r>
    <r>
      <rPr>
        <sz val="12"/>
        <color theme="1"/>
        <rFont val="Arial"/>
        <family val="2"/>
      </rPr>
      <t xml:space="preserve"> </t>
    </r>
    <r>
      <rPr>
        <sz val="12"/>
        <color theme="1"/>
        <rFont val="굴림"/>
        <family val="3"/>
        <charset val="129"/>
      </rPr>
      <t>지정</t>
    </r>
    <r>
      <rPr>
        <sz val="12"/>
        <color theme="1"/>
        <rFont val="Arial"/>
        <family val="2"/>
      </rPr>
      <t xml:space="preserve"> </t>
    </r>
    <r>
      <rPr>
        <sz val="12"/>
        <color theme="1"/>
        <rFont val="굴림"/>
        <family val="3"/>
        <charset val="129"/>
      </rPr>
      <t>신수</t>
    </r>
    <r>
      <rPr>
        <sz val="12"/>
        <color theme="1"/>
        <rFont val="Arial"/>
        <family val="2"/>
      </rPr>
      <t xml:space="preserve"> 1) + (5</t>
    </r>
    <r>
      <rPr>
        <sz val="12"/>
        <color theme="1"/>
        <rFont val="굴림"/>
        <family val="3"/>
        <charset val="129"/>
      </rPr>
      <t>성</t>
    </r>
    <r>
      <rPr>
        <sz val="12"/>
        <color theme="1"/>
        <rFont val="Arial"/>
        <family val="2"/>
      </rPr>
      <t xml:space="preserve"> </t>
    </r>
    <r>
      <rPr>
        <sz val="12"/>
        <color theme="1"/>
        <rFont val="굴림"/>
        <family val="3"/>
        <charset val="129"/>
      </rPr>
      <t>본체</t>
    </r>
    <r>
      <rPr>
        <sz val="12"/>
        <color theme="1"/>
        <rFont val="Arial"/>
        <family val="2"/>
      </rPr>
      <t xml:space="preserve"> </t>
    </r>
    <r>
      <rPr>
        <sz val="12"/>
        <color theme="1"/>
        <rFont val="굴림"/>
        <family val="3"/>
        <charset val="129"/>
      </rPr>
      <t>속성</t>
    </r>
    <r>
      <rPr>
        <sz val="12"/>
        <color theme="1"/>
        <rFont val="Arial"/>
        <family val="2"/>
      </rPr>
      <t xml:space="preserve"> 3)</t>
    </r>
  </si>
  <si>
    <r>
      <t>6</t>
    </r>
    <r>
      <rPr>
        <sz val="12"/>
        <color theme="1"/>
        <rFont val="맑은 고딕"/>
        <family val="2"/>
        <charset val="129"/>
      </rPr>
      <t>단계 모든속성</t>
    </r>
    <r>
      <rPr>
        <sz val="12"/>
        <color theme="1"/>
        <rFont val="Arial"/>
        <family val="2"/>
      </rPr>
      <t>*1</t>
    </r>
    <phoneticPr fontId="3" type="noConversion"/>
  </si>
  <si>
    <t>6성</t>
    <phoneticPr fontId="3" type="noConversion"/>
  </si>
  <si>
    <r>
      <t>6</t>
    </r>
    <r>
      <rPr>
        <b/>
        <sz val="12"/>
        <color theme="1"/>
        <rFont val="Segoe UI Symbol"/>
        <family val="2"/>
      </rPr>
      <t>★</t>
    </r>
    <r>
      <rPr>
        <b/>
        <sz val="12"/>
        <color theme="1"/>
        <rFont val="Arial"/>
        <family val="2"/>
      </rPr>
      <t xml:space="preserve"> → 7</t>
    </r>
    <r>
      <rPr>
        <b/>
        <sz val="12"/>
        <color theme="1"/>
        <rFont val="Segoe UI Symbol"/>
        <family val="2"/>
      </rPr>
      <t>★</t>
    </r>
  </si>
  <si>
    <r>
      <t>(5</t>
    </r>
    <r>
      <rPr>
        <sz val="12"/>
        <color theme="1"/>
        <rFont val="굴림"/>
        <family val="3"/>
        <charset val="129"/>
      </rPr>
      <t>성</t>
    </r>
    <r>
      <rPr>
        <sz val="12"/>
        <color theme="1"/>
        <rFont val="Arial"/>
        <family val="2"/>
      </rPr>
      <t xml:space="preserve"> </t>
    </r>
    <r>
      <rPr>
        <sz val="12"/>
        <color theme="1"/>
        <rFont val="굴림"/>
        <family val="3"/>
        <charset val="129"/>
      </rPr>
      <t>동일</t>
    </r>
    <r>
      <rPr>
        <sz val="12"/>
        <color theme="1"/>
        <rFont val="Arial"/>
        <family val="2"/>
      </rPr>
      <t xml:space="preserve"> </t>
    </r>
    <r>
      <rPr>
        <sz val="12"/>
        <color theme="1"/>
        <rFont val="굴림"/>
        <family val="3"/>
        <charset val="129"/>
      </rPr>
      <t>속성</t>
    </r>
    <r>
      <rPr>
        <sz val="12"/>
        <color theme="1"/>
        <rFont val="Arial"/>
        <family val="2"/>
      </rPr>
      <t xml:space="preserve"> 4)</t>
    </r>
  </si>
  <si>
    <t>7성</t>
    <phoneticPr fontId="3" type="noConversion"/>
  </si>
  <si>
    <r>
      <t>7</t>
    </r>
    <r>
      <rPr>
        <b/>
        <sz val="12"/>
        <color theme="1"/>
        <rFont val="Segoe UI Symbol"/>
        <family val="2"/>
      </rPr>
      <t>★</t>
    </r>
    <r>
      <rPr>
        <b/>
        <sz val="12"/>
        <color theme="1"/>
        <rFont val="Arial"/>
        <family val="2"/>
      </rPr>
      <t xml:space="preserve"> → 8</t>
    </r>
    <r>
      <rPr>
        <b/>
        <sz val="12"/>
        <color theme="1"/>
        <rFont val="Segoe UI Symbol"/>
        <family val="2"/>
      </rPr>
      <t>★</t>
    </r>
  </si>
  <si>
    <r>
      <t>(5</t>
    </r>
    <r>
      <rPr>
        <sz val="12"/>
        <color theme="1"/>
        <rFont val="굴림"/>
        <family val="3"/>
        <charset val="129"/>
      </rPr>
      <t>성</t>
    </r>
    <r>
      <rPr>
        <sz val="12"/>
        <color theme="1"/>
        <rFont val="Arial"/>
        <family val="2"/>
      </rPr>
      <t xml:space="preserve"> </t>
    </r>
    <r>
      <rPr>
        <sz val="12"/>
        <color theme="1"/>
        <rFont val="굴림"/>
        <family val="3"/>
        <charset val="129"/>
      </rPr>
      <t>동일</t>
    </r>
    <r>
      <rPr>
        <sz val="12"/>
        <color theme="1"/>
        <rFont val="Arial"/>
        <family val="2"/>
      </rPr>
      <t xml:space="preserve"> </t>
    </r>
    <r>
      <rPr>
        <sz val="12"/>
        <color theme="1"/>
        <rFont val="굴림"/>
        <family val="3"/>
        <charset val="129"/>
      </rPr>
      <t>속성</t>
    </r>
    <r>
      <rPr>
        <sz val="12"/>
        <color theme="1"/>
        <rFont val="Arial"/>
        <family val="2"/>
      </rPr>
      <t xml:space="preserve"> 3) + (6</t>
    </r>
    <r>
      <rPr>
        <sz val="12"/>
        <color theme="1"/>
        <rFont val="굴림"/>
        <family val="3"/>
        <charset val="129"/>
      </rPr>
      <t>성</t>
    </r>
    <r>
      <rPr>
        <sz val="12"/>
        <color theme="1"/>
        <rFont val="Arial"/>
        <family val="2"/>
      </rPr>
      <t xml:space="preserve"> </t>
    </r>
    <r>
      <rPr>
        <sz val="12"/>
        <color theme="1"/>
        <rFont val="굴림"/>
        <family val="3"/>
        <charset val="129"/>
      </rPr>
      <t>동일</t>
    </r>
    <r>
      <rPr>
        <sz val="12"/>
        <color theme="1"/>
        <rFont val="Arial"/>
        <family val="2"/>
      </rPr>
      <t xml:space="preserve"> </t>
    </r>
    <r>
      <rPr>
        <sz val="12"/>
        <color theme="1"/>
        <rFont val="굴림"/>
        <family val="3"/>
        <charset val="129"/>
      </rPr>
      <t>속성</t>
    </r>
    <r>
      <rPr>
        <sz val="12"/>
        <color theme="1"/>
        <rFont val="Arial"/>
        <family val="2"/>
      </rPr>
      <t xml:space="preserve"> 1)</t>
    </r>
  </si>
  <si>
    <t>8성</t>
  </si>
  <si>
    <r>
      <t>8</t>
    </r>
    <r>
      <rPr>
        <b/>
        <sz val="12"/>
        <color theme="1"/>
        <rFont val="Segoe UI Symbol"/>
        <family val="2"/>
      </rPr>
      <t>★</t>
    </r>
    <r>
      <rPr>
        <b/>
        <sz val="12"/>
        <color theme="1"/>
        <rFont val="Arial"/>
        <family val="2"/>
      </rPr>
      <t xml:space="preserve"> → 9</t>
    </r>
    <r>
      <rPr>
        <b/>
        <sz val="12"/>
        <color theme="1"/>
        <rFont val="Segoe UI Symbol"/>
        <family val="2"/>
      </rPr>
      <t>★</t>
    </r>
  </si>
  <si>
    <r>
      <t>(5</t>
    </r>
    <r>
      <rPr>
        <sz val="12"/>
        <color theme="1"/>
        <rFont val="굴림"/>
        <family val="3"/>
        <charset val="129"/>
      </rPr>
      <t>성</t>
    </r>
    <r>
      <rPr>
        <sz val="12"/>
        <color theme="1"/>
        <rFont val="Arial"/>
        <family val="2"/>
      </rPr>
      <t xml:space="preserve"> </t>
    </r>
    <r>
      <rPr>
        <sz val="12"/>
        <color theme="1"/>
        <rFont val="굴림"/>
        <family val="3"/>
        <charset val="129"/>
      </rPr>
      <t>본체</t>
    </r>
    <r>
      <rPr>
        <sz val="12"/>
        <color theme="1"/>
        <rFont val="Arial"/>
        <family val="2"/>
      </rPr>
      <t xml:space="preserve"> 1) + (5</t>
    </r>
    <r>
      <rPr>
        <sz val="12"/>
        <color theme="1"/>
        <rFont val="굴림"/>
        <family val="3"/>
        <charset val="129"/>
      </rPr>
      <t>성</t>
    </r>
    <r>
      <rPr>
        <sz val="12"/>
        <color theme="1"/>
        <rFont val="Arial"/>
        <family val="2"/>
      </rPr>
      <t xml:space="preserve"> </t>
    </r>
    <r>
      <rPr>
        <sz val="12"/>
        <color theme="1"/>
        <rFont val="굴림"/>
        <family val="3"/>
        <charset val="129"/>
      </rPr>
      <t>동일</t>
    </r>
    <r>
      <rPr>
        <sz val="12"/>
        <color theme="1"/>
        <rFont val="Arial"/>
        <family val="2"/>
      </rPr>
      <t xml:space="preserve"> </t>
    </r>
    <r>
      <rPr>
        <sz val="12"/>
        <color theme="1"/>
        <rFont val="굴림"/>
        <family val="3"/>
        <charset val="129"/>
      </rPr>
      <t>속성</t>
    </r>
    <r>
      <rPr>
        <sz val="12"/>
        <color theme="1"/>
        <rFont val="Arial"/>
        <family val="2"/>
      </rPr>
      <t xml:space="preserve"> 2) + (6</t>
    </r>
    <r>
      <rPr>
        <sz val="12"/>
        <color theme="1"/>
        <rFont val="굴림"/>
        <family val="3"/>
        <charset val="129"/>
      </rPr>
      <t>성</t>
    </r>
    <r>
      <rPr>
        <sz val="12"/>
        <color theme="1"/>
        <rFont val="Arial"/>
        <family val="2"/>
      </rPr>
      <t xml:space="preserve"> </t>
    </r>
    <r>
      <rPr>
        <sz val="12"/>
        <color theme="1"/>
        <rFont val="굴림"/>
        <family val="3"/>
        <charset val="129"/>
      </rPr>
      <t>동일</t>
    </r>
    <r>
      <rPr>
        <sz val="12"/>
        <color theme="1"/>
        <rFont val="Arial"/>
        <family val="2"/>
      </rPr>
      <t xml:space="preserve"> </t>
    </r>
    <r>
      <rPr>
        <sz val="12"/>
        <color theme="1"/>
        <rFont val="굴림"/>
        <family val="3"/>
        <charset val="129"/>
      </rPr>
      <t>속성</t>
    </r>
    <r>
      <rPr>
        <sz val="12"/>
        <color theme="1"/>
        <rFont val="Arial"/>
        <family val="2"/>
      </rPr>
      <t xml:space="preserve"> 1)</t>
    </r>
  </si>
  <si>
    <t>9성</t>
  </si>
  <si>
    <r>
      <t>9</t>
    </r>
    <r>
      <rPr>
        <b/>
        <sz val="12"/>
        <color theme="1"/>
        <rFont val="Segoe UI Symbol"/>
        <family val="2"/>
      </rPr>
      <t>★</t>
    </r>
    <r>
      <rPr>
        <b/>
        <sz val="12"/>
        <color theme="1"/>
        <rFont val="Arial"/>
        <family val="2"/>
      </rPr>
      <t xml:space="preserve"> → 10</t>
    </r>
    <r>
      <rPr>
        <b/>
        <sz val="12"/>
        <color theme="1"/>
        <rFont val="Segoe UI Symbol"/>
        <family val="2"/>
      </rPr>
      <t>★</t>
    </r>
  </si>
  <si>
    <r>
      <t>(5</t>
    </r>
    <r>
      <rPr>
        <sz val="12"/>
        <color theme="1"/>
        <rFont val="굴림"/>
        <family val="3"/>
        <charset val="129"/>
      </rPr>
      <t>성</t>
    </r>
    <r>
      <rPr>
        <sz val="12"/>
        <color theme="1"/>
        <rFont val="Arial"/>
        <family val="2"/>
      </rPr>
      <t xml:space="preserve"> </t>
    </r>
    <r>
      <rPr>
        <sz val="12"/>
        <color theme="1"/>
        <rFont val="굴림"/>
        <family val="3"/>
        <charset val="129"/>
      </rPr>
      <t>본체</t>
    </r>
    <r>
      <rPr>
        <sz val="12"/>
        <color theme="1"/>
        <rFont val="Arial"/>
        <family val="2"/>
      </rPr>
      <t xml:space="preserve"> 2) + (6</t>
    </r>
    <r>
      <rPr>
        <sz val="12"/>
        <color theme="1"/>
        <rFont val="굴림"/>
        <family val="3"/>
        <charset val="129"/>
      </rPr>
      <t>성</t>
    </r>
    <r>
      <rPr>
        <sz val="12"/>
        <color theme="1"/>
        <rFont val="Arial"/>
        <family val="2"/>
      </rPr>
      <t xml:space="preserve"> </t>
    </r>
    <r>
      <rPr>
        <sz val="12"/>
        <color theme="1"/>
        <rFont val="굴림"/>
        <family val="3"/>
        <charset val="129"/>
      </rPr>
      <t>동일</t>
    </r>
    <r>
      <rPr>
        <sz val="12"/>
        <color theme="1"/>
        <rFont val="Arial"/>
        <family val="2"/>
      </rPr>
      <t xml:space="preserve"> </t>
    </r>
    <r>
      <rPr>
        <sz val="12"/>
        <color theme="1"/>
        <rFont val="굴림"/>
        <family val="3"/>
        <charset val="129"/>
      </rPr>
      <t>속성</t>
    </r>
    <r>
      <rPr>
        <sz val="12"/>
        <color theme="1"/>
        <rFont val="Arial"/>
        <family val="2"/>
      </rPr>
      <t xml:space="preserve"> 1) + (9</t>
    </r>
    <r>
      <rPr>
        <sz val="12"/>
        <color theme="1"/>
        <rFont val="굴림"/>
        <family val="3"/>
        <charset val="129"/>
      </rPr>
      <t>성</t>
    </r>
    <r>
      <rPr>
        <sz val="12"/>
        <color theme="1"/>
        <rFont val="Arial"/>
        <family val="2"/>
      </rPr>
      <t xml:space="preserve"> </t>
    </r>
    <r>
      <rPr>
        <sz val="12"/>
        <color theme="1"/>
        <rFont val="굴림"/>
        <family val="3"/>
        <charset val="129"/>
      </rPr>
      <t>모든</t>
    </r>
    <r>
      <rPr>
        <sz val="12"/>
        <color theme="1"/>
        <rFont val="Arial"/>
        <family val="2"/>
      </rPr>
      <t xml:space="preserve"> </t>
    </r>
    <r>
      <rPr>
        <sz val="12"/>
        <color theme="1"/>
        <rFont val="굴림"/>
        <family val="3"/>
        <charset val="129"/>
      </rPr>
      <t>속성</t>
    </r>
    <r>
      <rPr>
        <sz val="12"/>
        <color theme="1"/>
        <rFont val="Arial"/>
        <family val="2"/>
      </rPr>
      <t xml:space="preserve"> 1)</t>
    </r>
  </si>
  <si>
    <t>10성</t>
  </si>
  <si>
    <r>
      <t>10</t>
    </r>
    <r>
      <rPr>
        <b/>
        <sz val="12"/>
        <color theme="1"/>
        <rFont val="Segoe UI Symbol"/>
        <family val="2"/>
      </rPr>
      <t>★</t>
    </r>
    <r>
      <rPr>
        <b/>
        <sz val="12"/>
        <color theme="1"/>
        <rFont val="Arial"/>
        <family val="2"/>
      </rPr>
      <t xml:space="preserve"> → 11</t>
    </r>
    <r>
      <rPr>
        <b/>
        <sz val="12"/>
        <color theme="1"/>
        <rFont val="Segoe UI Symbol"/>
        <family val="2"/>
      </rPr>
      <t>★</t>
    </r>
  </si>
  <si>
    <r>
      <t>(6</t>
    </r>
    <r>
      <rPr>
        <b/>
        <sz val="12"/>
        <color theme="1"/>
        <rFont val="굴림"/>
        <family val="3"/>
        <charset val="129"/>
      </rPr>
      <t>성</t>
    </r>
    <r>
      <rPr>
        <b/>
        <sz val="12"/>
        <color theme="1"/>
        <rFont val="Arial"/>
        <family val="2"/>
      </rPr>
      <t xml:space="preserve"> </t>
    </r>
    <r>
      <rPr>
        <b/>
        <sz val="12"/>
        <color theme="1"/>
        <rFont val="굴림"/>
        <family val="3"/>
        <charset val="129"/>
      </rPr>
      <t>본체</t>
    </r>
    <r>
      <rPr>
        <b/>
        <sz val="12"/>
        <color theme="1"/>
        <rFont val="Arial"/>
        <family val="2"/>
      </rPr>
      <t xml:space="preserve"> 1)</t>
    </r>
    <r>
      <rPr>
        <sz val="12"/>
        <color theme="1"/>
        <rFont val="Arial"/>
        <family val="2"/>
      </rPr>
      <t xml:space="preserve"> + (9</t>
    </r>
    <r>
      <rPr>
        <sz val="12"/>
        <color theme="1"/>
        <rFont val="굴림"/>
        <family val="3"/>
        <charset val="129"/>
      </rPr>
      <t>성</t>
    </r>
    <r>
      <rPr>
        <sz val="12"/>
        <color theme="1"/>
        <rFont val="Arial"/>
        <family val="2"/>
      </rPr>
      <t xml:space="preserve"> </t>
    </r>
    <r>
      <rPr>
        <sz val="12"/>
        <color theme="1"/>
        <rFont val="굴림"/>
        <family val="3"/>
        <charset val="129"/>
      </rPr>
      <t>모든</t>
    </r>
    <r>
      <rPr>
        <sz val="12"/>
        <color theme="1"/>
        <rFont val="Arial"/>
        <family val="2"/>
      </rPr>
      <t xml:space="preserve"> </t>
    </r>
    <r>
      <rPr>
        <sz val="12"/>
        <color theme="1"/>
        <rFont val="굴림"/>
        <family val="3"/>
        <charset val="129"/>
      </rPr>
      <t>속성</t>
    </r>
    <r>
      <rPr>
        <sz val="12"/>
        <color theme="1"/>
        <rFont val="Arial"/>
        <family val="2"/>
      </rPr>
      <t xml:space="preserve"> 1)</t>
    </r>
  </si>
  <si>
    <r>
      <t>✨</t>
    </r>
    <r>
      <rPr>
        <b/>
        <sz val="12"/>
        <color theme="1"/>
        <rFont val="Arial"/>
        <family val="2"/>
      </rPr>
      <t xml:space="preserve"> 2</t>
    </r>
    <r>
      <rPr>
        <b/>
        <sz val="12"/>
        <color theme="1"/>
        <rFont val="굴림"/>
        <family val="3"/>
        <charset val="129"/>
      </rPr>
      <t>차</t>
    </r>
    <r>
      <rPr>
        <b/>
        <sz val="12"/>
        <color theme="1"/>
        <rFont val="Arial"/>
        <family val="2"/>
      </rPr>
      <t xml:space="preserve"> </t>
    </r>
    <r>
      <rPr>
        <b/>
        <sz val="12"/>
        <color theme="1"/>
        <rFont val="굴림"/>
        <family val="3"/>
        <charset val="129"/>
      </rPr>
      <t>외형</t>
    </r>
    <r>
      <rPr>
        <b/>
        <sz val="12"/>
        <color theme="1"/>
        <rFont val="Arial"/>
        <family val="2"/>
      </rPr>
      <t xml:space="preserve"> </t>
    </r>
    <r>
      <rPr>
        <b/>
        <sz val="12"/>
        <color theme="1"/>
        <rFont val="굴림"/>
        <family val="3"/>
        <charset val="129"/>
      </rPr>
      <t>변신</t>
    </r>
  </si>
  <si>
    <t>11성</t>
  </si>
  <si>
    <r>
      <t>11</t>
    </r>
    <r>
      <rPr>
        <b/>
        <sz val="12"/>
        <color theme="1"/>
        <rFont val="Segoe UI Symbol"/>
        <family val="2"/>
      </rPr>
      <t>★</t>
    </r>
    <r>
      <rPr>
        <b/>
        <sz val="12"/>
        <color theme="1"/>
        <rFont val="Arial"/>
        <family val="2"/>
      </rPr>
      <t xml:space="preserve"> → 12</t>
    </r>
    <r>
      <rPr>
        <b/>
        <sz val="12"/>
        <color theme="1"/>
        <rFont val="Segoe UI Symbol"/>
        <family val="2"/>
      </rPr>
      <t>★</t>
    </r>
  </si>
  <si>
    <r>
      <t>(6</t>
    </r>
    <r>
      <rPr>
        <sz val="12"/>
        <color theme="1"/>
        <rFont val="굴림"/>
        <family val="3"/>
        <charset val="129"/>
      </rPr>
      <t>성</t>
    </r>
    <r>
      <rPr>
        <sz val="12"/>
        <color theme="1"/>
        <rFont val="Arial"/>
        <family val="2"/>
      </rPr>
      <t xml:space="preserve"> </t>
    </r>
    <r>
      <rPr>
        <sz val="12"/>
        <color theme="1"/>
        <rFont val="굴림"/>
        <family val="3"/>
        <charset val="129"/>
      </rPr>
      <t>본체</t>
    </r>
    <r>
      <rPr>
        <sz val="12"/>
        <color theme="1"/>
        <rFont val="Arial"/>
        <family val="2"/>
      </rPr>
      <t xml:space="preserve"> 1) + (10</t>
    </r>
    <r>
      <rPr>
        <sz val="12"/>
        <color theme="1"/>
        <rFont val="굴림"/>
        <family val="3"/>
        <charset val="129"/>
      </rPr>
      <t>성</t>
    </r>
    <r>
      <rPr>
        <sz val="12"/>
        <color theme="1"/>
        <rFont val="Arial"/>
        <family val="2"/>
      </rPr>
      <t xml:space="preserve"> </t>
    </r>
    <r>
      <rPr>
        <sz val="12"/>
        <color theme="1"/>
        <rFont val="굴림"/>
        <family val="3"/>
        <charset val="129"/>
      </rPr>
      <t>모든</t>
    </r>
    <r>
      <rPr>
        <sz val="12"/>
        <color theme="1"/>
        <rFont val="Arial"/>
        <family val="2"/>
      </rPr>
      <t xml:space="preserve"> </t>
    </r>
    <r>
      <rPr>
        <sz val="12"/>
        <color theme="1"/>
        <rFont val="굴림"/>
        <family val="3"/>
        <charset val="129"/>
      </rPr>
      <t>속성</t>
    </r>
    <r>
      <rPr>
        <sz val="12"/>
        <color theme="1"/>
        <rFont val="Arial"/>
        <family val="2"/>
      </rPr>
      <t xml:space="preserve"> 1)</t>
    </r>
  </si>
  <si>
    <t>12성</t>
  </si>
  <si>
    <r>
      <t>12</t>
    </r>
    <r>
      <rPr>
        <b/>
        <sz val="12"/>
        <color theme="1"/>
        <rFont val="Segoe UI Symbol"/>
        <family val="2"/>
      </rPr>
      <t>★</t>
    </r>
    <r>
      <rPr>
        <b/>
        <sz val="12"/>
        <color theme="1"/>
        <rFont val="Arial"/>
        <family val="2"/>
      </rPr>
      <t xml:space="preserve"> → 13</t>
    </r>
    <r>
      <rPr>
        <b/>
        <sz val="12"/>
        <color theme="1"/>
        <rFont val="Segoe UI Symbol"/>
        <family val="2"/>
      </rPr>
      <t>★</t>
    </r>
  </si>
  <si>
    <r>
      <t>(6</t>
    </r>
    <r>
      <rPr>
        <sz val="12"/>
        <color theme="1"/>
        <rFont val="굴림"/>
        <family val="3"/>
        <charset val="129"/>
      </rPr>
      <t>성</t>
    </r>
    <r>
      <rPr>
        <sz val="12"/>
        <color theme="1"/>
        <rFont val="Arial"/>
        <family val="2"/>
      </rPr>
      <t xml:space="preserve"> </t>
    </r>
    <r>
      <rPr>
        <sz val="12"/>
        <color theme="1"/>
        <rFont val="굴림"/>
        <family val="3"/>
        <charset val="129"/>
      </rPr>
      <t>본체</t>
    </r>
    <r>
      <rPr>
        <sz val="12"/>
        <color theme="1"/>
        <rFont val="Arial"/>
        <family val="2"/>
      </rPr>
      <t xml:space="preserve"> 1) + (9</t>
    </r>
    <r>
      <rPr>
        <sz val="12"/>
        <color theme="1"/>
        <rFont val="굴림"/>
        <family val="3"/>
        <charset val="129"/>
      </rPr>
      <t>성</t>
    </r>
    <r>
      <rPr>
        <sz val="12"/>
        <color theme="1"/>
        <rFont val="Arial"/>
        <family val="2"/>
      </rPr>
      <t xml:space="preserve"> </t>
    </r>
    <r>
      <rPr>
        <sz val="12"/>
        <color theme="1"/>
        <rFont val="굴림"/>
        <family val="3"/>
        <charset val="129"/>
      </rPr>
      <t>동일</t>
    </r>
    <r>
      <rPr>
        <sz val="12"/>
        <color theme="1"/>
        <rFont val="Arial"/>
        <family val="2"/>
      </rPr>
      <t xml:space="preserve"> </t>
    </r>
    <r>
      <rPr>
        <sz val="12"/>
        <color theme="1"/>
        <rFont val="굴림"/>
        <family val="3"/>
        <charset val="129"/>
      </rPr>
      <t>속성</t>
    </r>
    <r>
      <rPr>
        <sz val="12"/>
        <color theme="1"/>
        <rFont val="Arial"/>
        <family val="2"/>
      </rPr>
      <t xml:space="preserve"> 1) + (10</t>
    </r>
    <r>
      <rPr>
        <sz val="12"/>
        <color theme="1"/>
        <rFont val="굴림"/>
        <family val="3"/>
        <charset val="129"/>
      </rPr>
      <t>성</t>
    </r>
    <r>
      <rPr>
        <sz val="12"/>
        <color theme="1"/>
        <rFont val="Arial"/>
        <family val="2"/>
      </rPr>
      <t xml:space="preserve"> </t>
    </r>
    <r>
      <rPr>
        <sz val="12"/>
        <color theme="1"/>
        <rFont val="굴림"/>
        <family val="3"/>
        <charset val="129"/>
      </rPr>
      <t>모든</t>
    </r>
    <r>
      <rPr>
        <sz val="12"/>
        <color theme="1"/>
        <rFont val="Arial"/>
        <family val="2"/>
      </rPr>
      <t xml:space="preserve"> </t>
    </r>
    <r>
      <rPr>
        <sz val="12"/>
        <color theme="1"/>
        <rFont val="굴림"/>
        <family val="3"/>
        <charset val="129"/>
      </rPr>
      <t>속성</t>
    </r>
    <r>
      <rPr>
        <sz val="12"/>
        <color theme="1"/>
        <rFont val="Arial"/>
        <family val="2"/>
      </rPr>
      <t xml:space="preserve"> 1)</t>
    </r>
  </si>
  <si>
    <t>13성</t>
  </si>
  <si>
    <r>
      <t>13</t>
    </r>
    <r>
      <rPr>
        <b/>
        <sz val="12"/>
        <color theme="1"/>
        <rFont val="Segoe UI Symbol"/>
        <family val="2"/>
      </rPr>
      <t>★</t>
    </r>
    <r>
      <rPr>
        <b/>
        <sz val="12"/>
        <color theme="1"/>
        <rFont val="Arial"/>
        <family val="2"/>
      </rPr>
      <t xml:space="preserve"> → 14</t>
    </r>
    <r>
      <rPr>
        <b/>
        <sz val="12"/>
        <color theme="1"/>
        <rFont val="Segoe UI Symbol"/>
        <family val="2"/>
      </rPr>
      <t>★</t>
    </r>
  </si>
  <si>
    <r>
      <t>(6</t>
    </r>
    <r>
      <rPr>
        <b/>
        <sz val="12"/>
        <color theme="1"/>
        <rFont val="굴림"/>
        <family val="3"/>
        <charset val="129"/>
      </rPr>
      <t>성</t>
    </r>
    <r>
      <rPr>
        <b/>
        <sz val="12"/>
        <color theme="1"/>
        <rFont val="Arial"/>
        <family val="2"/>
      </rPr>
      <t xml:space="preserve"> </t>
    </r>
    <r>
      <rPr>
        <b/>
        <sz val="12"/>
        <color theme="1"/>
        <rFont val="굴림"/>
        <family val="3"/>
        <charset val="129"/>
      </rPr>
      <t>본체</t>
    </r>
    <r>
      <rPr>
        <b/>
        <sz val="12"/>
        <color theme="1"/>
        <rFont val="Arial"/>
        <family val="2"/>
      </rPr>
      <t xml:space="preserve"> 2)</t>
    </r>
    <r>
      <rPr>
        <sz val="12"/>
        <color theme="1"/>
        <rFont val="Arial"/>
        <family val="2"/>
      </rPr>
      <t xml:space="preserve"> + (10</t>
    </r>
    <r>
      <rPr>
        <sz val="12"/>
        <color theme="1"/>
        <rFont val="굴림"/>
        <family val="3"/>
        <charset val="129"/>
      </rPr>
      <t>성</t>
    </r>
    <r>
      <rPr>
        <sz val="12"/>
        <color theme="1"/>
        <rFont val="Arial"/>
        <family val="2"/>
      </rPr>
      <t xml:space="preserve"> </t>
    </r>
    <r>
      <rPr>
        <sz val="12"/>
        <color theme="1"/>
        <rFont val="굴림"/>
        <family val="3"/>
        <charset val="129"/>
      </rPr>
      <t>모든</t>
    </r>
    <r>
      <rPr>
        <sz val="12"/>
        <color theme="1"/>
        <rFont val="Arial"/>
        <family val="2"/>
      </rPr>
      <t xml:space="preserve"> </t>
    </r>
    <r>
      <rPr>
        <sz val="12"/>
        <color theme="1"/>
        <rFont val="굴림"/>
        <family val="3"/>
        <charset val="129"/>
      </rPr>
      <t>속성</t>
    </r>
    <r>
      <rPr>
        <sz val="12"/>
        <color theme="1"/>
        <rFont val="Arial"/>
        <family val="2"/>
      </rPr>
      <t xml:space="preserve"> 1)</t>
    </r>
  </si>
  <si>
    <t>14성</t>
  </si>
  <si>
    <r>
      <t>14</t>
    </r>
    <r>
      <rPr>
        <b/>
        <sz val="12"/>
        <color theme="1"/>
        <rFont val="Segoe UI Symbol"/>
        <family val="2"/>
      </rPr>
      <t>★</t>
    </r>
    <r>
      <rPr>
        <b/>
        <sz val="12"/>
        <color theme="1"/>
        <rFont val="Arial"/>
        <family val="2"/>
      </rPr>
      <t xml:space="preserve"> → 15</t>
    </r>
    <r>
      <rPr>
        <b/>
        <sz val="12"/>
        <color theme="1"/>
        <rFont val="Segoe UI Symbol"/>
        <family val="2"/>
      </rPr>
      <t>★</t>
    </r>
  </si>
  <si>
    <r>
      <t>(6</t>
    </r>
    <r>
      <rPr>
        <sz val="12"/>
        <color theme="1"/>
        <rFont val="굴림"/>
        <family val="3"/>
        <charset val="129"/>
      </rPr>
      <t>성</t>
    </r>
    <r>
      <rPr>
        <sz val="12"/>
        <color theme="1"/>
        <rFont val="Arial"/>
        <family val="2"/>
      </rPr>
      <t xml:space="preserve"> </t>
    </r>
    <r>
      <rPr>
        <sz val="12"/>
        <color theme="1"/>
        <rFont val="굴림"/>
        <family val="3"/>
        <charset val="129"/>
      </rPr>
      <t>본체</t>
    </r>
    <r>
      <rPr>
        <sz val="12"/>
        <color theme="1"/>
        <rFont val="Arial"/>
        <family val="2"/>
      </rPr>
      <t xml:space="preserve"> 2) + (5</t>
    </r>
    <r>
      <rPr>
        <sz val="12"/>
        <color theme="1"/>
        <rFont val="굴림"/>
        <family val="3"/>
        <charset val="129"/>
      </rPr>
      <t>성</t>
    </r>
    <r>
      <rPr>
        <sz val="12"/>
        <color theme="1"/>
        <rFont val="Arial"/>
        <family val="2"/>
      </rPr>
      <t xml:space="preserve"> </t>
    </r>
    <r>
      <rPr>
        <sz val="12"/>
        <color theme="1"/>
        <rFont val="굴림"/>
        <family val="3"/>
        <charset val="129"/>
      </rPr>
      <t>본체</t>
    </r>
    <r>
      <rPr>
        <sz val="12"/>
        <color theme="1"/>
        <rFont val="Arial"/>
        <family val="2"/>
      </rPr>
      <t xml:space="preserve"> 2) + (11</t>
    </r>
    <r>
      <rPr>
        <sz val="12"/>
        <color theme="1"/>
        <rFont val="굴림"/>
        <family val="3"/>
        <charset val="129"/>
      </rPr>
      <t>성</t>
    </r>
    <r>
      <rPr>
        <sz val="12"/>
        <color theme="1"/>
        <rFont val="Arial"/>
        <family val="2"/>
      </rPr>
      <t xml:space="preserve"> </t>
    </r>
    <r>
      <rPr>
        <sz val="12"/>
        <color theme="1"/>
        <rFont val="굴림"/>
        <family val="3"/>
        <charset val="129"/>
      </rPr>
      <t>모든</t>
    </r>
    <r>
      <rPr>
        <sz val="12"/>
        <color theme="1"/>
        <rFont val="Arial"/>
        <family val="2"/>
      </rPr>
      <t xml:space="preserve"> </t>
    </r>
    <r>
      <rPr>
        <sz val="12"/>
        <color theme="1"/>
        <rFont val="굴림"/>
        <family val="3"/>
        <charset val="129"/>
      </rPr>
      <t>속성</t>
    </r>
    <r>
      <rPr>
        <sz val="12"/>
        <color theme="1"/>
        <rFont val="Arial"/>
        <family val="2"/>
      </rPr>
      <t xml:space="preserve"> 1)</t>
    </r>
  </si>
  <si>
    <t>15성</t>
  </si>
  <si>
    <r>
      <t>15</t>
    </r>
    <r>
      <rPr>
        <b/>
        <sz val="12"/>
        <color theme="1"/>
        <rFont val="Segoe UI Symbol"/>
        <family val="2"/>
      </rPr>
      <t>★</t>
    </r>
    <r>
      <rPr>
        <b/>
        <sz val="12"/>
        <color theme="1"/>
        <rFont val="Arial"/>
        <family val="2"/>
      </rPr>
      <t xml:space="preserve"> → 16</t>
    </r>
    <r>
      <rPr>
        <b/>
        <sz val="12"/>
        <color theme="1"/>
        <rFont val="Segoe UI Symbol"/>
        <family val="2"/>
      </rPr>
      <t>★</t>
    </r>
  </si>
  <si>
    <r>
      <t>(9</t>
    </r>
    <r>
      <rPr>
        <b/>
        <sz val="12"/>
        <color theme="1"/>
        <rFont val="굴림"/>
        <family val="3"/>
        <charset val="129"/>
      </rPr>
      <t>성</t>
    </r>
    <r>
      <rPr>
        <b/>
        <sz val="12"/>
        <color theme="1"/>
        <rFont val="Arial"/>
        <family val="2"/>
      </rPr>
      <t xml:space="preserve"> </t>
    </r>
    <r>
      <rPr>
        <b/>
        <sz val="12"/>
        <color theme="1"/>
        <rFont val="굴림"/>
        <family val="3"/>
        <charset val="129"/>
      </rPr>
      <t>본체</t>
    </r>
    <r>
      <rPr>
        <b/>
        <sz val="12"/>
        <color theme="1"/>
        <rFont val="Arial"/>
        <family val="2"/>
      </rPr>
      <t xml:space="preserve"> 1)</t>
    </r>
    <r>
      <rPr>
        <sz val="12"/>
        <color theme="1"/>
        <rFont val="Arial"/>
        <family val="2"/>
      </rPr>
      <t xml:space="preserve"> + (12</t>
    </r>
    <r>
      <rPr>
        <sz val="12"/>
        <color theme="1"/>
        <rFont val="굴림"/>
        <family val="3"/>
        <charset val="129"/>
      </rPr>
      <t>성</t>
    </r>
    <r>
      <rPr>
        <sz val="12"/>
        <color theme="1"/>
        <rFont val="Arial"/>
        <family val="2"/>
      </rPr>
      <t xml:space="preserve"> </t>
    </r>
    <r>
      <rPr>
        <sz val="12"/>
        <color theme="1"/>
        <rFont val="굴림"/>
        <family val="3"/>
        <charset val="129"/>
      </rPr>
      <t>모든</t>
    </r>
    <r>
      <rPr>
        <sz val="12"/>
        <color theme="1"/>
        <rFont val="Arial"/>
        <family val="2"/>
      </rPr>
      <t xml:space="preserve"> </t>
    </r>
    <r>
      <rPr>
        <sz val="12"/>
        <color theme="1"/>
        <rFont val="굴림"/>
        <family val="3"/>
        <charset val="129"/>
      </rPr>
      <t>속성</t>
    </r>
    <r>
      <rPr>
        <sz val="12"/>
        <color theme="1"/>
        <rFont val="Arial"/>
        <family val="2"/>
      </rPr>
      <t xml:space="preserve"> 1)</t>
    </r>
  </si>
  <si>
    <r>
      <t>✨</t>
    </r>
    <r>
      <rPr>
        <b/>
        <sz val="12"/>
        <color theme="1"/>
        <rFont val="Arial"/>
        <family val="2"/>
      </rPr>
      <t xml:space="preserve"> 3</t>
    </r>
    <r>
      <rPr>
        <b/>
        <sz val="12"/>
        <color theme="1"/>
        <rFont val="굴림"/>
        <family val="3"/>
        <charset val="129"/>
      </rPr>
      <t>차</t>
    </r>
    <r>
      <rPr>
        <b/>
        <sz val="12"/>
        <color theme="1"/>
        <rFont val="Arial"/>
        <family val="2"/>
      </rPr>
      <t xml:space="preserve"> </t>
    </r>
    <r>
      <rPr>
        <b/>
        <sz val="12"/>
        <color theme="1"/>
        <rFont val="굴림"/>
        <family val="3"/>
        <charset val="129"/>
      </rPr>
      <t>외형</t>
    </r>
    <r>
      <rPr>
        <b/>
        <sz val="12"/>
        <color theme="1"/>
        <rFont val="Arial"/>
        <family val="2"/>
      </rPr>
      <t xml:space="preserve"> </t>
    </r>
    <r>
      <rPr>
        <b/>
        <sz val="12"/>
        <color theme="1"/>
        <rFont val="굴림"/>
        <family val="3"/>
        <charset val="129"/>
      </rPr>
      <t>변신</t>
    </r>
    <r>
      <rPr>
        <b/>
        <sz val="12"/>
        <color theme="1"/>
        <rFont val="Arial"/>
        <family val="2"/>
      </rPr>
      <t xml:space="preserve"> (</t>
    </r>
    <r>
      <rPr>
        <b/>
        <sz val="12"/>
        <color theme="1"/>
        <rFont val="굴림"/>
        <family val="3"/>
        <charset val="129"/>
      </rPr>
      <t>최종</t>
    </r>
    <r>
      <rPr>
        <b/>
        <sz val="12"/>
        <color theme="1"/>
        <rFont val="Arial"/>
        <family val="2"/>
      </rPr>
      <t>)</t>
    </r>
  </si>
  <si>
    <t>16성</t>
  </si>
  <si>
    <r>
      <t>16</t>
    </r>
    <r>
      <rPr>
        <b/>
        <sz val="12"/>
        <color theme="1"/>
        <rFont val="Segoe UI Symbol"/>
        <family val="2"/>
      </rPr>
      <t>★</t>
    </r>
    <r>
      <rPr>
        <b/>
        <sz val="12"/>
        <color theme="1"/>
        <rFont val="Arial"/>
        <family val="2"/>
      </rPr>
      <t xml:space="preserve"> → 17</t>
    </r>
    <r>
      <rPr>
        <b/>
        <sz val="12"/>
        <color theme="1"/>
        <rFont val="Segoe UI Symbol"/>
        <family val="2"/>
      </rPr>
      <t>★</t>
    </r>
  </si>
  <si>
    <r>
      <t>(9</t>
    </r>
    <r>
      <rPr>
        <sz val="12"/>
        <color theme="1"/>
        <rFont val="굴림"/>
        <family val="3"/>
        <charset val="129"/>
      </rPr>
      <t>성</t>
    </r>
    <r>
      <rPr>
        <sz val="12"/>
        <color theme="1"/>
        <rFont val="Arial"/>
        <family val="2"/>
      </rPr>
      <t xml:space="preserve"> </t>
    </r>
    <r>
      <rPr>
        <sz val="12"/>
        <color theme="1"/>
        <rFont val="굴림"/>
        <family val="3"/>
        <charset val="129"/>
      </rPr>
      <t>본체</t>
    </r>
    <r>
      <rPr>
        <sz val="12"/>
        <color theme="1"/>
        <rFont val="Arial"/>
        <family val="2"/>
      </rPr>
      <t xml:space="preserve"> 1) + (13</t>
    </r>
    <r>
      <rPr>
        <sz val="12"/>
        <color theme="1"/>
        <rFont val="굴림"/>
        <family val="3"/>
        <charset val="129"/>
      </rPr>
      <t>성</t>
    </r>
    <r>
      <rPr>
        <sz val="12"/>
        <color theme="1"/>
        <rFont val="Arial"/>
        <family val="2"/>
      </rPr>
      <t xml:space="preserve"> </t>
    </r>
    <r>
      <rPr>
        <sz val="12"/>
        <color theme="1"/>
        <rFont val="굴림"/>
        <family val="3"/>
        <charset val="129"/>
      </rPr>
      <t>모든</t>
    </r>
    <r>
      <rPr>
        <sz val="12"/>
        <color theme="1"/>
        <rFont val="Arial"/>
        <family val="2"/>
      </rPr>
      <t xml:space="preserve"> </t>
    </r>
    <r>
      <rPr>
        <sz val="12"/>
        <color theme="1"/>
        <rFont val="굴림"/>
        <family val="3"/>
        <charset val="129"/>
      </rPr>
      <t>속성</t>
    </r>
    <r>
      <rPr>
        <sz val="12"/>
        <color theme="1"/>
        <rFont val="Arial"/>
        <family val="2"/>
      </rPr>
      <t xml:space="preserve"> 1)</t>
    </r>
  </si>
  <si>
    <t>17성</t>
  </si>
  <si>
    <r>
      <t>17</t>
    </r>
    <r>
      <rPr>
        <b/>
        <sz val="12"/>
        <color theme="1"/>
        <rFont val="Segoe UI Symbol"/>
        <family val="2"/>
      </rPr>
      <t>★</t>
    </r>
    <r>
      <rPr>
        <b/>
        <sz val="12"/>
        <color theme="1"/>
        <rFont val="Arial"/>
        <family val="2"/>
      </rPr>
      <t xml:space="preserve"> → 18</t>
    </r>
    <r>
      <rPr>
        <b/>
        <sz val="12"/>
        <color theme="1"/>
        <rFont val="Segoe UI Symbol"/>
        <family val="2"/>
      </rPr>
      <t>★</t>
    </r>
  </si>
  <si>
    <r>
      <t>(9</t>
    </r>
    <r>
      <rPr>
        <sz val="12"/>
        <color theme="1"/>
        <rFont val="굴림"/>
        <family val="3"/>
        <charset val="129"/>
      </rPr>
      <t>성</t>
    </r>
    <r>
      <rPr>
        <sz val="12"/>
        <color theme="1"/>
        <rFont val="Arial"/>
        <family val="2"/>
      </rPr>
      <t xml:space="preserve"> </t>
    </r>
    <r>
      <rPr>
        <sz val="12"/>
        <color theme="1"/>
        <rFont val="굴림"/>
        <family val="3"/>
        <charset val="129"/>
      </rPr>
      <t>본체</t>
    </r>
    <r>
      <rPr>
        <sz val="12"/>
        <color theme="1"/>
        <rFont val="Arial"/>
        <family val="2"/>
      </rPr>
      <t xml:space="preserve"> 1) + (6</t>
    </r>
    <r>
      <rPr>
        <sz val="12"/>
        <color theme="1"/>
        <rFont val="굴림"/>
        <family val="3"/>
        <charset val="129"/>
      </rPr>
      <t>성</t>
    </r>
    <r>
      <rPr>
        <sz val="12"/>
        <color theme="1"/>
        <rFont val="Arial"/>
        <family val="2"/>
      </rPr>
      <t xml:space="preserve"> </t>
    </r>
    <r>
      <rPr>
        <sz val="12"/>
        <color theme="1"/>
        <rFont val="굴림"/>
        <family val="3"/>
        <charset val="129"/>
      </rPr>
      <t>본체</t>
    </r>
    <r>
      <rPr>
        <sz val="12"/>
        <color theme="1"/>
        <rFont val="Arial"/>
        <family val="2"/>
      </rPr>
      <t xml:space="preserve"> 1) + (14</t>
    </r>
    <r>
      <rPr>
        <sz val="12"/>
        <color theme="1"/>
        <rFont val="굴림"/>
        <family val="3"/>
        <charset val="129"/>
      </rPr>
      <t>성</t>
    </r>
    <r>
      <rPr>
        <sz val="12"/>
        <color theme="1"/>
        <rFont val="Arial"/>
        <family val="2"/>
      </rPr>
      <t xml:space="preserve"> </t>
    </r>
    <r>
      <rPr>
        <sz val="12"/>
        <color theme="1"/>
        <rFont val="굴림"/>
        <family val="3"/>
        <charset val="129"/>
      </rPr>
      <t>모든</t>
    </r>
    <r>
      <rPr>
        <sz val="12"/>
        <color theme="1"/>
        <rFont val="Arial"/>
        <family val="2"/>
      </rPr>
      <t xml:space="preserve"> </t>
    </r>
    <r>
      <rPr>
        <sz val="12"/>
        <color theme="1"/>
        <rFont val="굴림"/>
        <family val="3"/>
        <charset val="129"/>
      </rPr>
      <t>속성</t>
    </r>
    <r>
      <rPr>
        <sz val="12"/>
        <color theme="1"/>
        <rFont val="Arial"/>
        <family val="2"/>
      </rPr>
      <t xml:space="preserve"> 1)</t>
    </r>
  </si>
  <si>
    <t>18성</t>
  </si>
  <si>
    <r>
      <t>18</t>
    </r>
    <r>
      <rPr>
        <b/>
        <sz val="12"/>
        <color theme="1"/>
        <rFont val="Segoe UI Symbol"/>
        <family val="2"/>
      </rPr>
      <t>★</t>
    </r>
    <r>
      <rPr>
        <b/>
        <sz val="12"/>
        <color theme="1"/>
        <rFont val="Arial"/>
        <family val="2"/>
      </rPr>
      <t xml:space="preserve"> → 19</t>
    </r>
    <r>
      <rPr>
        <b/>
        <sz val="12"/>
        <color theme="1"/>
        <rFont val="Segoe UI Symbol"/>
        <family val="2"/>
      </rPr>
      <t>★</t>
    </r>
  </si>
  <si>
    <r>
      <t>(10</t>
    </r>
    <r>
      <rPr>
        <sz val="12"/>
        <color theme="1"/>
        <rFont val="굴림"/>
        <family val="3"/>
        <charset val="129"/>
      </rPr>
      <t>성</t>
    </r>
    <r>
      <rPr>
        <sz val="12"/>
        <color theme="1"/>
        <rFont val="Arial"/>
        <family val="2"/>
      </rPr>
      <t xml:space="preserve"> </t>
    </r>
    <r>
      <rPr>
        <sz val="12"/>
        <color theme="1"/>
        <rFont val="굴림"/>
        <family val="3"/>
        <charset val="129"/>
      </rPr>
      <t>본체</t>
    </r>
    <r>
      <rPr>
        <sz val="12"/>
        <color theme="1"/>
        <rFont val="Arial"/>
        <family val="2"/>
      </rPr>
      <t xml:space="preserve"> 1) + (15</t>
    </r>
    <r>
      <rPr>
        <sz val="12"/>
        <color theme="1"/>
        <rFont val="굴림"/>
        <family val="3"/>
        <charset val="129"/>
      </rPr>
      <t>성</t>
    </r>
    <r>
      <rPr>
        <sz val="12"/>
        <color theme="1"/>
        <rFont val="Arial"/>
        <family val="2"/>
      </rPr>
      <t xml:space="preserve"> </t>
    </r>
    <r>
      <rPr>
        <sz val="12"/>
        <color theme="1"/>
        <rFont val="굴림"/>
        <family val="3"/>
        <charset val="129"/>
      </rPr>
      <t>모든</t>
    </r>
    <r>
      <rPr>
        <sz val="12"/>
        <color theme="1"/>
        <rFont val="Arial"/>
        <family val="2"/>
      </rPr>
      <t xml:space="preserve"> </t>
    </r>
    <r>
      <rPr>
        <sz val="12"/>
        <color theme="1"/>
        <rFont val="굴림"/>
        <family val="3"/>
        <charset val="129"/>
      </rPr>
      <t>속성</t>
    </r>
    <r>
      <rPr>
        <sz val="12"/>
        <color theme="1"/>
        <rFont val="Arial"/>
        <family val="2"/>
      </rPr>
      <t xml:space="preserve"> 1)</t>
    </r>
  </si>
  <si>
    <t>19성</t>
  </si>
  <si>
    <r>
      <t>19</t>
    </r>
    <r>
      <rPr>
        <b/>
        <sz val="12"/>
        <color theme="1"/>
        <rFont val="Segoe UI Symbol"/>
        <family val="2"/>
      </rPr>
      <t>★</t>
    </r>
    <r>
      <rPr>
        <b/>
        <sz val="12"/>
        <color theme="1"/>
        <rFont val="Arial"/>
        <family val="2"/>
      </rPr>
      <t xml:space="preserve"> → 20</t>
    </r>
    <r>
      <rPr>
        <b/>
        <sz val="12"/>
        <color theme="1"/>
        <rFont val="Segoe UI Symbol"/>
        <family val="2"/>
      </rPr>
      <t>★</t>
    </r>
  </si>
  <si>
    <r>
      <t>(12</t>
    </r>
    <r>
      <rPr>
        <b/>
        <sz val="12"/>
        <color theme="1"/>
        <rFont val="굴림"/>
        <family val="3"/>
        <charset val="129"/>
      </rPr>
      <t>성</t>
    </r>
    <r>
      <rPr>
        <b/>
        <sz val="12"/>
        <color theme="1"/>
        <rFont val="Arial"/>
        <family val="2"/>
      </rPr>
      <t xml:space="preserve"> </t>
    </r>
    <r>
      <rPr>
        <b/>
        <sz val="12"/>
        <color theme="1"/>
        <rFont val="굴림"/>
        <family val="3"/>
        <charset val="129"/>
      </rPr>
      <t>본체</t>
    </r>
    <r>
      <rPr>
        <b/>
        <sz val="12"/>
        <color theme="1"/>
        <rFont val="Arial"/>
        <family val="2"/>
      </rPr>
      <t xml:space="preserve"> 1)</t>
    </r>
    <r>
      <rPr>
        <sz val="12"/>
        <color theme="1"/>
        <rFont val="Arial"/>
        <family val="2"/>
      </rPr>
      <t xml:space="preserve"> + (15</t>
    </r>
    <r>
      <rPr>
        <sz val="12"/>
        <color theme="1"/>
        <rFont val="굴림"/>
        <family val="3"/>
        <charset val="129"/>
      </rPr>
      <t>성</t>
    </r>
    <r>
      <rPr>
        <sz val="12"/>
        <color theme="1"/>
        <rFont val="Arial"/>
        <family val="2"/>
      </rPr>
      <t xml:space="preserve"> </t>
    </r>
    <r>
      <rPr>
        <sz val="12"/>
        <color theme="1"/>
        <rFont val="굴림"/>
        <family val="3"/>
        <charset val="129"/>
      </rPr>
      <t>모든</t>
    </r>
    <r>
      <rPr>
        <sz val="12"/>
        <color theme="1"/>
        <rFont val="Arial"/>
        <family val="2"/>
      </rPr>
      <t xml:space="preserve"> </t>
    </r>
    <r>
      <rPr>
        <sz val="12"/>
        <color theme="1"/>
        <rFont val="굴림"/>
        <family val="3"/>
        <charset val="129"/>
      </rPr>
      <t>속성</t>
    </r>
    <r>
      <rPr>
        <sz val="12"/>
        <color theme="1"/>
        <rFont val="Arial"/>
        <family val="2"/>
      </rPr>
      <t xml:space="preserve"> 2)</t>
    </r>
  </si>
  <si>
    <r>
      <t>👑</t>
    </r>
    <r>
      <rPr>
        <b/>
        <sz val="12"/>
        <color theme="1"/>
        <rFont val="Arial"/>
        <family val="2"/>
      </rPr>
      <t xml:space="preserve"> MAX </t>
    </r>
    <r>
      <rPr>
        <b/>
        <sz val="12"/>
        <color theme="1"/>
        <rFont val="굴림"/>
        <family val="3"/>
        <charset val="129"/>
      </rPr>
      <t>레벨</t>
    </r>
  </si>
  <si>
    <t>20성</t>
  </si>
  <si>
    <t>1회</t>
    <phoneticPr fontId="3" type="noConversion"/>
  </si>
  <si>
    <t>3.7성</t>
    <phoneticPr fontId="3" type="noConversion"/>
  </si>
  <si>
    <t>등급</t>
  </si>
  <si>
    <t>환산 가치</t>
  </si>
  <si>
    <t>기대비용</t>
  </si>
  <si>
    <t>3성</t>
  </si>
  <si>
    <t>162원</t>
  </si>
  <si>
    <t>4성</t>
  </si>
  <si>
    <t>648원</t>
  </si>
  <si>
    <t>5성</t>
  </si>
  <si>
    <t>2,594원</t>
  </si>
  <si>
    <t>신수 테스트 고돌</t>
    <phoneticPr fontId="3" type="noConversion"/>
  </si>
  <si>
    <t>누적다이아</t>
    <phoneticPr fontId="3" type="noConversion"/>
  </si>
  <si>
    <t>최고성급(빛)</t>
    <phoneticPr fontId="3" type="noConversion"/>
  </si>
  <si>
    <t>보유</t>
    <phoneticPr fontId="3" type="noConversion"/>
  </si>
  <si>
    <t>최고성급(일반)</t>
    <phoneticPr fontId="3" type="noConversion"/>
  </si>
  <si>
    <t>100만</t>
    <phoneticPr fontId="3" type="noConversion"/>
  </si>
  <si>
    <t>8성</t>
    <phoneticPr fontId="3" type="noConversion"/>
  </si>
  <si>
    <t>200만</t>
    <phoneticPr fontId="3" type="noConversion"/>
  </si>
  <si>
    <t>8성,8성</t>
    <phoneticPr fontId="3" type="noConversion"/>
  </si>
  <si>
    <t>300만</t>
  </si>
  <si>
    <t>11성</t>
    <phoneticPr fontId="3" type="noConversion"/>
  </si>
  <si>
    <t>400만</t>
  </si>
  <si>
    <t>5성,5성</t>
    <phoneticPr fontId="3" type="noConversion"/>
  </si>
  <si>
    <t>12성</t>
    <phoneticPr fontId="3" type="noConversion"/>
  </si>
  <si>
    <t>500만</t>
  </si>
  <si>
    <t>600만</t>
  </si>
  <si>
    <t>7성,5성(4)</t>
    <phoneticPr fontId="3" type="noConversion"/>
  </si>
  <si>
    <t>13성</t>
    <phoneticPr fontId="3" type="noConversion"/>
  </si>
  <si>
    <t>700만</t>
  </si>
  <si>
    <t>9성</t>
    <phoneticPr fontId="3" type="noConversion"/>
  </si>
  <si>
    <t>7성,6성,5성(2)</t>
    <phoneticPr fontId="3" type="noConversion"/>
  </si>
  <si>
    <t>9성,8성</t>
    <phoneticPr fontId="3" type="noConversion"/>
  </si>
  <si>
    <t>800만</t>
  </si>
  <si>
    <t>10성</t>
    <phoneticPr fontId="3" type="noConversion"/>
  </si>
  <si>
    <t>9성,5성(3)</t>
    <phoneticPr fontId="3" type="noConversion"/>
  </si>
  <si>
    <t>9성,7성(2)</t>
    <phoneticPr fontId="3" type="noConversion"/>
  </si>
  <si>
    <t>900만</t>
  </si>
  <si>
    <t>9성,5성</t>
    <phoneticPr fontId="3" type="noConversion"/>
  </si>
  <si>
    <t>14성</t>
    <phoneticPr fontId="3" type="noConversion"/>
  </si>
  <si>
    <t>1000만</t>
  </si>
  <si>
    <t>9성,5성(4)</t>
    <phoneticPr fontId="3" type="noConversion"/>
  </si>
  <si>
    <t>1200만</t>
    <phoneticPr fontId="3" type="noConversion"/>
  </si>
  <si>
    <t>1400만</t>
    <phoneticPr fontId="3" type="noConversion"/>
  </si>
  <si>
    <t>9성,5성(5)</t>
    <phoneticPr fontId="3" type="noConversion"/>
  </si>
  <si>
    <t>15성</t>
    <phoneticPr fontId="3" type="noConversion"/>
  </si>
  <si>
    <t>9성,10성,8성</t>
    <phoneticPr fontId="3" type="noConversion"/>
  </si>
  <si>
    <t>1600만</t>
    <phoneticPr fontId="3" type="noConversion"/>
  </si>
  <si>
    <t>9성,6성,5성(4)</t>
    <phoneticPr fontId="3" type="noConversion"/>
  </si>
  <si>
    <t>11성,9성</t>
    <phoneticPr fontId="3" type="noConversion"/>
  </si>
  <si>
    <t>1800만</t>
  </si>
  <si>
    <t>9성,6성,5성(5)</t>
    <phoneticPr fontId="3" type="noConversion"/>
  </si>
  <si>
    <t>9성(2)</t>
    <phoneticPr fontId="3" type="noConversion"/>
  </si>
  <si>
    <t>2000만</t>
  </si>
  <si>
    <t>14성,11성</t>
    <phoneticPr fontId="3" type="noConversion"/>
  </si>
  <si>
    <t>7성,6성,5성(3)</t>
    <phoneticPr fontId="3" type="noConversion"/>
  </si>
  <si>
    <t>16성(멈춤)</t>
    <phoneticPr fontId="3" type="noConversion"/>
  </si>
  <si>
    <t>2300만</t>
    <phoneticPr fontId="3" type="noConversion"/>
  </si>
  <si>
    <t>14성,12성</t>
    <phoneticPr fontId="3" type="noConversion"/>
  </si>
  <si>
    <t>16성</t>
    <phoneticPr fontId="3" type="noConversion"/>
  </si>
  <si>
    <t>2600만</t>
    <phoneticPr fontId="3" type="noConversion"/>
  </si>
  <si>
    <t>15성,12성</t>
    <phoneticPr fontId="3" type="noConversion"/>
  </si>
  <si>
    <t>6성(3),5성(5)</t>
    <phoneticPr fontId="3" type="noConversion"/>
  </si>
  <si>
    <t>2900만</t>
  </si>
  <si>
    <t>15성,14성</t>
    <phoneticPr fontId="3" type="noConversion"/>
  </si>
  <si>
    <t>5성(7)</t>
    <phoneticPr fontId="3" type="noConversion"/>
  </si>
  <si>
    <t>3200만</t>
  </si>
  <si>
    <t>9성,</t>
    <phoneticPr fontId="3" type="noConversion"/>
  </si>
  <si>
    <t>불불빛</t>
    <phoneticPr fontId="3" type="noConversion"/>
  </si>
  <si>
    <t>5성(3)</t>
    <phoneticPr fontId="3" type="noConversion"/>
  </si>
  <si>
    <t>9성,7성</t>
    <phoneticPr fontId="3" type="noConversion"/>
  </si>
  <si>
    <t>5성(5)</t>
    <phoneticPr fontId="3" type="noConversion"/>
  </si>
  <si>
    <t>10성,9성</t>
    <phoneticPr fontId="3" type="noConversion"/>
  </si>
  <si>
    <t>5성(8)</t>
    <phoneticPr fontId="3" type="noConversion"/>
  </si>
  <si>
    <t>12성,11성</t>
    <phoneticPr fontId="3" type="noConversion"/>
  </si>
  <si>
    <t>6성,5성(11)</t>
    <phoneticPr fontId="3" type="noConversion"/>
  </si>
  <si>
    <t>13성,11성</t>
    <phoneticPr fontId="3" type="noConversion"/>
  </si>
  <si>
    <t>5성(10)</t>
    <phoneticPr fontId="3" type="noConversion"/>
  </si>
  <si>
    <t>1200만</t>
  </si>
  <si>
    <t>5성(9개)</t>
    <phoneticPr fontId="3" type="noConversion"/>
  </si>
  <si>
    <t>1400만</t>
  </si>
  <si>
    <t>5성(5개)</t>
    <phoneticPr fontId="3" type="noConversion"/>
  </si>
  <si>
    <t>1600만</t>
  </si>
  <si>
    <t>5성(10개)</t>
    <phoneticPr fontId="3" type="noConversion"/>
  </si>
  <si>
    <t>5성(13개)</t>
    <phoneticPr fontId="3" type="noConversion"/>
  </si>
  <si>
    <t>5성(20개)</t>
    <phoneticPr fontId="3" type="noConversion"/>
  </si>
  <si>
    <t>15성,13성</t>
    <phoneticPr fontId="3" type="noConversion"/>
  </si>
  <si>
    <t>빛빛불</t>
    <phoneticPr fontId="3" type="noConversion"/>
  </si>
  <si>
    <t>150만</t>
    <phoneticPr fontId="3" type="noConversion"/>
  </si>
  <si>
    <t>5성(1)</t>
    <phoneticPr fontId="3" type="noConversion"/>
  </si>
  <si>
    <t>300만</t>
    <phoneticPr fontId="3" type="noConversion"/>
  </si>
  <si>
    <t>5성(2)</t>
    <phoneticPr fontId="3" type="noConversion"/>
  </si>
  <si>
    <t>450만</t>
  </si>
  <si>
    <t>750만</t>
  </si>
  <si>
    <t>5성(4)</t>
    <phoneticPr fontId="3" type="noConversion"/>
  </si>
  <si>
    <t>11성,10성</t>
    <phoneticPr fontId="3" type="noConversion"/>
  </si>
  <si>
    <t>1050만</t>
    <phoneticPr fontId="3" type="noConversion"/>
  </si>
  <si>
    <t>1350만</t>
    <phoneticPr fontId="3" type="noConversion"/>
  </si>
  <si>
    <t>1650만</t>
  </si>
  <si>
    <t>5성(12)</t>
    <phoneticPr fontId="3" type="noConversion"/>
  </si>
  <si>
    <t>1950만</t>
  </si>
  <si>
    <t>6성(2),5성(11)</t>
    <phoneticPr fontId="3" type="noConversion"/>
  </si>
  <si>
    <t>2250만</t>
  </si>
  <si>
    <t>6성(2),5성(15)</t>
    <phoneticPr fontId="3" type="noConversion"/>
  </si>
  <si>
    <t>2550만</t>
  </si>
  <si>
    <t>11성,11성</t>
    <phoneticPr fontId="3" type="noConversion"/>
  </si>
  <si>
    <t>6성(2).5성(5)</t>
    <phoneticPr fontId="3" type="noConversion"/>
  </si>
  <si>
    <t>2850만</t>
  </si>
  <si>
    <t>6성(2),5성(7)</t>
    <phoneticPr fontId="3" type="noConversion"/>
  </si>
  <si>
    <t>3150만</t>
  </si>
  <si>
    <t>12성,12성</t>
    <phoneticPr fontId="3" type="noConversion"/>
  </si>
  <si>
    <t>6성(1),5성(8)</t>
    <phoneticPr fontId="3" type="noConversion"/>
  </si>
  <si>
    <t>3450만</t>
  </si>
  <si>
    <t>6성(1),5성(10)</t>
    <phoneticPr fontId="3" type="noConversion"/>
  </si>
  <si>
    <t>3750만</t>
  </si>
  <si>
    <t>13성,12성</t>
    <phoneticPr fontId="3" type="noConversion"/>
  </si>
  <si>
    <t>5성(11)</t>
    <phoneticPr fontId="3" type="noConversion"/>
  </si>
  <si>
    <t>12성(1),10성(2)</t>
    <phoneticPr fontId="3" type="noConversion"/>
  </si>
  <si>
    <t>4050만</t>
  </si>
  <si>
    <t>14성,13성</t>
    <phoneticPr fontId="3" type="noConversion"/>
  </si>
  <si>
    <t>12성(1),9성(2)</t>
    <phoneticPr fontId="3" type="noConversion"/>
  </si>
  <si>
    <t>4350만</t>
  </si>
  <si>
    <t>7성(1),6성(1),5성(1)</t>
    <phoneticPr fontId="3" type="noConversion"/>
  </si>
  <si>
    <t>4650만</t>
  </si>
  <si>
    <t>14성,14성</t>
    <phoneticPr fontId="3" type="noConversion"/>
  </si>
  <si>
    <t>7성(2),5성(2)</t>
    <phoneticPr fontId="3" type="noConversion"/>
  </si>
  <si>
    <t>4950만</t>
  </si>
  <si>
    <t>15성,15성</t>
    <phoneticPr fontId="3" type="noConversion"/>
  </si>
  <si>
    <t>빛불물</t>
    <phoneticPr fontId="3" type="noConversion"/>
  </si>
  <si>
    <t>총 공격력</t>
    <phoneticPr fontId="3" type="noConversion"/>
  </si>
  <si>
    <t>스테이지 클리어</t>
    <phoneticPr fontId="3" type="noConversion"/>
  </si>
  <si>
    <t>5(5)</t>
    <phoneticPr fontId="3" type="noConversion"/>
  </si>
  <si>
    <t>8,7,6(6)</t>
    <phoneticPr fontId="3" type="noConversion"/>
  </si>
  <si>
    <t>600만</t>
    <phoneticPr fontId="3" type="noConversion"/>
  </si>
  <si>
    <t>5(10)</t>
    <phoneticPr fontId="3" type="noConversion"/>
  </si>
  <si>
    <t>9,7,6(6)</t>
    <phoneticPr fontId="3" type="noConversion"/>
  </si>
  <si>
    <t>5(18)</t>
    <phoneticPr fontId="3" type="noConversion"/>
  </si>
  <si>
    <t>6(3)</t>
    <phoneticPr fontId="3" type="noConversion"/>
  </si>
  <si>
    <t>6,5(22)</t>
    <phoneticPr fontId="3" type="noConversion"/>
  </si>
  <si>
    <t>6(6)</t>
    <phoneticPr fontId="3" type="noConversion"/>
  </si>
  <si>
    <t>1500만</t>
  </si>
  <si>
    <t>5(23)</t>
    <phoneticPr fontId="3" type="noConversion"/>
  </si>
  <si>
    <t>15성(완성)</t>
    <phoneticPr fontId="3" type="noConversion"/>
  </si>
  <si>
    <t>(원숭이) 15861.3%</t>
    <phoneticPr fontId="3" type="noConversion"/>
  </si>
  <si>
    <t>15성(원숭이) 몰빵</t>
    <phoneticPr fontId="3" type="noConversion"/>
  </si>
  <si>
    <t>6(2),5(8)</t>
    <phoneticPr fontId="3" type="noConversion"/>
  </si>
  <si>
    <t>(호랑이) 1631.1%</t>
    <phoneticPr fontId="3" type="noConversion"/>
  </si>
  <si>
    <t>2100만</t>
  </si>
  <si>
    <t>6(2),5(4)</t>
    <phoneticPr fontId="3" type="noConversion"/>
  </si>
  <si>
    <t>2400만</t>
  </si>
  <si>
    <t>5(3)</t>
    <phoneticPr fontId="3" type="noConversion"/>
  </si>
  <si>
    <t>2700만</t>
  </si>
  <si>
    <t>6,5(3)</t>
    <phoneticPr fontId="3" type="noConversion"/>
  </si>
  <si>
    <t>3000만</t>
  </si>
  <si>
    <t>5(6)</t>
    <phoneticPr fontId="3" type="noConversion"/>
  </si>
  <si>
    <t>10,9,8</t>
    <phoneticPr fontId="3" type="noConversion"/>
  </si>
  <si>
    <t>3300만</t>
  </si>
  <si>
    <t>5(8)</t>
    <phoneticPr fontId="3" type="noConversion"/>
  </si>
  <si>
    <t>12,11,8</t>
    <phoneticPr fontId="3" type="noConversion"/>
  </si>
  <si>
    <t>3600만</t>
  </si>
  <si>
    <t>8,5(5)</t>
    <phoneticPr fontId="3" type="noConversion"/>
  </si>
  <si>
    <t>13,11</t>
    <phoneticPr fontId="3" type="noConversion"/>
  </si>
  <si>
    <t>3900만</t>
  </si>
  <si>
    <t>5(7)</t>
    <phoneticPr fontId="3" type="noConversion"/>
  </si>
  <si>
    <t>4200만</t>
  </si>
  <si>
    <t>5(11)</t>
    <phoneticPr fontId="3" type="noConversion"/>
  </si>
  <si>
    <r>
      <t>15성,</t>
    </r>
    <r>
      <rPr>
        <b/>
        <sz val="11"/>
        <color rgb="FFFF0000"/>
        <rFont val="맑은 고딕"/>
        <family val="3"/>
        <charset val="129"/>
        <scheme val="minor"/>
      </rPr>
      <t>15성(완성)</t>
    </r>
    <phoneticPr fontId="3" type="noConversion"/>
  </si>
  <si>
    <t>4500만</t>
  </si>
  <si>
    <t>4800만</t>
  </si>
  <si>
    <t>5100만</t>
  </si>
  <si>
    <t>5400만</t>
  </si>
  <si>
    <t>5700만</t>
  </si>
  <si>
    <t>(호랑이) 158163.8</t>
    <phoneticPr fontId="3" type="noConversion"/>
  </si>
  <si>
    <t>(뱀) 15073.3%</t>
    <phoneticPr fontId="3" type="noConversion"/>
  </si>
  <si>
    <t>신수 테스트 레레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</si>
</sst>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0.0%"/>
  </numFmts>
  <fonts count="14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2"/>
      <color theme="1"/>
      <name val="굴림"/>
      <family val="3"/>
      <charset val="129"/>
    </font>
    <font>
      <b/>
      <sz val="12"/>
      <color theme="1"/>
      <name val="Arial"/>
      <family val="2"/>
    </font>
    <font>
      <b/>
      <sz val="12"/>
      <color theme="1"/>
      <name val="Segoe UI Symbol"/>
      <family val="2"/>
    </font>
    <font>
      <sz val="12"/>
      <color theme="1"/>
      <name val="Arial"/>
      <family val="2"/>
    </font>
    <font>
      <sz val="12"/>
      <color theme="1"/>
      <name val="굴림"/>
      <family val="3"/>
      <charset val="129"/>
    </font>
    <font>
      <sz val="10"/>
      <color theme="1"/>
      <name val="맑은 고딕"/>
      <family val="3"/>
      <charset val="129"/>
      <scheme val="minor"/>
    </font>
    <font>
      <sz val="12"/>
      <color theme="1"/>
      <name val="맑은 고딕"/>
      <family val="2"/>
      <charset val="129"/>
    </font>
    <font>
      <b/>
      <sz val="12"/>
      <color theme="1"/>
      <name val="Segoe UI Emoji"/>
      <family val="2"/>
    </font>
    <font>
      <b/>
      <sz val="11"/>
      <color rgb="FFFF0000"/>
      <name val="맑은 고딕"/>
      <family val="3"/>
      <charset val="129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/>
        <bgColor indexed="64"/>
      </patternFill>
    </fill>
  </fills>
  <borders count="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</borders>
  <cellStyleXfs count="4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2" fillId="2" borderId="0" applyNumberFormat="0" applyBorder="0" applyAlignment="0" applyProtection="0">
      <alignment vertical="center"/>
    </xf>
  </cellStyleXfs>
  <cellXfs count="39">
    <xf numFmtId="0" fontId="0" fillId="0" borderId="0" xfId="0">
      <alignment vertical="center"/>
    </xf>
    <xf numFmtId="1" fontId="0" fillId="0" borderId="0" xfId="0" applyNumberFormat="1">
      <alignment vertical="center"/>
    </xf>
    <xf numFmtId="0" fontId="2" fillId="2" borderId="0" xfId="3">
      <alignment vertical="center"/>
    </xf>
    <xf numFmtId="0" fontId="0" fillId="3" borderId="0" xfId="0" applyFill="1" applyAlignment="1">
      <alignment vertical="top"/>
    </xf>
    <xf numFmtId="0" fontId="0" fillId="3" borderId="0" xfId="0" applyFill="1">
      <alignment vertical="center"/>
    </xf>
    <xf numFmtId="0" fontId="0" fillId="4" borderId="0" xfId="0" applyFill="1">
      <alignment vertical="center"/>
    </xf>
    <xf numFmtId="1" fontId="0" fillId="4" borderId="0" xfId="0" applyNumberFormat="1" applyFill="1">
      <alignment vertical="center"/>
    </xf>
    <xf numFmtId="9" fontId="0" fillId="4" borderId="0" xfId="0" applyNumberFormat="1" applyFill="1">
      <alignment vertical="center"/>
    </xf>
    <xf numFmtId="1" fontId="0" fillId="4" borderId="0" xfId="2" applyNumberFormat="1" applyFont="1" applyFill="1">
      <alignment vertical="center"/>
    </xf>
    <xf numFmtId="9" fontId="0" fillId="4" borderId="0" xfId="2" applyFont="1" applyFill="1">
      <alignment vertical="center"/>
    </xf>
    <xf numFmtId="9" fontId="0" fillId="3" borderId="0" xfId="2" applyFont="1" applyFill="1">
      <alignment vertical="center"/>
    </xf>
    <xf numFmtId="1" fontId="0" fillId="3" borderId="0" xfId="2" applyNumberFormat="1" applyFont="1" applyFill="1">
      <alignment vertical="center"/>
    </xf>
    <xf numFmtId="9" fontId="0" fillId="3" borderId="0" xfId="1" applyNumberFormat="1" applyFont="1" applyFill="1">
      <alignment vertical="center"/>
    </xf>
    <xf numFmtId="0" fontId="0" fillId="5" borderId="0" xfId="0" applyFill="1">
      <alignment vertical="center"/>
    </xf>
    <xf numFmtId="0" fontId="4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9" fontId="0" fillId="0" borderId="0" xfId="2" applyFont="1">
      <alignment vertical="center"/>
    </xf>
    <xf numFmtId="10" fontId="0" fillId="0" borderId="0" xfId="2" applyNumberFormat="1" applyFont="1">
      <alignment vertical="center"/>
    </xf>
    <xf numFmtId="0" fontId="5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left" vertical="center" wrapText="1"/>
    </xf>
    <xf numFmtId="0" fontId="10" fillId="0" borderId="1" xfId="0" applyFont="1" applyBorder="1" applyAlignment="1">
      <alignment vertical="center" wrapText="1"/>
    </xf>
    <xf numFmtId="0" fontId="12" fillId="0" borderId="1" xfId="0" applyFont="1" applyBorder="1" applyAlignment="1">
      <alignment horizontal="left" vertical="center" wrapText="1"/>
    </xf>
    <xf numFmtId="10" fontId="0" fillId="0" borderId="0" xfId="0" applyNumberFormat="1">
      <alignment vertical="center"/>
    </xf>
    <xf numFmtId="0" fontId="4" fillId="0" borderId="0" xfId="0" applyFont="1" applyAlignment="1">
      <alignment vertical="center" wrapText="1"/>
    </xf>
    <xf numFmtId="0" fontId="0" fillId="0" borderId="2" xfId="0" applyBorder="1">
      <alignment vertical="center"/>
    </xf>
    <xf numFmtId="0" fontId="0" fillId="5" borderId="2" xfId="0" applyFill="1" applyBorder="1">
      <alignment vertical="center"/>
    </xf>
    <xf numFmtId="0" fontId="0" fillId="6" borderId="2" xfId="0" applyFill="1" applyBorder="1">
      <alignment vertical="center"/>
    </xf>
    <xf numFmtId="0" fontId="0" fillId="3" borderId="2" xfId="0" applyFill="1" applyBorder="1">
      <alignment vertical="center"/>
    </xf>
    <xf numFmtId="0" fontId="4" fillId="0" borderId="2" xfId="0" applyFont="1" applyBorder="1">
      <alignment vertical="center"/>
    </xf>
    <xf numFmtId="9" fontId="0" fillId="0" borderId="2" xfId="0" applyNumberFormat="1" applyBorder="1">
      <alignment vertical="center"/>
    </xf>
    <xf numFmtId="0" fontId="0" fillId="7" borderId="2" xfId="0" applyFill="1" applyBorder="1">
      <alignment vertical="center"/>
    </xf>
    <xf numFmtId="0" fontId="0" fillId="8" borderId="2" xfId="0" applyFill="1" applyBorder="1">
      <alignment vertical="center"/>
    </xf>
    <xf numFmtId="0" fontId="4" fillId="3" borderId="2" xfId="0" applyFont="1" applyFill="1" applyBorder="1">
      <alignment vertical="center"/>
    </xf>
    <xf numFmtId="0" fontId="4" fillId="9" borderId="2" xfId="0" applyFont="1" applyFill="1" applyBorder="1">
      <alignment vertical="center"/>
    </xf>
    <xf numFmtId="0" fontId="4" fillId="10" borderId="2" xfId="0" applyFont="1" applyFill="1" applyBorder="1">
      <alignment vertical="center"/>
    </xf>
    <xf numFmtId="176" fontId="0" fillId="7" borderId="2" xfId="0" applyNumberFormat="1" applyFill="1" applyBorder="1" applyAlignment="1">
      <alignment horizontal="right" vertical="center"/>
    </xf>
    <xf numFmtId="0" fontId="13" fillId="10" borderId="2" xfId="0" applyFont="1" applyFill="1" applyBorder="1">
      <alignment vertical="center"/>
    </xf>
    <xf numFmtId="0" fontId="13" fillId="9" borderId="2" xfId="0" applyFont="1" applyFill="1" applyBorder="1">
      <alignment vertical="center"/>
    </xf>
  </cellXfs>
  <cellStyles count="4">
    <cellStyle name="백분율" xfId="2" builtinId="5"/>
    <cellStyle name="쉼표 [0]" xfId="1" builtinId="6"/>
    <cellStyle name="좋음" xfId="3" builtinId="2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0</xdr:colOff>
      <xdr:row>37</xdr:row>
      <xdr:rowOff>11801</xdr:rowOff>
    </xdr:from>
    <xdr:to>
      <xdr:col>12</xdr:col>
      <xdr:colOff>447675</xdr:colOff>
      <xdr:row>63</xdr:row>
      <xdr:rowOff>0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7E905F4F-3EF7-46BC-9F0C-6254F10A72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34000" y="11801"/>
          <a:ext cx="3190875" cy="543649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87AC3C-2FDE-4CCB-9503-4C36FF152B64}">
  <dimension ref="B2:I11"/>
  <sheetViews>
    <sheetView workbookViewId="0">
      <selection activeCell="G16" sqref="G16"/>
    </sheetView>
  </sheetViews>
  <sheetFormatPr defaultRowHeight="16.5" x14ac:dyDescent="0.3"/>
  <sheetData>
    <row r="2" spans="2:9" x14ac:dyDescent="0.3">
      <c r="C2" t="s">
        <v>0</v>
      </c>
    </row>
    <row r="3" spans="2:9" x14ac:dyDescent="0.3">
      <c r="D3" t="s">
        <v>8</v>
      </c>
      <c r="G3" t="s">
        <v>9</v>
      </c>
      <c r="H3" t="s">
        <v>1</v>
      </c>
      <c r="I3" t="s">
        <v>2</v>
      </c>
    </row>
    <row r="4" spans="2:9" x14ac:dyDescent="0.3">
      <c r="B4" t="s">
        <v>3</v>
      </c>
      <c r="C4">
        <v>20</v>
      </c>
      <c r="D4">
        <v>4400</v>
      </c>
      <c r="E4">
        <f>D4/100</f>
        <v>44</v>
      </c>
      <c r="F4">
        <f>G4/100</f>
        <v>28</v>
      </c>
      <c r="G4">
        <v>2800</v>
      </c>
      <c r="H4" s="1">
        <f>30*LOG10(E4)</f>
        <v>49.303580294585622</v>
      </c>
      <c r="I4" s="1">
        <f>30*LOG10(F4)</f>
        <v>43.414740940266576</v>
      </c>
    </row>
    <row r="5" spans="2:9" x14ac:dyDescent="0.3">
      <c r="B5" t="s">
        <v>4</v>
      </c>
      <c r="C5">
        <v>19</v>
      </c>
      <c r="D5">
        <v>15000</v>
      </c>
      <c r="E5">
        <f t="shared" ref="E5:E11" si="0">D5/100</f>
        <v>150</v>
      </c>
      <c r="F5">
        <f t="shared" ref="F5:F11" si="1">G5/100</f>
        <v>14</v>
      </c>
      <c r="G5">
        <v>1400</v>
      </c>
      <c r="H5" s="1">
        <f t="shared" ref="H5:I11" si="2">30*LOG10(E5)</f>
        <v>65.28273777167044</v>
      </c>
      <c r="I5" s="1">
        <f t="shared" si="2"/>
        <v>34.383841070347138</v>
      </c>
    </row>
    <row r="6" spans="2:9" x14ac:dyDescent="0.3">
      <c r="B6" t="s">
        <v>5</v>
      </c>
      <c r="C6">
        <v>18</v>
      </c>
      <c r="D6">
        <v>253000</v>
      </c>
      <c r="E6">
        <f t="shared" si="0"/>
        <v>2530</v>
      </c>
      <c r="F6">
        <f t="shared" si="1"/>
        <v>7</v>
      </c>
      <c r="G6">
        <v>700</v>
      </c>
      <c r="H6" s="1">
        <f>40*LOG10(E6)</f>
        <v>136.12482084703271</v>
      </c>
      <c r="I6" s="1">
        <f t="shared" si="2"/>
        <v>25.352941200427704</v>
      </c>
    </row>
    <row r="7" spans="2:9" x14ac:dyDescent="0.3">
      <c r="B7" t="s">
        <v>6</v>
      </c>
      <c r="C7">
        <v>17</v>
      </c>
      <c r="D7">
        <v>146</v>
      </c>
      <c r="E7">
        <f t="shared" si="0"/>
        <v>1.46</v>
      </c>
      <c r="F7">
        <f t="shared" si="1"/>
        <v>3.56</v>
      </c>
      <c r="G7">
        <v>356</v>
      </c>
      <c r="H7" s="1">
        <f t="shared" si="2"/>
        <v>4.9305856735331126</v>
      </c>
      <c r="I7" s="1">
        <f t="shared" si="2"/>
        <v>16.543499939186255</v>
      </c>
    </row>
    <row r="8" spans="2:9" x14ac:dyDescent="0.3">
      <c r="B8" t="s">
        <v>7</v>
      </c>
      <c r="C8">
        <v>16</v>
      </c>
      <c r="D8">
        <v>765</v>
      </c>
      <c r="E8">
        <f t="shared" si="0"/>
        <v>7.65</v>
      </c>
      <c r="F8">
        <f t="shared" si="1"/>
        <v>1.65</v>
      </c>
      <c r="G8">
        <v>165</v>
      </c>
      <c r="H8" s="1">
        <f t="shared" si="2"/>
        <v>26.509843054608528</v>
      </c>
      <c r="I8" s="1">
        <f t="shared" si="2"/>
        <v>6.524518326417188</v>
      </c>
    </row>
    <row r="9" spans="2:9" x14ac:dyDescent="0.3">
      <c r="B9" t="s">
        <v>7</v>
      </c>
      <c r="C9">
        <v>15</v>
      </c>
      <c r="D9">
        <v>760</v>
      </c>
      <c r="E9">
        <f t="shared" si="0"/>
        <v>7.6</v>
      </c>
      <c r="F9">
        <f t="shared" si="1"/>
        <v>1.6</v>
      </c>
      <c r="G9">
        <v>160</v>
      </c>
      <c r="H9" s="1">
        <f t="shared" si="2"/>
        <v>26.424407768423741</v>
      </c>
      <c r="I9" s="1">
        <f t="shared" si="2"/>
        <v>6.1235994796777433</v>
      </c>
    </row>
    <row r="10" spans="2:9" x14ac:dyDescent="0.3">
      <c r="B10" t="s">
        <v>7</v>
      </c>
      <c r="C10">
        <v>14</v>
      </c>
      <c r="D10">
        <v>755</v>
      </c>
      <c r="E10">
        <f t="shared" si="0"/>
        <v>7.55</v>
      </c>
      <c r="F10">
        <f t="shared" si="1"/>
        <v>1.55</v>
      </c>
      <c r="G10">
        <v>155</v>
      </c>
      <c r="H10" s="1">
        <f t="shared" si="2"/>
        <v>26.338408548875648</v>
      </c>
      <c r="I10" s="1">
        <f t="shared" si="2"/>
        <v>5.7099509451087451</v>
      </c>
    </row>
    <row r="11" spans="2:9" x14ac:dyDescent="0.3">
      <c r="B11" t="s">
        <v>7</v>
      </c>
      <c r="C11">
        <v>13</v>
      </c>
      <c r="D11">
        <v>750</v>
      </c>
      <c r="E11">
        <f t="shared" si="0"/>
        <v>7.5</v>
      </c>
      <c r="F11">
        <f t="shared" si="1"/>
        <v>1.5</v>
      </c>
      <c r="G11">
        <v>150</v>
      </c>
      <c r="H11" s="1">
        <f t="shared" si="2"/>
        <v>26.251837901751003</v>
      </c>
      <c r="I11" s="1">
        <f t="shared" si="2"/>
        <v>5.2827377716704369</v>
      </c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29A37-4F69-4716-BFD6-800ED9B3FEBC}">
  <dimension ref="C3:T130"/>
  <sheetViews>
    <sheetView tabSelected="1" topLeftCell="B27" workbookViewId="0">
      <selection activeCell="N38" sqref="N38"/>
    </sheetView>
  </sheetViews>
  <sheetFormatPr defaultRowHeight="16.5" x14ac:dyDescent="0.3"/>
  <sheetData>
    <row r="3" spans="3:20" x14ac:dyDescent="0.3">
      <c r="C3" s="2" t="s">
        <v>10</v>
      </c>
      <c r="D3" s="3" t="s">
        <v>11</v>
      </c>
      <c r="E3" s="4" t="s">
        <v>12</v>
      </c>
      <c r="F3" s="4" t="s">
        <v>13</v>
      </c>
      <c r="G3" s="4" t="s">
        <v>14</v>
      </c>
      <c r="H3" s="5" t="s">
        <v>15</v>
      </c>
      <c r="I3" s="5" t="s">
        <v>16</v>
      </c>
      <c r="J3" s="5" t="s">
        <v>13</v>
      </c>
      <c r="K3" s="5" t="s">
        <v>14</v>
      </c>
      <c r="M3" s="2" t="s">
        <v>10</v>
      </c>
      <c r="N3" s="13" t="s">
        <v>17</v>
      </c>
      <c r="P3" t="s">
        <v>18</v>
      </c>
      <c r="Q3" t="s">
        <v>19</v>
      </c>
      <c r="R3" t="s">
        <v>20</v>
      </c>
      <c r="S3" t="s">
        <v>21</v>
      </c>
      <c r="T3" t="s">
        <v>22</v>
      </c>
    </row>
    <row r="4" spans="3:20" x14ac:dyDescent="0.3">
      <c r="C4" s="2">
        <v>3</v>
      </c>
      <c r="D4" s="4">
        <v>0</v>
      </c>
      <c r="E4" s="4">
        <v>0</v>
      </c>
      <c r="F4" s="4"/>
      <c r="G4" s="4"/>
      <c r="H4" s="6">
        <v>0</v>
      </c>
      <c r="I4" s="7">
        <v>1</v>
      </c>
      <c r="J4" s="8">
        <f>30*LOG(K4)</f>
        <v>0</v>
      </c>
      <c r="K4" s="9">
        <f>(I4-1)*0.8+1</f>
        <v>1</v>
      </c>
      <c r="M4" s="2">
        <v>15</v>
      </c>
      <c r="N4" s="13">
        <v>500</v>
      </c>
      <c r="P4">
        <v>1</v>
      </c>
      <c r="Q4" t="s">
        <v>23</v>
      </c>
      <c r="R4">
        <v>650</v>
      </c>
      <c r="S4">
        <v>950</v>
      </c>
      <c r="T4">
        <v>0</v>
      </c>
    </row>
    <row r="5" spans="3:20" x14ac:dyDescent="0.3">
      <c r="C5" s="2">
        <v>4</v>
      </c>
      <c r="D5" s="4">
        <v>0</v>
      </c>
      <c r="E5" s="4">
        <v>0</v>
      </c>
      <c r="F5" s="4"/>
      <c r="G5" s="4"/>
      <c r="H5" s="6">
        <v>1</v>
      </c>
      <c r="I5" s="9">
        <f t="shared" ref="I5:I16" si="0">10^(H5/30)</f>
        <v>1.0797751623277096</v>
      </c>
      <c r="J5" s="8">
        <f t="shared" ref="J5:J16" si="1">30*LOG(K5)</f>
        <v>0.80604611663071013</v>
      </c>
      <c r="K5" s="9">
        <f>(I5-1)*0.8+1</f>
        <v>1.0638201298621677</v>
      </c>
      <c r="M5" s="2">
        <v>14</v>
      </c>
      <c r="N5" s="13">
        <v>300</v>
      </c>
      <c r="P5">
        <v>2</v>
      </c>
      <c r="Q5" t="s">
        <v>24</v>
      </c>
      <c r="R5">
        <v>800</v>
      </c>
      <c r="S5">
        <v>800</v>
      </c>
      <c r="T5">
        <v>0</v>
      </c>
    </row>
    <row r="6" spans="3:20" x14ac:dyDescent="0.3">
      <c r="C6" s="2">
        <v>5</v>
      </c>
      <c r="D6" s="4">
        <v>5</v>
      </c>
      <c r="E6" s="10">
        <f t="shared" ref="E6:E16" si="2">10^(D6/30)</f>
        <v>1.4677992676220697</v>
      </c>
      <c r="F6" s="11">
        <f>30*LOG(G6)</f>
        <v>4.141872007117084</v>
      </c>
      <c r="G6" s="10">
        <f>(E6-1)*0.8+1</f>
        <v>1.3742394140976557</v>
      </c>
      <c r="H6" s="5">
        <v>3</v>
      </c>
      <c r="I6" s="9">
        <f t="shared" si="0"/>
        <v>1.2589254117941673</v>
      </c>
      <c r="J6" s="8">
        <f t="shared" si="1"/>
        <v>2.4527327861906976</v>
      </c>
      <c r="K6" s="9">
        <f>(I6-1)*0.8+1</f>
        <v>1.2071403294353338</v>
      </c>
      <c r="M6" s="2">
        <v>13</v>
      </c>
      <c r="N6" s="13">
        <v>200</v>
      </c>
      <c r="P6">
        <v>3</v>
      </c>
      <c r="Q6" t="s">
        <v>25</v>
      </c>
      <c r="R6">
        <v>950</v>
      </c>
      <c r="S6">
        <v>650</v>
      </c>
      <c r="T6">
        <v>0</v>
      </c>
    </row>
    <row r="7" spans="3:20" x14ac:dyDescent="0.3">
      <c r="C7" s="2">
        <v>6</v>
      </c>
      <c r="D7" s="4">
        <v>10</v>
      </c>
      <c r="E7" s="10">
        <f t="shared" si="2"/>
        <v>2.1544346900318838</v>
      </c>
      <c r="F7" s="11">
        <f t="shared" ref="F7:F16" si="3">30*LOG(G7)</f>
        <v>8.5230891637938875</v>
      </c>
      <c r="G7" s="10">
        <f t="shared" ref="G7:G16" si="4">(E7-1)*0.8+1</f>
        <v>1.9235477520255071</v>
      </c>
      <c r="H7" s="5">
        <v>6</v>
      </c>
      <c r="I7" s="9">
        <f t="shared" si="0"/>
        <v>1.5848931924611136</v>
      </c>
      <c r="J7" s="8">
        <f t="shared" si="1"/>
        <v>5.0010232923370284</v>
      </c>
      <c r="K7" s="9">
        <f t="shared" ref="K7:K16" si="5">(I7-1)*0.8+1</f>
        <v>1.4679145539688909</v>
      </c>
      <c r="M7" s="2">
        <v>12</v>
      </c>
      <c r="N7" s="13">
        <v>150</v>
      </c>
      <c r="P7">
        <v>4</v>
      </c>
      <c r="Q7" t="s">
        <v>26</v>
      </c>
      <c r="R7">
        <v>700</v>
      </c>
      <c r="S7">
        <v>1000</v>
      </c>
      <c r="T7">
        <v>0</v>
      </c>
    </row>
    <row r="8" spans="3:20" x14ac:dyDescent="0.3">
      <c r="C8" s="2">
        <v>7</v>
      </c>
      <c r="D8" s="4">
        <v>15</v>
      </c>
      <c r="E8" s="10">
        <f t="shared" si="2"/>
        <v>3.1622776601683795</v>
      </c>
      <c r="F8" s="11">
        <f t="shared" si="3"/>
        <v>13.084030495989198</v>
      </c>
      <c r="G8" s="10">
        <f t="shared" si="4"/>
        <v>2.7298221281347037</v>
      </c>
      <c r="H8" s="5">
        <v>10</v>
      </c>
      <c r="I8" s="9">
        <f t="shared" si="0"/>
        <v>2.1544346900318838</v>
      </c>
      <c r="J8" s="8">
        <f t="shared" si="1"/>
        <v>8.5230891637938875</v>
      </c>
      <c r="K8" s="9">
        <f t="shared" si="5"/>
        <v>1.9235477520255071</v>
      </c>
      <c r="M8" s="2">
        <v>11</v>
      </c>
      <c r="N8" s="13">
        <v>100</v>
      </c>
      <c r="P8">
        <v>5</v>
      </c>
      <c r="Q8" t="s">
        <v>27</v>
      </c>
      <c r="R8">
        <v>850</v>
      </c>
      <c r="S8">
        <v>850</v>
      </c>
      <c r="T8">
        <v>0</v>
      </c>
    </row>
    <row r="9" spans="3:20" x14ac:dyDescent="0.3">
      <c r="C9" s="2">
        <v>8</v>
      </c>
      <c r="D9" s="4">
        <v>20</v>
      </c>
      <c r="E9" s="10">
        <f t="shared" si="2"/>
        <v>4.6415888336127793</v>
      </c>
      <c r="F9" s="11">
        <f t="shared" si="3"/>
        <v>17.77619795767443</v>
      </c>
      <c r="G9" s="10">
        <f t="shared" si="4"/>
        <v>3.9132710668902235</v>
      </c>
      <c r="H9" s="5">
        <v>15</v>
      </c>
      <c r="I9" s="9">
        <f t="shared" si="0"/>
        <v>3.1622776601683795</v>
      </c>
      <c r="J9" s="8">
        <f t="shared" si="1"/>
        <v>13.084030495989198</v>
      </c>
      <c r="K9" s="9">
        <f t="shared" si="5"/>
        <v>2.7298221281347037</v>
      </c>
      <c r="M9" s="2">
        <v>10</v>
      </c>
      <c r="N9" s="13">
        <v>70</v>
      </c>
      <c r="P9">
        <v>6</v>
      </c>
      <c r="Q9" t="s">
        <v>28</v>
      </c>
      <c r="R9">
        <v>1000</v>
      </c>
      <c r="S9">
        <v>700</v>
      </c>
      <c r="T9">
        <v>0</v>
      </c>
    </row>
    <row r="10" spans="3:20" x14ac:dyDescent="0.3">
      <c r="C10" s="2">
        <v>9</v>
      </c>
      <c r="D10" s="4">
        <v>25</v>
      </c>
      <c r="E10" s="10">
        <f t="shared" si="2"/>
        <v>6.812920690579614</v>
      </c>
      <c r="F10" s="11">
        <f t="shared" si="3"/>
        <v>22.562229497546682</v>
      </c>
      <c r="G10" s="10">
        <f t="shared" si="4"/>
        <v>5.650336552463691</v>
      </c>
      <c r="H10" s="5">
        <v>20</v>
      </c>
      <c r="I10" s="9">
        <f t="shared" si="0"/>
        <v>4.6415888336127793</v>
      </c>
      <c r="J10" s="8">
        <f t="shared" si="1"/>
        <v>17.77619795767443</v>
      </c>
      <c r="K10" s="9">
        <f t="shared" si="5"/>
        <v>3.9132710668902235</v>
      </c>
      <c r="M10" s="2">
        <v>9</v>
      </c>
      <c r="N10" s="13">
        <v>50</v>
      </c>
      <c r="P10">
        <v>7</v>
      </c>
      <c r="Q10" t="s">
        <v>29</v>
      </c>
      <c r="R10">
        <v>600</v>
      </c>
      <c r="S10">
        <v>900</v>
      </c>
      <c r="T10">
        <v>0</v>
      </c>
    </row>
    <row r="11" spans="3:20" x14ac:dyDescent="0.3">
      <c r="C11" s="2">
        <v>10</v>
      </c>
      <c r="D11" s="4">
        <v>30</v>
      </c>
      <c r="E11" s="10">
        <f t="shared" si="2"/>
        <v>10</v>
      </c>
      <c r="F11" s="11">
        <f t="shared" si="3"/>
        <v>27.414415571511501</v>
      </c>
      <c r="G11" s="10">
        <f t="shared" si="4"/>
        <v>8.1999999999999993</v>
      </c>
      <c r="H11" s="5">
        <v>25</v>
      </c>
      <c r="I11" s="9">
        <f t="shared" si="0"/>
        <v>6.812920690579614</v>
      </c>
      <c r="J11" s="8">
        <f t="shared" si="1"/>
        <v>22.562229497546682</v>
      </c>
      <c r="K11" s="9">
        <f t="shared" si="5"/>
        <v>5.650336552463691</v>
      </c>
      <c r="M11" s="2">
        <v>8</v>
      </c>
      <c r="N11" s="13">
        <v>30</v>
      </c>
      <c r="P11">
        <v>8</v>
      </c>
      <c r="Q11" t="s">
        <v>30</v>
      </c>
      <c r="R11">
        <v>750</v>
      </c>
      <c r="S11">
        <v>750</v>
      </c>
      <c r="T11">
        <v>0</v>
      </c>
    </row>
    <row r="12" spans="3:20" x14ac:dyDescent="0.3">
      <c r="C12" s="2">
        <v>11</v>
      </c>
      <c r="D12" s="4">
        <v>45</v>
      </c>
      <c r="E12" s="10">
        <f t="shared" si="2"/>
        <v>31.622776601683803</v>
      </c>
      <c r="F12" s="11">
        <f t="shared" si="3"/>
        <v>42.195296572266869</v>
      </c>
      <c r="G12" s="10">
        <f t="shared" si="4"/>
        <v>25.498221281347043</v>
      </c>
      <c r="H12" s="5">
        <v>35</v>
      </c>
      <c r="I12" s="9">
        <f t="shared" si="0"/>
        <v>14.677992676220699</v>
      </c>
      <c r="J12" s="8">
        <f t="shared" si="1"/>
        <v>32.312742009793837</v>
      </c>
      <c r="K12" s="9">
        <f t="shared" si="5"/>
        <v>11.94239414097656</v>
      </c>
      <c r="M12" s="2">
        <v>7</v>
      </c>
      <c r="N12" s="13">
        <v>20</v>
      </c>
      <c r="P12">
        <v>9</v>
      </c>
      <c r="Q12" t="s">
        <v>31</v>
      </c>
      <c r="R12">
        <v>900</v>
      </c>
      <c r="S12">
        <v>600</v>
      </c>
      <c r="T12">
        <v>0</v>
      </c>
    </row>
    <row r="13" spans="3:20" x14ac:dyDescent="0.3">
      <c r="C13" s="2">
        <v>12</v>
      </c>
      <c r="D13" s="4">
        <v>60</v>
      </c>
      <c r="E13" s="10">
        <f t="shared" si="2"/>
        <v>100</v>
      </c>
      <c r="F13" s="11">
        <f t="shared" si="3"/>
        <v>57.125231048524903</v>
      </c>
      <c r="G13" s="10">
        <f t="shared" si="4"/>
        <v>80.2</v>
      </c>
      <c r="H13" s="5">
        <v>45</v>
      </c>
      <c r="I13" s="9">
        <f t="shared" si="0"/>
        <v>31.622776601683803</v>
      </c>
      <c r="J13" s="8">
        <f t="shared" si="1"/>
        <v>42.195296572266869</v>
      </c>
      <c r="K13" s="9">
        <f t="shared" si="5"/>
        <v>25.498221281347043</v>
      </c>
      <c r="M13" s="2">
        <v>6</v>
      </c>
      <c r="N13" s="13">
        <v>10</v>
      </c>
      <c r="P13">
        <v>10</v>
      </c>
      <c r="Q13" t="s">
        <v>32</v>
      </c>
      <c r="R13">
        <v>800</v>
      </c>
      <c r="S13">
        <v>1000</v>
      </c>
      <c r="T13">
        <v>1000</v>
      </c>
    </row>
    <row r="14" spans="3:20" x14ac:dyDescent="0.3">
      <c r="C14" s="2">
        <v>13</v>
      </c>
      <c r="D14" s="4">
        <v>75</v>
      </c>
      <c r="E14" s="10">
        <f t="shared" si="2"/>
        <v>316.22776601683825</v>
      </c>
      <c r="F14" s="11">
        <f t="shared" si="3"/>
        <v>72.102995738427595</v>
      </c>
      <c r="G14" s="10">
        <f t="shared" si="4"/>
        <v>253.18221281347061</v>
      </c>
      <c r="H14" s="5">
        <v>55</v>
      </c>
      <c r="I14" s="9">
        <f t="shared" si="0"/>
        <v>68.129206905796124</v>
      </c>
      <c r="J14" s="8">
        <f t="shared" si="1"/>
        <v>52.140421389901775</v>
      </c>
      <c r="K14" s="9">
        <f t="shared" si="5"/>
        <v>54.703365524636901</v>
      </c>
      <c r="M14" s="2">
        <v>5</v>
      </c>
      <c r="N14" s="13">
        <v>5</v>
      </c>
      <c r="P14">
        <v>11</v>
      </c>
      <c r="Q14" t="s">
        <v>33</v>
      </c>
      <c r="R14">
        <v>950</v>
      </c>
      <c r="S14">
        <v>950</v>
      </c>
      <c r="T14">
        <v>1000</v>
      </c>
    </row>
    <row r="15" spans="3:20" x14ac:dyDescent="0.3">
      <c r="C15" s="2">
        <v>14</v>
      </c>
      <c r="D15" s="4">
        <v>90</v>
      </c>
      <c r="E15" s="10">
        <f t="shared" si="2"/>
        <v>1000</v>
      </c>
      <c r="F15" s="11">
        <f t="shared" si="3"/>
        <v>87.09595641128935</v>
      </c>
      <c r="G15" s="10">
        <f t="shared" si="4"/>
        <v>800.2</v>
      </c>
      <c r="H15" s="5">
        <v>65</v>
      </c>
      <c r="I15" s="9">
        <f t="shared" si="0"/>
        <v>146.77992676220697</v>
      </c>
      <c r="J15" s="8">
        <f t="shared" si="1"/>
        <v>62.114871836872489</v>
      </c>
      <c r="K15" s="9">
        <f t="shared" si="5"/>
        <v>117.62394140976558</v>
      </c>
      <c r="P15">
        <v>12</v>
      </c>
      <c r="Q15" t="s">
        <v>34</v>
      </c>
      <c r="R15">
        <v>1000</v>
      </c>
      <c r="S15">
        <v>800</v>
      </c>
      <c r="T15">
        <v>1000</v>
      </c>
    </row>
    <row r="16" spans="3:20" x14ac:dyDescent="0.3">
      <c r="C16" s="2">
        <v>15</v>
      </c>
      <c r="D16" s="4">
        <v>105</v>
      </c>
      <c r="E16" s="12">
        <f t="shared" si="2"/>
        <v>3162.2776601683804</v>
      </c>
      <c r="F16" s="11">
        <f t="shared" si="3"/>
        <v>102.09372958884889</v>
      </c>
      <c r="G16" s="10">
        <f t="shared" si="4"/>
        <v>2530.0221281347044</v>
      </c>
      <c r="H16" s="5">
        <v>75</v>
      </c>
      <c r="I16" s="9">
        <f t="shared" si="0"/>
        <v>316.22776601683825</v>
      </c>
      <c r="J16" s="8">
        <f t="shared" si="1"/>
        <v>72.102995738427595</v>
      </c>
      <c r="K16" s="9">
        <f t="shared" si="5"/>
        <v>253.18221281347061</v>
      </c>
    </row>
    <row r="21" spans="3:5" x14ac:dyDescent="0.3">
      <c r="C21" t="s">
        <v>37</v>
      </c>
      <c r="D21" s="14" t="s">
        <v>35</v>
      </c>
      <c r="E21" s="14" t="s">
        <v>36</v>
      </c>
    </row>
    <row r="22" spans="3:5" x14ac:dyDescent="0.3">
      <c r="C22">
        <v>3</v>
      </c>
      <c r="D22" s="15">
        <v>25</v>
      </c>
      <c r="E22" s="15">
        <v>325</v>
      </c>
    </row>
    <row r="23" spans="3:5" x14ac:dyDescent="0.3">
      <c r="C23">
        <v>4</v>
      </c>
      <c r="D23" s="15">
        <v>35</v>
      </c>
      <c r="E23" s="15">
        <v>630</v>
      </c>
    </row>
    <row r="24" spans="3:5" x14ac:dyDescent="0.3">
      <c r="C24">
        <v>5</v>
      </c>
      <c r="D24" s="15">
        <v>45</v>
      </c>
      <c r="E24" s="15">
        <v>1035</v>
      </c>
    </row>
    <row r="25" spans="3:5" x14ac:dyDescent="0.3">
      <c r="C25">
        <v>6</v>
      </c>
      <c r="D25" s="15">
        <v>65</v>
      </c>
      <c r="E25" s="15">
        <v>2145</v>
      </c>
    </row>
    <row r="26" spans="3:5" x14ac:dyDescent="0.3">
      <c r="C26">
        <v>7</v>
      </c>
      <c r="D26" s="15">
        <v>80</v>
      </c>
      <c r="E26" s="15">
        <v>3240</v>
      </c>
    </row>
    <row r="27" spans="3:5" x14ac:dyDescent="0.3">
      <c r="C27">
        <v>8</v>
      </c>
      <c r="D27" s="15">
        <v>100</v>
      </c>
      <c r="E27" s="15">
        <v>5050</v>
      </c>
    </row>
    <row r="28" spans="3:5" x14ac:dyDescent="0.3">
      <c r="C28">
        <v>9</v>
      </c>
      <c r="D28" s="15">
        <v>125</v>
      </c>
      <c r="E28" s="15">
        <v>7875</v>
      </c>
    </row>
    <row r="29" spans="3:5" x14ac:dyDescent="0.3">
      <c r="C29">
        <v>10</v>
      </c>
      <c r="D29" s="15">
        <v>150</v>
      </c>
      <c r="E29" s="15">
        <v>11325</v>
      </c>
    </row>
    <row r="30" spans="3:5" x14ac:dyDescent="0.3">
      <c r="C30">
        <v>11</v>
      </c>
      <c r="D30" s="15">
        <v>200</v>
      </c>
      <c r="E30" s="15">
        <v>20100</v>
      </c>
    </row>
    <row r="31" spans="3:5" x14ac:dyDescent="0.3">
      <c r="C31">
        <v>12</v>
      </c>
      <c r="D31" s="15">
        <v>225</v>
      </c>
      <c r="E31" s="15">
        <v>25425</v>
      </c>
    </row>
    <row r="32" spans="3:5" x14ac:dyDescent="0.3">
      <c r="C32">
        <v>13</v>
      </c>
      <c r="D32" s="15">
        <v>250</v>
      </c>
      <c r="E32" s="15">
        <v>31375</v>
      </c>
    </row>
    <row r="33" spans="3:14" x14ac:dyDescent="0.3">
      <c r="C33">
        <v>14</v>
      </c>
      <c r="D33" s="15">
        <v>270</v>
      </c>
      <c r="E33" s="15">
        <v>36585</v>
      </c>
    </row>
    <row r="34" spans="3:14" x14ac:dyDescent="0.3">
      <c r="C34">
        <v>15</v>
      </c>
      <c r="D34" s="15">
        <v>300</v>
      </c>
      <c r="E34" s="15">
        <v>45150</v>
      </c>
    </row>
    <row r="37" spans="3:14" x14ac:dyDescent="0.3">
      <c r="D37" t="s">
        <v>119</v>
      </c>
      <c r="N37" t="s">
        <v>282</v>
      </c>
    </row>
    <row r="38" spans="3:14" x14ac:dyDescent="0.3">
      <c r="D38" s="25" t="s">
        <v>120</v>
      </c>
      <c r="E38" s="26" t="s">
        <v>121</v>
      </c>
      <c r="F38" s="25" t="s">
        <v>122</v>
      </c>
      <c r="G38" s="27" t="s">
        <v>123</v>
      </c>
      <c r="H38" s="25" t="s">
        <v>122</v>
      </c>
      <c r="I38" s="25"/>
      <c r="J38" s="25"/>
      <c r="K38" s="25"/>
    </row>
    <row r="39" spans="3:14" x14ac:dyDescent="0.3">
      <c r="D39" s="28" t="s">
        <v>124</v>
      </c>
      <c r="E39" s="25" t="s">
        <v>58</v>
      </c>
      <c r="F39" s="25"/>
      <c r="G39" s="25" t="s">
        <v>125</v>
      </c>
      <c r="H39" s="25"/>
      <c r="I39" s="25"/>
      <c r="J39" s="25"/>
      <c r="K39" s="25"/>
    </row>
    <row r="40" spans="3:14" x14ac:dyDescent="0.3">
      <c r="D40" s="28" t="s">
        <v>126</v>
      </c>
      <c r="E40" s="25" t="s">
        <v>58</v>
      </c>
      <c r="F40" s="25" t="s">
        <v>58</v>
      </c>
      <c r="G40" s="25" t="s">
        <v>125</v>
      </c>
      <c r="H40" s="25" t="s">
        <v>127</v>
      </c>
      <c r="I40" s="25"/>
      <c r="J40" s="25"/>
      <c r="K40" s="25"/>
    </row>
    <row r="41" spans="3:14" x14ac:dyDescent="0.3">
      <c r="D41" s="28" t="s">
        <v>128</v>
      </c>
      <c r="E41" s="25" t="s">
        <v>65</v>
      </c>
      <c r="F41" s="25"/>
      <c r="G41" s="25" t="s">
        <v>129</v>
      </c>
      <c r="H41" s="25" t="s">
        <v>125</v>
      </c>
      <c r="I41" s="25"/>
      <c r="J41" s="25"/>
      <c r="K41" s="25"/>
    </row>
    <row r="42" spans="3:14" x14ac:dyDescent="0.3">
      <c r="D42" s="28" t="s">
        <v>130</v>
      </c>
      <c r="E42" s="25" t="s">
        <v>65</v>
      </c>
      <c r="F42" s="25" t="s">
        <v>131</v>
      </c>
      <c r="G42" s="25" t="s">
        <v>132</v>
      </c>
      <c r="H42" s="25" t="s">
        <v>125</v>
      </c>
      <c r="I42" s="25"/>
      <c r="J42" s="25"/>
      <c r="K42" s="25"/>
    </row>
    <row r="43" spans="3:14" x14ac:dyDescent="0.3">
      <c r="D43" s="28" t="s">
        <v>133</v>
      </c>
      <c r="E43" s="25" t="s">
        <v>65</v>
      </c>
      <c r="F43" s="25" t="s">
        <v>65</v>
      </c>
      <c r="G43" s="25" t="s">
        <v>132</v>
      </c>
      <c r="H43" s="25" t="s">
        <v>127</v>
      </c>
      <c r="I43" s="25"/>
      <c r="J43" s="25"/>
      <c r="K43" s="25"/>
    </row>
    <row r="44" spans="3:14" x14ac:dyDescent="0.3">
      <c r="D44" s="28" t="s">
        <v>134</v>
      </c>
      <c r="E44" s="25" t="s">
        <v>125</v>
      </c>
      <c r="F44" s="25" t="s">
        <v>135</v>
      </c>
      <c r="G44" s="25" t="s">
        <v>136</v>
      </c>
      <c r="H44" s="25" t="s">
        <v>125</v>
      </c>
      <c r="I44" s="25"/>
      <c r="J44" s="25"/>
      <c r="K44" s="25"/>
    </row>
    <row r="45" spans="3:14" x14ac:dyDescent="0.3">
      <c r="D45" s="28" t="s">
        <v>137</v>
      </c>
      <c r="E45" s="25" t="s">
        <v>138</v>
      </c>
      <c r="F45" s="25" t="s">
        <v>139</v>
      </c>
      <c r="G45" s="25" t="s">
        <v>136</v>
      </c>
      <c r="H45" s="25" t="s">
        <v>140</v>
      </c>
      <c r="I45" s="25"/>
      <c r="J45" s="25"/>
      <c r="K45" s="25"/>
    </row>
    <row r="46" spans="3:14" x14ac:dyDescent="0.3">
      <c r="D46" s="28" t="s">
        <v>141</v>
      </c>
      <c r="E46" s="25" t="s">
        <v>142</v>
      </c>
      <c r="F46" s="25" t="s">
        <v>143</v>
      </c>
      <c r="G46" s="25" t="s">
        <v>136</v>
      </c>
      <c r="H46" s="25" t="s">
        <v>144</v>
      </c>
      <c r="I46" s="25"/>
      <c r="J46" s="25"/>
      <c r="K46" s="25"/>
    </row>
    <row r="47" spans="3:14" x14ac:dyDescent="0.3">
      <c r="D47" s="28" t="s">
        <v>145</v>
      </c>
      <c r="E47" s="25" t="s">
        <v>129</v>
      </c>
      <c r="F47" s="25" t="s">
        <v>146</v>
      </c>
      <c r="G47" s="25" t="s">
        <v>147</v>
      </c>
      <c r="H47" s="25"/>
      <c r="I47" s="25"/>
      <c r="J47" s="25"/>
      <c r="K47" s="25"/>
    </row>
    <row r="48" spans="3:14" x14ac:dyDescent="0.3">
      <c r="D48" s="28" t="s">
        <v>148</v>
      </c>
      <c r="E48" s="25" t="s">
        <v>129</v>
      </c>
      <c r="F48" s="25" t="s">
        <v>149</v>
      </c>
      <c r="G48" s="25" t="s">
        <v>147</v>
      </c>
      <c r="H48" s="25" t="s">
        <v>140</v>
      </c>
      <c r="I48" s="25"/>
      <c r="J48" s="25"/>
      <c r="K48" s="25"/>
    </row>
    <row r="49" spans="4:11" x14ac:dyDescent="0.3">
      <c r="D49" s="28" t="s">
        <v>150</v>
      </c>
      <c r="E49" s="25" t="s">
        <v>132</v>
      </c>
      <c r="F49" s="25" t="s">
        <v>143</v>
      </c>
      <c r="G49" s="25" t="s">
        <v>147</v>
      </c>
      <c r="H49" s="25" t="s">
        <v>142</v>
      </c>
      <c r="I49" s="25"/>
      <c r="J49" s="25"/>
      <c r="K49" s="25"/>
    </row>
    <row r="50" spans="4:11" x14ac:dyDescent="0.3">
      <c r="D50" s="28" t="s">
        <v>151</v>
      </c>
      <c r="E50" s="25" t="s">
        <v>132</v>
      </c>
      <c r="F50" s="25" t="s">
        <v>152</v>
      </c>
      <c r="G50" s="25" t="s">
        <v>153</v>
      </c>
      <c r="H50" s="25" t="s">
        <v>154</v>
      </c>
      <c r="I50" s="25"/>
      <c r="J50" s="25"/>
      <c r="K50" s="25"/>
    </row>
    <row r="51" spans="4:11" x14ac:dyDescent="0.3">
      <c r="D51" s="28" t="s">
        <v>155</v>
      </c>
      <c r="E51" s="25" t="s">
        <v>136</v>
      </c>
      <c r="F51" s="25" t="s">
        <v>156</v>
      </c>
      <c r="G51" s="25" t="s">
        <v>153</v>
      </c>
      <c r="H51" s="25" t="s">
        <v>157</v>
      </c>
      <c r="I51" s="25"/>
      <c r="J51" s="25"/>
      <c r="K51" s="25"/>
    </row>
    <row r="52" spans="4:11" x14ac:dyDescent="0.3">
      <c r="D52" s="28" t="s">
        <v>158</v>
      </c>
      <c r="E52" s="25" t="s">
        <v>147</v>
      </c>
      <c r="F52" s="25" t="s">
        <v>159</v>
      </c>
      <c r="G52" s="25" t="s">
        <v>153</v>
      </c>
      <c r="H52" s="25" t="s">
        <v>160</v>
      </c>
      <c r="I52" s="25"/>
      <c r="J52" s="25"/>
      <c r="K52" s="25"/>
    </row>
    <row r="53" spans="4:11" x14ac:dyDescent="0.3">
      <c r="D53" s="28" t="s">
        <v>161</v>
      </c>
      <c r="E53" s="25" t="s">
        <v>162</v>
      </c>
      <c r="F53" s="25" t="s">
        <v>163</v>
      </c>
      <c r="G53" s="25" t="s">
        <v>164</v>
      </c>
      <c r="H53" s="25"/>
      <c r="I53" s="25"/>
      <c r="J53" s="25"/>
      <c r="K53" s="25"/>
    </row>
    <row r="54" spans="4:11" x14ac:dyDescent="0.3">
      <c r="D54" s="28" t="s">
        <v>165</v>
      </c>
      <c r="E54" s="25" t="s">
        <v>166</v>
      </c>
      <c r="F54" s="25" t="s">
        <v>139</v>
      </c>
      <c r="G54" s="25" t="s">
        <v>167</v>
      </c>
      <c r="H54" s="25"/>
      <c r="I54" s="25"/>
      <c r="J54" s="25"/>
      <c r="K54" s="25"/>
    </row>
    <row r="55" spans="4:11" x14ac:dyDescent="0.3">
      <c r="D55" s="28" t="s">
        <v>168</v>
      </c>
      <c r="E55" s="25" t="s">
        <v>169</v>
      </c>
      <c r="F55" s="25" t="s">
        <v>170</v>
      </c>
      <c r="G55" s="25" t="s">
        <v>167</v>
      </c>
      <c r="H55" s="25"/>
      <c r="I55" s="25"/>
      <c r="J55" s="25"/>
      <c r="K55" s="25"/>
    </row>
    <row r="56" spans="4:11" x14ac:dyDescent="0.3">
      <c r="D56" s="28" t="s">
        <v>171</v>
      </c>
      <c r="E56" s="25" t="s">
        <v>172</v>
      </c>
      <c r="F56" s="25" t="s">
        <v>173</v>
      </c>
      <c r="G56" s="25" t="s">
        <v>167</v>
      </c>
      <c r="H56" s="25"/>
      <c r="I56" s="25"/>
      <c r="J56" s="25"/>
      <c r="K56" s="25"/>
    </row>
    <row r="57" spans="4:11" x14ac:dyDescent="0.3">
      <c r="D57" s="28" t="s">
        <v>174</v>
      </c>
      <c r="E57" s="25" t="s">
        <v>172</v>
      </c>
      <c r="F57" s="25" t="s">
        <v>175</v>
      </c>
      <c r="G57" s="25"/>
      <c r="H57" s="25"/>
      <c r="I57" s="25"/>
      <c r="J57" s="25"/>
      <c r="K57" s="25"/>
    </row>
    <row r="58" spans="4:11" x14ac:dyDescent="0.3">
      <c r="D58" s="25"/>
      <c r="E58" s="25"/>
      <c r="F58" s="25"/>
      <c r="G58" s="25"/>
      <c r="H58" s="25"/>
      <c r="I58" s="25"/>
      <c r="J58" s="25"/>
      <c r="K58" s="25"/>
    </row>
    <row r="59" spans="4:11" x14ac:dyDescent="0.3">
      <c r="D59" s="25"/>
      <c r="E59" s="25"/>
      <c r="F59" s="25"/>
      <c r="G59" s="25"/>
      <c r="H59" s="25"/>
      <c r="I59" s="25"/>
      <c r="J59" s="25"/>
      <c r="K59" s="25"/>
    </row>
    <row r="60" spans="4:11" x14ac:dyDescent="0.3">
      <c r="D60" s="25" t="s">
        <v>176</v>
      </c>
      <c r="E60" s="25"/>
      <c r="F60" s="25"/>
      <c r="G60" s="25"/>
      <c r="H60" s="25"/>
      <c r="I60" s="25"/>
      <c r="J60" s="25"/>
      <c r="K60" s="25"/>
    </row>
    <row r="61" spans="4:11" x14ac:dyDescent="0.3">
      <c r="D61" s="25"/>
      <c r="E61" s="25"/>
      <c r="F61" s="25"/>
      <c r="G61" s="25"/>
      <c r="H61" s="25"/>
      <c r="I61" s="25"/>
      <c r="J61" s="25"/>
      <c r="K61" s="25"/>
    </row>
    <row r="62" spans="4:11" x14ac:dyDescent="0.3">
      <c r="D62" s="25" t="s">
        <v>120</v>
      </c>
      <c r="E62" s="26" t="s">
        <v>121</v>
      </c>
      <c r="F62" s="25" t="s">
        <v>122</v>
      </c>
      <c r="G62" s="27" t="s">
        <v>123</v>
      </c>
      <c r="H62" s="25" t="s">
        <v>122</v>
      </c>
      <c r="I62" s="25"/>
      <c r="J62" s="25"/>
      <c r="K62" s="25"/>
    </row>
    <row r="63" spans="4:11" x14ac:dyDescent="0.3">
      <c r="D63" s="28" t="s">
        <v>126</v>
      </c>
      <c r="E63" s="25"/>
      <c r="F63" s="25" t="s">
        <v>177</v>
      </c>
      <c r="G63" s="25" t="s">
        <v>178</v>
      </c>
      <c r="H63" s="25" t="s">
        <v>125</v>
      </c>
      <c r="I63" s="25"/>
      <c r="J63" s="25"/>
      <c r="K63" s="25"/>
    </row>
    <row r="64" spans="4:11" x14ac:dyDescent="0.3">
      <c r="D64" s="28" t="s">
        <v>130</v>
      </c>
      <c r="E64" s="25"/>
      <c r="F64" s="25" t="s">
        <v>179</v>
      </c>
      <c r="G64" s="25" t="s">
        <v>180</v>
      </c>
      <c r="H64" s="25" t="s">
        <v>180</v>
      </c>
      <c r="I64" s="25"/>
      <c r="J64" s="25"/>
      <c r="K64" s="25"/>
    </row>
    <row r="65" spans="4:11" x14ac:dyDescent="0.3">
      <c r="D65" s="28" t="s">
        <v>134</v>
      </c>
      <c r="E65" s="25" t="s">
        <v>65</v>
      </c>
      <c r="F65" s="25" t="s">
        <v>181</v>
      </c>
      <c r="G65" s="25" t="s">
        <v>182</v>
      </c>
      <c r="H65" s="25" t="s">
        <v>138</v>
      </c>
      <c r="I65" s="25"/>
      <c r="J65" s="25"/>
      <c r="K65" s="25"/>
    </row>
    <row r="66" spans="4:11" x14ac:dyDescent="0.3">
      <c r="D66" s="28" t="s">
        <v>141</v>
      </c>
      <c r="E66" s="25" t="s">
        <v>138</v>
      </c>
      <c r="F66" s="25" t="s">
        <v>183</v>
      </c>
      <c r="G66" s="25" t="s">
        <v>184</v>
      </c>
      <c r="H66" s="25" t="s">
        <v>125</v>
      </c>
      <c r="I66" s="25"/>
      <c r="J66" s="25"/>
      <c r="K66" s="25"/>
    </row>
    <row r="67" spans="4:11" x14ac:dyDescent="0.3">
      <c r="D67" s="28" t="s">
        <v>148</v>
      </c>
      <c r="E67" s="25" t="s">
        <v>129</v>
      </c>
      <c r="F67" s="25" t="s">
        <v>185</v>
      </c>
      <c r="G67" s="25" t="s">
        <v>162</v>
      </c>
      <c r="H67" s="25"/>
      <c r="I67" s="25"/>
      <c r="J67" s="25"/>
      <c r="K67" s="25"/>
    </row>
    <row r="68" spans="4:11" x14ac:dyDescent="0.3">
      <c r="D68" s="28" t="s">
        <v>186</v>
      </c>
      <c r="E68" s="25" t="s">
        <v>132</v>
      </c>
      <c r="F68" s="25" t="s">
        <v>187</v>
      </c>
      <c r="G68" s="25" t="s">
        <v>162</v>
      </c>
      <c r="H68" s="25"/>
      <c r="I68" s="25"/>
      <c r="J68" s="25"/>
      <c r="K68" s="25"/>
    </row>
    <row r="69" spans="4:11" x14ac:dyDescent="0.3">
      <c r="D69" s="28" t="s">
        <v>188</v>
      </c>
      <c r="E69" s="25" t="s">
        <v>136</v>
      </c>
      <c r="F69" s="25" t="s">
        <v>189</v>
      </c>
      <c r="G69" s="25" t="s">
        <v>166</v>
      </c>
      <c r="H69" s="25"/>
      <c r="I69" s="25"/>
      <c r="J69" s="25"/>
      <c r="K69" s="25"/>
    </row>
    <row r="70" spans="4:11" x14ac:dyDescent="0.3">
      <c r="D70" s="28" t="s">
        <v>190</v>
      </c>
      <c r="E70" s="25" t="s">
        <v>136</v>
      </c>
      <c r="F70" s="25" t="s">
        <v>191</v>
      </c>
      <c r="G70" s="25" t="s">
        <v>169</v>
      </c>
      <c r="H70" s="25"/>
      <c r="I70" s="25"/>
      <c r="J70" s="25"/>
      <c r="K70" s="25"/>
    </row>
    <row r="71" spans="4:11" x14ac:dyDescent="0.3">
      <c r="D71" s="28" t="s">
        <v>158</v>
      </c>
      <c r="E71" s="25" t="s">
        <v>147</v>
      </c>
      <c r="F71" s="25" t="s">
        <v>192</v>
      </c>
      <c r="G71" s="25" t="s">
        <v>169</v>
      </c>
      <c r="H71" s="25" t="s">
        <v>138</v>
      </c>
      <c r="I71" s="25"/>
      <c r="J71" s="25"/>
      <c r="K71" s="25"/>
    </row>
    <row r="72" spans="4:11" x14ac:dyDescent="0.3">
      <c r="D72" s="28" t="s">
        <v>161</v>
      </c>
      <c r="E72" s="25" t="s">
        <v>147</v>
      </c>
      <c r="F72" s="25" t="s">
        <v>193</v>
      </c>
      <c r="G72" s="25" t="s">
        <v>194</v>
      </c>
      <c r="H72" s="25" t="s">
        <v>138</v>
      </c>
      <c r="I72" s="25"/>
      <c r="J72" s="25"/>
      <c r="K72" s="25"/>
    </row>
    <row r="73" spans="4:11" x14ac:dyDescent="0.3">
      <c r="D73" s="28" t="s">
        <v>165</v>
      </c>
      <c r="E73" s="25"/>
      <c r="F73" s="25"/>
      <c r="G73" s="25"/>
      <c r="H73" s="25"/>
      <c r="I73" s="25"/>
      <c r="J73" s="25"/>
      <c r="K73" s="25"/>
    </row>
    <row r="74" spans="4:11" x14ac:dyDescent="0.3">
      <c r="D74" s="25"/>
      <c r="E74" s="25"/>
      <c r="F74" s="25"/>
      <c r="G74" s="25"/>
      <c r="H74" s="25"/>
      <c r="I74" s="25"/>
      <c r="J74" s="25"/>
      <c r="K74" s="25"/>
    </row>
    <row r="75" spans="4:11" x14ac:dyDescent="0.3">
      <c r="D75" s="25"/>
      <c r="E75" s="25"/>
      <c r="F75" s="25"/>
      <c r="G75" s="25"/>
      <c r="H75" s="25"/>
      <c r="I75" s="25"/>
      <c r="J75" s="25"/>
      <c r="K75" s="25"/>
    </row>
    <row r="76" spans="4:11" x14ac:dyDescent="0.3">
      <c r="D76" s="25" t="s">
        <v>195</v>
      </c>
      <c r="E76" s="25"/>
      <c r="F76" s="25"/>
      <c r="G76" s="25"/>
      <c r="H76" s="25"/>
      <c r="I76" s="25"/>
      <c r="J76" s="25"/>
      <c r="K76" s="25"/>
    </row>
    <row r="77" spans="4:11" x14ac:dyDescent="0.3">
      <c r="D77" s="25"/>
      <c r="E77" s="25"/>
      <c r="F77" s="25"/>
      <c r="G77" s="25"/>
      <c r="H77" s="25"/>
      <c r="I77" s="25"/>
      <c r="J77" s="25"/>
      <c r="K77" s="25"/>
    </row>
    <row r="78" spans="4:11" x14ac:dyDescent="0.3">
      <c r="D78" s="25" t="s">
        <v>120</v>
      </c>
      <c r="E78" s="26" t="s">
        <v>121</v>
      </c>
      <c r="F78" s="25" t="s">
        <v>122</v>
      </c>
      <c r="G78" s="27" t="s">
        <v>123</v>
      </c>
      <c r="H78" s="25" t="s">
        <v>122</v>
      </c>
      <c r="I78" s="25"/>
      <c r="J78" s="25"/>
      <c r="K78" s="25"/>
    </row>
    <row r="79" spans="4:11" x14ac:dyDescent="0.3">
      <c r="D79" s="28" t="s">
        <v>196</v>
      </c>
      <c r="E79" s="29"/>
      <c r="F79" s="25" t="s">
        <v>197</v>
      </c>
      <c r="G79" s="29" t="s">
        <v>65</v>
      </c>
      <c r="H79" s="25"/>
      <c r="I79" s="25"/>
      <c r="J79" s="25"/>
      <c r="K79" s="25"/>
    </row>
    <row r="80" spans="4:11" x14ac:dyDescent="0.3">
      <c r="D80" s="28" t="s">
        <v>198</v>
      </c>
      <c r="E80" s="29"/>
      <c r="F80" s="25" t="s">
        <v>199</v>
      </c>
      <c r="G80" s="29" t="s">
        <v>140</v>
      </c>
      <c r="H80" s="25"/>
      <c r="I80" s="25"/>
      <c r="J80" s="25"/>
      <c r="K80" s="25"/>
    </row>
    <row r="81" spans="4:11" x14ac:dyDescent="0.3">
      <c r="D81" s="28" t="s">
        <v>200</v>
      </c>
      <c r="E81" s="29"/>
      <c r="F81" s="25" t="s">
        <v>177</v>
      </c>
      <c r="G81" s="29" t="s">
        <v>180</v>
      </c>
      <c r="H81" s="25"/>
      <c r="I81" s="25"/>
      <c r="J81" s="25"/>
      <c r="K81" s="25"/>
    </row>
    <row r="82" spans="4:11" x14ac:dyDescent="0.3">
      <c r="D82" s="28" t="s">
        <v>134</v>
      </c>
      <c r="E82" s="29" t="s">
        <v>58</v>
      </c>
      <c r="F82" s="25" t="s">
        <v>177</v>
      </c>
      <c r="G82" s="29" t="s">
        <v>157</v>
      </c>
      <c r="H82" s="25"/>
      <c r="I82" s="25"/>
      <c r="J82" s="25"/>
      <c r="K82" s="25"/>
    </row>
    <row r="83" spans="4:11" x14ac:dyDescent="0.3">
      <c r="D83" s="28" t="s">
        <v>201</v>
      </c>
      <c r="E83" s="29" t="s">
        <v>65</v>
      </c>
      <c r="F83" s="25" t="s">
        <v>202</v>
      </c>
      <c r="G83" s="29" t="s">
        <v>203</v>
      </c>
      <c r="H83" s="25"/>
      <c r="I83" s="25"/>
      <c r="J83" s="25"/>
      <c r="K83" s="25"/>
    </row>
    <row r="84" spans="4:11" x14ac:dyDescent="0.3">
      <c r="D84" s="28" t="s">
        <v>204</v>
      </c>
      <c r="E84" s="29" t="s">
        <v>65</v>
      </c>
      <c r="F84" s="25" t="s">
        <v>181</v>
      </c>
      <c r="G84" s="29" t="s">
        <v>182</v>
      </c>
      <c r="H84" s="25"/>
      <c r="I84" s="25"/>
      <c r="J84" s="25"/>
      <c r="K84" s="25"/>
    </row>
    <row r="85" spans="4:11" x14ac:dyDescent="0.3">
      <c r="D85" s="28" t="s">
        <v>205</v>
      </c>
      <c r="E85" s="29" t="s">
        <v>65</v>
      </c>
      <c r="F85" s="25" t="s">
        <v>185</v>
      </c>
      <c r="G85" s="29" t="s">
        <v>182</v>
      </c>
      <c r="H85" s="25"/>
      <c r="I85" s="25"/>
      <c r="J85" s="25"/>
      <c r="K85" s="25"/>
    </row>
    <row r="86" spans="4:11" x14ac:dyDescent="0.3">
      <c r="D86" s="28" t="s">
        <v>206</v>
      </c>
      <c r="E86" s="29" t="s">
        <v>142</v>
      </c>
      <c r="F86" s="25" t="s">
        <v>207</v>
      </c>
      <c r="G86" s="29" t="s">
        <v>184</v>
      </c>
      <c r="H86" s="25"/>
      <c r="I86" s="25"/>
      <c r="J86" s="25"/>
      <c r="K86" s="25"/>
    </row>
    <row r="87" spans="4:11" x14ac:dyDescent="0.3">
      <c r="D87" s="28" t="s">
        <v>208</v>
      </c>
      <c r="E87" s="29" t="s">
        <v>129</v>
      </c>
      <c r="F87" s="25" t="s">
        <v>209</v>
      </c>
      <c r="G87" s="29" t="s">
        <v>162</v>
      </c>
      <c r="H87" s="25"/>
      <c r="I87" s="25"/>
      <c r="J87" s="25"/>
      <c r="K87" s="25"/>
    </row>
    <row r="88" spans="4:11" x14ac:dyDescent="0.3">
      <c r="D88" s="28" t="s">
        <v>210</v>
      </c>
      <c r="E88" s="29" t="s">
        <v>129</v>
      </c>
      <c r="F88" s="25" t="s">
        <v>211</v>
      </c>
      <c r="G88" s="29" t="s">
        <v>166</v>
      </c>
      <c r="H88" s="25"/>
      <c r="I88" s="25"/>
      <c r="J88" s="25"/>
      <c r="K88" s="25"/>
    </row>
    <row r="89" spans="4:11" x14ac:dyDescent="0.3">
      <c r="D89" s="28" t="s">
        <v>212</v>
      </c>
      <c r="E89" s="29" t="s">
        <v>213</v>
      </c>
      <c r="F89" s="25" t="s">
        <v>214</v>
      </c>
      <c r="G89" s="29" t="s">
        <v>166</v>
      </c>
      <c r="H89" s="25"/>
      <c r="I89" s="25"/>
      <c r="J89" s="25"/>
      <c r="K89" s="25"/>
    </row>
    <row r="90" spans="4:11" x14ac:dyDescent="0.3">
      <c r="D90" s="28" t="s">
        <v>215</v>
      </c>
      <c r="E90" s="29" t="s">
        <v>182</v>
      </c>
      <c r="F90" s="25" t="s">
        <v>216</v>
      </c>
      <c r="G90" s="29" t="s">
        <v>166</v>
      </c>
      <c r="H90" s="25"/>
      <c r="I90" s="25"/>
      <c r="J90" s="25"/>
      <c r="K90" s="30"/>
    </row>
    <row r="91" spans="4:11" x14ac:dyDescent="0.3">
      <c r="D91" s="28" t="s">
        <v>217</v>
      </c>
      <c r="E91" s="29" t="s">
        <v>218</v>
      </c>
      <c r="F91" s="25" t="s">
        <v>219</v>
      </c>
      <c r="G91" s="29" t="s">
        <v>166</v>
      </c>
      <c r="H91" s="25"/>
      <c r="I91" s="25"/>
      <c r="J91" s="25"/>
      <c r="K91" s="25"/>
    </row>
    <row r="92" spans="4:11" x14ac:dyDescent="0.3">
      <c r="D92" s="28" t="s">
        <v>220</v>
      </c>
      <c r="E92" s="29" t="s">
        <v>218</v>
      </c>
      <c r="F92" s="25" t="s">
        <v>221</v>
      </c>
      <c r="G92" s="29" t="s">
        <v>169</v>
      </c>
      <c r="H92" s="25"/>
      <c r="I92" s="25"/>
      <c r="J92" s="25"/>
      <c r="K92" s="25"/>
    </row>
    <row r="93" spans="4:11" x14ac:dyDescent="0.3">
      <c r="D93" s="28" t="s">
        <v>222</v>
      </c>
      <c r="E93" s="29" t="s">
        <v>223</v>
      </c>
      <c r="F93" s="25" t="s">
        <v>224</v>
      </c>
      <c r="G93" s="29" t="s">
        <v>153</v>
      </c>
      <c r="H93" s="25" t="s">
        <v>225</v>
      </c>
      <c r="I93" s="25"/>
      <c r="J93" s="25"/>
      <c r="K93" s="25"/>
    </row>
    <row r="94" spans="4:11" x14ac:dyDescent="0.3">
      <c r="D94" s="28" t="s">
        <v>226</v>
      </c>
      <c r="E94" s="29" t="s">
        <v>227</v>
      </c>
      <c r="F94" s="25" t="s">
        <v>199</v>
      </c>
      <c r="G94" s="29" t="s">
        <v>153</v>
      </c>
      <c r="H94" s="25" t="s">
        <v>228</v>
      </c>
      <c r="I94" s="25"/>
      <c r="J94" s="25"/>
      <c r="K94" s="25"/>
    </row>
    <row r="95" spans="4:11" x14ac:dyDescent="0.3">
      <c r="D95" s="28" t="s">
        <v>229</v>
      </c>
      <c r="E95" s="29" t="s">
        <v>227</v>
      </c>
      <c r="F95" s="25" t="s">
        <v>230</v>
      </c>
      <c r="G95" s="29" t="s">
        <v>153</v>
      </c>
      <c r="H95" s="25"/>
      <c r="I95" s="25"/>
      <c r="J95" s="25"/>
      <c r="K95" s="25"/>
    </row>
    <row r="96" spans="4:11" x14ac:dyDescent="0.3">
      <c r="D96" s="28" t="s">
        <v>231</v>
      </c>
      <c r="E96" s="29" t="s">
        <v>232</v>
      </c>
      <c r="F96" s="25" t="s">
        <v>233</v>
      </c>
      <c r="G96" s="29" t="s">
        <v>153</v>
      </c>
      <c r="H96" s="25"/>
      <c r="I96" s="25"/>
      <c r="J96" s="25"/>
      <c r="K96" s="25"/>
    </row>
    <row r="97" spans="4:11" x14ac:dyDescent="0.3">
      <c r="D97" s="28" t="s">
        <v>234</v>
      </c>
      <c r="E97" s="29" t="s">
        <v>235</v>
      </c>
      <c r="F97" s="25"/>
      <c r="G97" s="29" t="s">
        <v>153</v>
      </c>
      <c r="H97" s="25"/>
      <c r="I97" s="25"/>
      <c r="J97" s="25"/>
      <c r="K97" s="25"/>
    </row>
    <row r="98" spans="4:11" x14ac:dyDescent="0.3">
      <c r="D98" s="25"/>
      <c r="E98" s="25"/>
      <c r="F98" s="25"/>
      <c r="G98" s="29"/>
      <c r="H98" s="25"/>
      <c r="I98" s="25"/>
      <c r="J98" s="25"/>
      <c r="K98" s="25"/>
    </row>
    <row r="99" spans="4:11" x14ac:dyDescent="0.3">
      <c r="D99" s="25"/>
      <c r="E99" s="25"/>
      <c r="F99" s="25"/>
      <c r="G99" s="25"/>
      <c r="H99" s="25"/>
      <c r="I99" s="25"/>
      <c r="J99" s="25"/>
      <c r="K99" s="25"/>
    </row>
    <row r="100" spans="4:11" x14ac:dyDescent="0.3">
      <c r="D100" s="25" t="s">
        <v>236</v>
      </c>
      <c r="E100" s="25"/>
      <c r="F100" s="25"/>
      <c r="G100" s="25"/>
      <c r="H100" s="25"/>
      <c r="I100" s="25"/>
      <c r="J100" s="25"/>
      <c r="K100" s="25"/>
    </row>
    <row r="101" spans="4:11" x14ac:dyDescent="0.3">
      <c r="D101" s="25"/>
      <c r="E101" s="25"/>
      <c r="F101" s="25"/>
      <c r="G101" s="25"/>
      <c r="H101" s="25"/>
      <c r="I101" s="25"/>
      <c r="J101" s="25"/>
      <c r="K101" s="25"/>
    </row>
    <row r="102" spans="4:11" x14ac:dyDescent="0.3">
      <c r="D102" s="25" t="s">
        <v>120</v>
      </c>
      <c r="E102" s="26" t="s">
        <v>121</v>
      </c>
      <c r="F102" s="25" t="s">
        <v>122</v>
      </c>
      <c r="G102" s="27" t="s">
        <v>123</v>
      </c>
      <c r="H102" s="25" t="s">
        <v>122</v>
      </c>
      <c r="I102" s="31" t="s">
        <v>237</v>
      </c>
      <c r="J102" s="32" t="s">
        <v>238</v>
      </c>
      <c r="K102" s="25"/>
    </row>
    <row r="103" spans="4:11" x14ac:dyDescent="0.3">
      <c r="D103" s="33" t="s">
        <v>198</v>
      </c>
      <c r="E103" s="34"/>
      <c r="F103" s="25" t="s">
        <v>239</v>
      </c>
      <c r="G103" s="35" t="s">
        <v>138</v>
      </c>
      <c r="H103" s="25" t="s">
        <v>240</v>
      </c>
      <c r="I103" s="36">
        <v>2.82</v>
      </c>
      <c r="J103" s="32"/>
      <c r="K103" s="25"/>
    </row>
    <row r="104" spans="4:11" x14ac:dyDescent="0.3">
      <c r="D104" s="33" t="s">
        <v>241</v>
      </c>
      <c r="E104" s="34"/>
      <c r="F104" s="25" t="s">
        <v>242</v>
      </c>
      <c r="G104" s="35" t="s">
        <v>129</v>
      </c>
      <c r="H104" s="25" t="s">
        <v>243</v>
      </c>
      <c r="I104" s="36">
        <v>7.8380000000000001</v>
      </c>
      <c r="J104" s="32"/>
      <c r="K104" s="25"/>
    </row>
    <row r="105" spans="4:11" x14ac:dyDescent="0.3">
      <c r="D105" s="33" t="s">
        <v>145</v>
      </c>
      <c r="E105" s="34"/>
      <c r="F105" s="25" t="s">
        <v>244</v>
      </c>
      <c r="G105" s="35" t="s">
        <v>136</v>
      </c>
      <c r="H105" s="25" t="s">
        <v>245</v>
      </c>
      <c r="I105" s="36">
        <v>34.564</v>
      </c>
      <c r="J105" s="32"/>
      <c r="K105" s="25"/>
    </row>
    <row r="106" spans="4:11" x14ac:dyDescent="0.3">
      <c r="D106" s="33" t="s">
        <v>186</v>
      </c>
      <c r="E106" s="34"/>
      <c r="F106" s="25" t="s">
        <v>246</v>
      </c>
      <c r="G106" s="35" t="s">
        <v>147</v>
      </c>
      <c r="H106" s="25" t="s">
        <v>247</v>
      </c>
      <c r="I106" s="36">
        <v>73.888999999999996</v>
      </c>
      <c r="J106" s="32"/>
      <c r="K106" s="25"/>
    </row>
    <row r="107" spans="4:11" x14ac:dyDescent="0.3">
      <c r="D107" s="33" t="s">
        <v>248</v>
      </c>
      <c r="E107" s="34" t="s">
        <v>125</v>
      </c>
      <c r="F107" s="25" t="s">
        <v>249</v>
      </c>
      <c r="G107" s="37" t="s">
        <v>250</v>
      </c>
      <c r="H107" s="25"/>
      <c r="I107" s="36" t="s">
        <v>251</v>
      </c>
      <c r="J107" s="32"/>
      <c r="K107" s="25" t="s">
        <v>252</v>
      </c>
    </row>
    <row r="108" spans="4:11" x14ac:dyDescent="0.3">
      <c r="D108" s="33" t="s">
        <v>158</v>
      </c>
      <c r="E108" s="34" t="s">
        <v>129</v>
      </c>
      <c r="F108" s="25" t="s">
        <v>253</v>
      </c>
      <c r="G108" s="35" t="s">
        <v>250</v>
      </c>
      <c r="H108" s="25"/>
      <c r="I108" s="36" t="s">
        <v>254</v>
      </c>
      <c r="J108" s="32"/>
      <c r="K108" s="25"/>
    </row>
    <row r="109" spans="4:11" x14ac:dyDescent="0.3">
      <c r="D109" s="33" t="s">
        <v>255</v>
      </c>
      <c r="E109" s="34" t="s">
        <v>132</v>
      </c>
      <c r="F109" s="25" t="s">
        <v>256</v>
      </c>
      <c r="G109" s="35" t="s">
        <v>250</v>
      </c>
      <c r="H109" s="25"/>
      <c r="I109" s="36">
        <v>50.5</v>
      </c>
      <c r="J109" s="32"/>
      <c r="K109" s="25"/>
    </row>
    <row r="110" spans="4:11" x14ac:dyDescent="0.3">
      <c r="D110" s="33" t="s">
        <v>257</v>
      </c>
      <c r="E110" s="34" t="s">
        <v>136</v>
      </c>
      <c r="F110" s="25" t="s">
        <v>258</v>
      </c>
      <c r="G110" s="35" t="s">
        <v>250</v>
      </c>
      <c r="H110" s="25"/>
      <c r="I110" s="36">
        <v>158.613</v>
      </c>
      <c r="J110" s="32"/>
      <c r="K110" s="25"/>
    </row>
    <row r="111" spans="4:11" x14ac:dyDescent="0.3">
      <c r="D111" s="33" t="s">
        <v>259</v>
      </c>
      <c r="E111" s="34" t="s">
        <v>136</v>
      </c>
      <c r="F111" s="25" t="s">
        <v>260</v>
      </c>
      <c r="G111" s="35" t="s">
        <v>250</v>
      </c>
      <c r="H111" s="25"/>
      <c r="I111" s="36">
        <v>158.613</v>
      </c>
      <c r="J111" s="32"/>
      <c r="K111" s="25"/>
    </row>
    <row r="112" spans="4:11" x14ac:dyDescent="0.3">
      <c r="D112" s="33" t="s">
        <v>261</v>
      </c>
      <c r="E112" s="34" t="s">
        <v>147</v>
      </c>
      <c r="F112" s="25" t="s">
        <v>262</v>
      </c>
      <c r="G112" s="35" t="s">
        <v>250</v>
      </c>
      <c r="H112" s="25" t="s">
        <v>263</v>
      </c>
      <c r="I112" s="36">
        <v>500.5</v>
      </c>
      <c r="J112" s="32"/>
      <c r="K112" s="25"/>
    </row>
    <row r="113" spans="4:11" x14ac:dyDescent="0.3">
      <c r="D113" s="33" t="s">
        <v>264</v>
      </c>
      <c r="E113" s="34" t="s">
        <v>147</v>
      </c>
      <c r="F113" s="25" t="s">
        <v>265</v>
      </c>
      <c r="G113" s="35" t="s">
        <v>250</v>
      </c>
      <c r="H113" s="25" t="s">
        <v>266</v>
      </c>
      <c r="I113" s="36">
        <v>500.5</v>
      </c>
      <c r="J113" s="32"/>
      <c r="K113" s="25"/>
    </row>
    <row r="114" spans="4:11" x14ac:dyDescent="0.3">
      <c r="D114" s="33" t="s">
        <v>267</v>
      </c>
      <c r="E114" s="34" t="s">
        <v>147</v>
      </c>
      <c r="F114" s="25" t="s">
        <v>268</v>
      </c>
      <c r="G114" s="35" t="s">
        <v>250</v>
      </c>
      <c r="H114" s="25" t="s">
        <v>269</v>
      </c>
      <c r="I114" s="36">
        <v>500.5</v>
      </c>
      <c r="J114" s="32"/>
      <c r="K114" s="25"/>
    </row>
    <row r="115" spans="4:11" x14ac:dyDescent="0.3">
      <c r="D115" s="33" t="s">
        <v>270</v>
      </c>
      <c r="E115" s="38" t="s">
        <v>153</v>
      </c>
      <c r="F115" s="25" t="s">
        <v>271</v>
      </c>
      <c r="G115" s="35" t="s">
        <v>172</v>
      </c>
      <c r="H115" s="25"/>
      <c r="I115" s="36">
        <v>1581.6379999999999</v>
      </c>
      <c r="J115" s="32"/>
      <c r="K115" s="25"/>
    </row>
    <row r="116" spans="4:11" x14ac:dyDescent="0.3">
      <c r="D116" s="33" t="s">
        <v>272</v>
      </c>
      <c r="E116" s="34" t="s">
        <v>153</v>
      </c>
      <c r="F116" s="25" t="s">
        <v>273</v>
      </c>
      <c r="G116" s="35" t="s">
        <v>274</v>
      </c>
      <c r="H116" s="25"/>
      <c r="I116" s="36">
        <v>1581.6379999999999</v>
      </c>
      <c r="J116" s="32"/>
      <c r="K116" s="25"/>
    </row>
    <row r="117" spans="4:11" x14ac:dyDescent="0.3">
      <c r="D117" s="29" t="s">
        <v>275</v>
      </c>
      <c r="E117" s="34"/>
      <c r="F117" s="25"/>
      <c r="G117" s="35"/>
      <c r="H117" s="25"/>
      <c r="I117" s="36"/>
      <c r="J117" s="32"/>
      <c r="K117" s="25"/>
    </row>
    <row r="118" spans="4:11" x14ac:dyDescent="0.3">
      <c r="D118" s="29" t="s">
        <v>276</v>
      </c>
      <c r="E118" s="34"/>
      <c r="F118" s="25"/>
      <c r="G118" s="35"/>
      <c r="H118" s="25"/>
      <c r="I118" s="31"/>
      <c r="J118" s="32"/>
      <c r="K118" s="25"/>
    </row>
    <row r="119" spans="4:11" x14ac:dyDescent="0.3">
      <c r="D119" s="29" t="s">
        <v>277</v>
      </c>
      <c r="E119" s="34"/>
      <c r="F119" s="25"/>
      <c r="G119" s="35"/>
      <c r="H119" s="25"/>
      <c r="I119" s="31"/>
      <c r="J119" s="32"/>
      <c r="K119" s="25"/>
    </row>
    <row r="120" spans="4:11" x14ac:dyDescent="0.3">
      <c r="D120" s="29" t="s">
        <v>278</v>
      </c>
      <c r="E120" s="34"/>
      <c r="F120" s="25"/>
      <c r="G120" s="35"/>
      <c r="H120" s="25"/>
      <c r="I120" s="31"/>
      <c r="J120" s="32"/>
      <c r="K120" s="25"/>
    </row>
    <row r="121" spans="4:11" x14ac:dyDescent="0.3">
      <c r="D121" s="29" t="s">
        <v>279</v>
      </c>
      <c r="E121" s="34"/>
      <c r="F121" s="25"/>
      <c r="G121" s="35"/>
      <c r="H121" s="25"/>
      <c r="I121" s="31"/>
      <c r="J121" s="32"/>
      <c r="K121" s="25"/>
    </row>
    <row r="122" spans="4:11" x14ac:dyDescent="0.3">
      <c r="D122" s="25"/>
      <c r="E122" s="25"/>
      <c r="F122" s="25"/>
      <c r="G122" s="25"/>
      <c r="H122" s="25"/>
      <c r="I122" s="25"/>
      <c r="J122" s="25"/>
      <c r="K122" s="25"/>
    </row>
    <row r="123" spans="4:11" x14ac:dyDescent="0.3">
      <c r="D123" s="25"/>
      <c r="E123" s="25"/>
      <c r="F123" s="25"/>
      <c r="G123" s="25"/>
      <c r="H123" s="25"/>
      <c r="I123" s="36" t="s">
        <v>280</v>
      </c>
      <c r="J123" s="25"/>
      <c r="K123" s="25"/>
    </row>
    <row r="124" spans="4:11" x14ac:dyDescent="0.3">
      <c r="D124" s="25"/>
      <c r="E124" s="25"/>
      <c r="F124" s="25"/>
      <c r="G124" s="25"/>
      <c r="H124" s="25"/>
      <c r="I124" s="36" t="s">
        <v>251</v>
      </c>
      <c r="J124" s="25"/>
      <c r="K124" s="25"/>
    </row>
    <row r="125" spans="4:11" x14ac:dyDescent="0.3">
      <c r="D125" s="25"/>
      <c r="E125" s="25"/>
      <c r="F125" s="25"/>
      <c r="G125" s="25"/>
      <c r="H125" s="25"/>
      <c r="I125" s="36" t="s">
        <v>281</v>
      </c>
      <c r="J125" s="25"/>
      <c r="K125" s="25"/>
    </row>
    <row r="126" spans="4:11" x14ac:dyDescent="0.3">
      <c r="D126" s="25"/>
      <c r="E126" s="25"/>
      <c r="F126" s="25"/>
      <c r="G126" s="25"/>
      <c r="H126" s="25"/>
      <c r="I126" s="25"/>
      <c r="J126" s="25"/>
      <c r="K126" s="25"/>
    </row>
    <row r="127" spans="4:11" x14ac:dyDescent="0.3">
      <c r="D127" s="25"/>
      <c r="E127" s="25"/>
      <c r="F127" s="25"/>
      <c r="G127" s="25"/>
      <c r="H127" s="25"/>
      <c r="I127" s="25"/>
      <c r="J127" s="25"/>
      <c r="K127" s="25"/>
    </row>
    <row r="128" spans="4:11" x14ac:dyDescent="0.3">
      <c r="D128" s="25"/>
      <c r="E128" s="25"/>
      <c r="F128" s="25"/>
      <c r="G128" s="25"/>
      <c r="H128" s="25"/>
      <c r="I128" s="25"/>
      <c r="J128" s="25"/>
      <c r="K128" s="25"/>
    </row>
    <row r="129" spans="4:11" x14ac:dyDescent="0.3">
      <c r="D129" s="25"/>
      <c r="E129" s="25"/>
      <c r="F129" s="25"/>
      <c r="G129" s="25"/>
      <c r="H129" s="25"/>
      <c r="I129" s="25"/>
      <c r="J129" s="25"/>
      <c r="K129" s="25"/>
    </row>
    <row r="130" spans="4:11" x14ac:dyDescent="0.3">
      <c r="D130" s="25"/>
      <c r="E130" s="25"/>
      <c r="F130" s="25"/>
      <c r="G130" s="25"/>
      <c r="H130" s="25"/>
      <c r="I130" s="25"/>
      <c r="J130" s="25"/>
      <c r="K130" s="25"/>
    </row>
  </sheetData>
  <phoneticPr fontId="3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3A017-BF22-449C-A4AA-07831A706804}">
  <dimension ref="A1:S35"/>
  <sheetViews>
    <sheetView workbookViewId="0">
      <selection sqref="A1:XFD1048576"/>
    </sheetView>
  </sheetViews>
  <sheetFormatPr defaultRowHeight="16.5" x14ac:dyDescent="0.3"/>
  <cols>
    <col min="7" max="7" width="9.75" bestFit="1" customWidth="1"/>
    <col min="11" max="11" width="17.625" customWidth="1"/>
    <col min="12" max="12" width="55.25" customWidth="1"/>
    <col min="13" max="13" width="19.25" customWidth="1"/>
  </cols>
  <sheetData>
    <row r="1" spans="1:19" x14ac:dyDescent="0.3">
      <c r="A1" t="s">
        <v>10</v>
      </c>
      <c r="B1" t="s">
        <v>38</v>
      </c>
      <c r="C1" t="s">
        <v>39</v>
      </c>
      <c r="D1" t="s">
        <v>40</v>
      </c>
      <c r="E1" t="s">
        <v>41</v>
      </c>
      <c r="F1" t="s">
        <v>42</v>
      </c>
      <c r="G1" t="s">
        <v>43</v>
      </c>
      <c r="H1" t="s">
        <v>39</v>
      </c>
      <c r="I1" t="s">
        <v>10</v>
      </c>
    </row>
    <row r="2" spans="1:19" ht="17.25" thickBot="1" x14ac:dyDescent="0.35">
      <c r="G2">
        <v>600</v>
      </c>
      <c r="O2" t="s">
        <v>44</v>
      </c>
      <c r="P2" t="s">
        <v>45</v>
      </c>
      <c r="Q2" t="s">
        <v>46</v>
      </c>
      <c r="R2" t="s">
        <v>47</v>
      </c>
      <c r="S2" t="s">
        <v>48</v>
      </c>
    </row>
    <row r="3" spans="1:19" ht="17.25" thickBot="1" x14ac:dyDescent="0.35">
      <c r="A3">
        <v>3</v>
      </c>
      <c r="B3">
        <v>0</v>
      </c>
      <c r="C3" t="s">
        <v>45</v>
      </c>
      <c r="D3" s="16">
        <v>0.5</v>
      </c>
      <c r="E3" s="16">
        <v>0.34</v>
      </c>
      <c r="F3" s="17">
        <f>E3*D3</f>
        <v>0.17</v>
      </c>
      <c r="G3" s="1">
        <f t="shared" ref="G3:G19" si="0">G$2/F3</f>
        <v>3529.411764705882</v>
      </c>
      <c r="H3" s="1">
        <v>3529.411764705882</v>
      </c>
      <c r="I3">
        <f>G2/D3</f>
        <v>1200</v>
      </c>
      <c r="K3" s="18" t="s">
        <v>49</v>
      </c>
      <c r="L3" s="18" t="s">
        <v>50</v>
      </c>
      <c r="M3" s="18" t="s">
        <v>48</v>
      </c>
      <c r="N3" s="18" t="s">
        <v>51</v>
      </c>
    </row>
    <row r="4" spans="1:19" ht="18" thickBot="1" x14ac:dyDescent="0.35">
      <c r="A4">
        <v>3</v>
      </c>
      <c r="B4">
        <v>1</v>
      </c>
      <c r="C4" t="s">
        <v>46</v>
      </c>
      <c r="D4" s="16">
        <v>0.5</v>
      </c>
      <c r="E4" s="16">
        <v>0.33</v>
      </c>
      <c r="F4" s="17">
        <f t="shared" ref="F4:F20" si="1">E4*D4</f>
        <v>0.16500000000000001</v>
      </c>
      <c r="G4" s="1">
        <f t="shared" si="0"/>
        <v>3636.363636363636</v>
      </c>
      <c r="H4" s="1">
        <v>3636.363636363636</v>
      </c>
      <c r="I4">
        <v>1200</v>
      </c>
      <c r="K4" s="19" t="s">
        <v>52</v>
      </c>
      <c r="L4" s="20" t="s">
        <v>53</v>
      </c>
      <c r="M4" s="20"/>
      <c r="N4" s="20" t="s">
        <v>54</v>
      </c>
      <c r="O4" t="s">
        <v>55</v>
      </c>
      <c r="P4" s="1">
        <f>162*3*3</f>
        <v>1458</v>
      </c>
      <c r="Q4" s="1">
        <f t="shared" ref="Q4:R4" si="2">162*3*3</f>
        <v>1458</v>
      </c>
      <c r="R4" s="1">
        <f t="shared" si="2"/>
        <v>1458</v>
      </c>
    </row>
    <row r="5" spans="1:19" ht="18" thickBot="1" x14ac:dyDescent="0.35">
      <c r="A5">
        <v>3</v>
      </c>
      <c r="B5">
        <v>2</v>
      </c>
      <c r="C5" t="s">
        <v>47</v>
      </c>
      <c r="D5" s="16">
        <v>0.5</v>
      </c>
      <c r="E5" s="16">
        <v>0.33</v>
      </c>
      <c r="F5" s="17">
        <f t="shared" si="1"/>
        <v>0.16500000000000001</v>
      </c>
      <c r="G5" s="1">
        <f t="shared" si="0"/>
        <v>3636.363636363636</v>
      </c>
      <c r="H5" s="1">
        <v>3636.363636363636</v>
      </c>
      <c r="I5">
        <v>1200</v>
      </c>
      <c r="K5" s="19" t="s">
        <v>56</v>
      </c>
      <c r="L5" s="20" t="s">
        <v>57</v>
      </c>
      <c r="M5" s="20"/>
      <c r="N5" s="21"/>
      <c r="O5" t="s">
        <v>58</v>
      </c>
      <c r="P5">
        <f>648*3*3+P4*3</f>
        <v>10206</v>
      </c>
      <c r="Q5">
        <f t="shared" ref="Q5:R5" si="3">648*3*3+Q4*3</f>
        <v>10206</v>
      </c>
      <c r="R5">
        <f t="shared" si="3"/>
        <v>10206</v>
      </c>
      <c r="S5">
        <v>60000</v>
      </c>
    </row>
    <row r="6" spans="1:19" ht="18" thickBot="1" x14ac:dyDescent="0.35">
      <c r="A6">
        <v>4</v>
      </c>
      <c r="B6">
        <v>0</v>
      </c>
      <c r="C6" t="s">
        <v>45</v>
      </c>
      <c r="D6" s="16">
        <v>0.4</v>
      </c>
      <c r="E6" s="16">
        <v>0.34</v>
      </c>
      <c r="F6" s="17">
        <f t="shared" si="1"/>
        <v>0.13600000000000001</v>
      </c>
      <c r="G6" s="1">
        <f t="shared" si="0"/>
        <v>4411.7647058823522</v>
      </c>
      <c r="H6" s="1">
        <v>4411.7647058823522</v>
      </c>
      <c r="I6">
        <f>G2/D6</f>
        <v>1500</v>
      </c>
      <c r="K6" s="19" t="s">
        <v>59</v>
      </c>
      <c r="L6" s="20" t="s">
        <v>60</v>
      </c>
      <c r="M6" s="20" t="s">
        <v>61</v>
      </c>
      <c r="N6" s="20" t="s">
        <v>54</v>
      </c>
      <c r="O6" t="s">
        <v>62</v>
      </c>
      <c r="P6">
        <f>P5*3+P5*3+P5*3</f>
        <v>91854</v>
      </c>
      <c r="Q6">
        <f t="shared" ref="Q6:R6" si="4">Q5*3+Q5*3+Q5*3</f>
        <v>91854</v>
      </c>
      <c r="R6">
        <f t="shared" si="4"/>
        <v>91854</v>
      </c>
      <c r="S6">
        <f>60000+R6</f>
        <v>151854</v>
      </c>
    </row>
    <row r="7" spans="1:19" ht="18" thickBot="1" x14ac:dyDescent="0.35">
      <c r="A7">
        <v>4</v>
      </c>
      <c r="B7">
        <v>1</v>
      </c>
      <c r="C7" t="s">
        <v>46</v>
      </c>
      <c r="D7" s="16">
        <v>0.4</v>
      </c>
      <c r="E7" s="16">
        <v>0.33</v>
      </c>
      <c r="F7" s="17">
        <f t="shared" si="1"/>
        <v>0.13200000000000001</v>
      </c>
      <c r="G7" s="1">
        <f t="shared" si="0"/>
        <v>4545.454545454545</v>
      </c>
      <c r="H7" s="1">
        <v>4545.454545454545</v>
      </c>
      <c r="I7">
        <v>1500</v>
      </c>
      <c r="K7" s="19" t="s">
        <v>63</v>
      </c>
      <c r="L7" s="20" t="s">
        <v>64</v>
      </c>
      <c r="M7" s="20"/>
      <c r="N7" s="21"/>
      <c r="O7" t="s">
        <v>65</v>
      </c>
      <c r="P7">
        <f>P5*4+P6*3</f>
        <v>316386</v>
      </c>
      <c r="Q7">
        <f t="shared" ref="Q7:R7" si="5">Q5*4+Q6*3</f>
        <v>316386</v>
      </c>
      <c r="R7">
        <f t="shared" si="5"/>
        <v>316386</v>
      </c>
      <c r="S7">
        <f>S5*4</f>
        <v>240000</v>
      </c>
    </row>
    <row r="8" spans="1:19" ht="18" thickBot="1" x14ac:dyDescent="0.35">
      <c r="A8">
        <v>4</v>
      </c>
      <c r="B8">
        <v>2</v>
      </c>
      <c r="C8" t="s">
        <v>47</v>
      </c>
      <c r="D8" s="16">
        <v>0.4</v>
      </c>
      <c r="E8" s="16">
        <v>0.33</v>
      </c>
      <c r="F8" s="17">
        <f t="shared" si="1"/>
        <v>0.13200000000000001</v>
      </c>
      <c r="G8" s="1">
        <f t="shared" si="0"/>
        <v>4545.454545454545</v>
      </c>
      <c r="H8" s="1">
        <v>4545.454545454545</v>
      </c>
      <c r="I8">
        <v>1500</v>
      </c>
      <c r="K8" s="19" t="s">
        <v>66</v>
      </c>
      <c r="L8" s="20" t="s">
        <v>67</v>
      </c>
      <c r="M8" s="20"/>
      <c r="N8" s="21"/>
      <c r="O8" t="s">
        <v>68</v>
      </c>
      <c r="P8">
        <f>P5*3+P6</f>
        <v>122472</v>
      </c>
    </row>
    <row r="9" spans="1:19" ht="18" thickBot="1" x14ac:dyDescent="0.35">
      <c r="A9">
        <v>5</v>
      </c>
      <c r="B9">
        <v>0</v>
      </c>
      <c r="C9" t="s">
        <v>45</v>
      </c>
      <c r="D9" s="16">
        <v>0.1</v>
      </c>
      <c r="E9" s="16">
        <v>0.1</v>
      </c>
      <c r="F9" s="17">
        <f t="shared" si="1"/>
        <v>1.0000000000000002E-2</v>
      </c>
      <c r="G9" s="1">
        <f t="shared" si="0"/>
        <v>59999.999999999985</v>
      </c>
      <c r="H9">
        <v>20000</v>
      </c>
      <c r="I9">
        <f>G2/D9</f>
        <v>6000</v>
      </c>
      <c r="K9" s="19" t="s">
        <v>69</v>
      </c>
      <c r="L9" s="20" t="s">
        <v>70</v>
      </c>
      <c r="M9" s="20"/>
      <c r="N9" s="21"/>
      <c r="O9" t="s">
        <v>71</v>
      </c>
    </row>
    <row r="10" spans="1:19" ht="18" thickBot="1" x14ac:dyDescent="0.35">
      <c r="A10">
        <v>5</v>
      </c>
      <c r="B10">
        <v>1</v>
      </c>
      <c r="C10" t="s">
        <v>45</v>
      </c>
      <c r="D10" s="16">
        <v>0.1</v>
      </c>
      <c r="E10" s="16">
        <v>0.1</v>
      </c>
      <c r="F10" s="17">
        <f t="shared" si="1"/>
        <v>1.0000000000000002E-2</v>
      </c>
      <c r="G10" s="1">
        <f t="shared" si="0"/>
        <v>59999.999999999985</v>
      </c>
      <c r="H10">
        <v>20000</v>
      </c>
      <c r="I10">
        <v>6000</v>
      </c>
      <c r="K10" s="19" t="s">
        <v>72</v>
      </c>
      <c r="L10" s="20" t="s">
        <v>73</v>
      </c>
      <c r="M10" s="20"/>
      <c r="N10" s="21"/>
      <c r="O10" t="s">
        <v>74</v>
      </c>
    </row>
    <row r="11" spans="1:19" ht="48" thickBot="1" x14ac:dyDescent="0.35">
      <c r="A11">
        <v>5</v>
      </c>
      <c r="B11">
        <v>2</v>
      </c>
      <c r="C11" t="s">
        <v>45</v>
      </c>
      <c r="D11" s="16">
        <v>0.1</v>
      </c>
      <c r="E11" s="16">
        <v>0.1</v>
      </c>
      <c r="F11" s="17">
        <f t="shared" si="1"/>
        <v>1.0000000000000002E-2</v>
      </c>
      <c r="G11" s="1">
        <f t="shared" si="0"/>
        <v>59999.999999999985</v>
      </c>
      <c r="H11">
        <v>20000</v>
      </c>
      <c r="I11">
        <v>6000</v>
      </c>
      <c r="K11" s="19" t="s">
        <v>75</v>
      </c>
      <c r="L11" s="19" t="s">
        <v>76</v>
      </c>
      <c r="M11" s="19"/>
      <c r="N11" s="22" t="s">
        <v>77</v>
      </c>
      <c r="O11" t="s">
        <v>78</v>
      </c>
    </row>
    <row r="12" spans="1:19" ht="18" thickBot="1" x14ac:dyDescent="0.35">
      <c r="A12">
        <v>5</v>
      </c>
      <c r="B12">
        <v>3</v>
      </c>
      <c r="C12" t="s">
        <v>46</v>
      </c>
      <c r="D12" s="16">
        <v>0.1</v>
      </c>
      <c r="E12" s="16">
        <v>0.1</v>
      </c>
      <c r="F12" s="17">
        <f t="shared" si="1"/>
        <v>1.0000000000000002E-2</v>
      </c>
      <c r="G12" s="1">
        <f t="shared" si="0"/>
        <v>59999.999999999985</v>
      </c>
      <c r="H12">
        <v>20000</v>
      </c>
      <c r="I12">
        <v>6000</v>
      </c>
      <c r="K12" s="19" t="s">
        <v>79</v>
      </c>
      <c r="L12" s="20" t="s">
        <v>80</v>
      </c>
      <c r="M12" s="20"/>
      <c r="N12" s="21"/>
      <c r="O12" t="s">
        <v>81</v>
      </c>
    </row>
    <row r="13" spans="1:19" ht="18" thickBot="1" x14ac:dyDescent="0.35">
      <c r="A13">
        <v>5</v>
      </c>
      <c r="B13">
        <v>4</v>
      </c>
      <c r="C13" t="s">
        <v>46</v>
      </c>
      <c r="D13" s="16">
        <v>0.1</v>
      </c>
      <c r="E13" s="16">
        <v>0.1</v>
      </c>
      <c r="F13" s="17">
        <f t="shared" si="1"/>
        <v>1.0000000000000002E-2</v>
      </c>
      <c r="G13" s="1">
        <f t="shared" si="0"/>
        <v>59999.999999999985</v>
      </c>
      <c r="H13">
        <v>20000</v>
      </c>
      <c r="I13">
        <v>6000</v>
      </c>
      <c r="K13" s="19" t="s">
        <v>82</v>
      </c>
      <c r="L13" s="20" t="s">
        <v>83</v>
      </c>
      <c r="M13" s="20"/>
      <c r="N13" s="21"/>
      <c r="O13" t="s">
        <v>84</v>
      </c>
    </row>
    <row r="14" spans="1:19" ht="18" thickBot="1" x14ac:dyDescent="0.35">
      <c r="A14">
        <v>5</v>
      </c>
      <c r="B14">
        <v>5</v>
      </c>
      <c r="C14" t="s">
        <v>46</v>
      </c>
      <c r="D14" s="16">
        <v>0.1</v>
      </c>
      <c r="E14" s="16">
        <v>0.1</v>
      </c>
      <c r="F14" s="17">
        <f t="shared" si="1"/>
        <v>1.0000000000000002E-2</v>
      </c>
      <c r="G14" s="1">
        <f t="shared" si="0"/>
        <v>59999.999999999985</v>
      </c>
      <c r="H14">
        <v>20000</v>
      </c>
      <c r="I14">
        <v>6000</v>
      </c>
      <c r="K14" s="19" t="s">
        <v>85</v>
      </c>
      <c r="L14" s="19" t="s">
        <v>86</v>
      </c>
      <c r="M14" s="19"/>
      <c r="N14" s="21"/>
      <c r="O14" t="s">
        <v>87</v>
      </c>
    </row>
    <row r="15" spans="1:19" ht="18" thickBot="1" x14ac:dyDescent="0.35">
      <c r="A15">
        <v>5</v>
      </c>
      <c r="B15">
        <v>6</v>
      </c>
      <c r="C15" t="s">
        <v>47</v>
      </c>
      <c r="D15" s="16">
        <v>0.1</v>
      </c>
      <c r="E15" s="16">
        <v>0.1</v>
      </c>
      <c r="F15" s="17">
        <f t="shared" si="1"/>
        <v>1.0000000000000002E-2</v>
      </c>
      <c r="G15" s="1">
        <f t="shared" si="0"/>
        <v>59999.999999999985</v>
      </c>
      <c r="H15">
        <v>20000</v>
      </c>
      <c r="I15">
        <v>6000</v>
      </c>
      <c r="K15" s="19" t="s">
        <v>88</v>
      </c>
      <c r="L15" s="20" t="s">
        <v>89</v>
      </c>
      <c r="M15" s="20"/>
      <c r="N15" s="21"/>
      <c r="O15" t="s">
        <v>90</v>
      </c>
    </row>
    <row r="16" spans="1:19" ht="49.5" thickBot="1" x14ac:dyDescent="0.35">
      <c r="A16">
        <v>5</v>
      </c>
      <c r="B16">
        <v>7</v>
      </c>
      <c r="C16" t="s">
        <v>47</v>
      </c>
      <c r="D16" s="16">
        <v>0.1</v>
      </c>
      <c r="E16" s="16">
        <v>0.1</v>
      </c>
      <c r="F16" s="17">
        <f t="shared" si="1"/>
        <v>1.0000000000000002E-2</v>
      </c>
      <c r="G16" s="1">
        <f t="shared" si="0"/>
        <v>59999.999999999985</v>
      </c>
      <c r="H16">
        <v>20000</v>
      </c>
      <c r="I16">
        <v>6000</v>
      </c>
      <c r="K16" s="19" t="s">
        <v>91</v>
      </c>
      <c r="L16" s="19" t="s">
        <v>92</v>
      </c>
      <c r="M16" s="19"/>
      <c r="N16" s="22" t="s">
        <v>93</v>
      </c>
      <c r="O16" t="s">
        <v>94</v>
      </c>
    </row>
    <row r="17" spans="1:15" ht="18" thickBot="1" x14ac:dyDescent="0.35">
      <c r="A17">
        <v>5</v>
      </c>
      <c r="B17">
        <v>8</v>
      </c>
      <c r="C17" t="s">
        <v>47</v>
      </c>
      <c r="D17" s="16">
        <v>0.1</v>
      </c>
      <c r="E17" s="16">
        <v>0.1</v>
      </c>
      <c r="F17" s="17">
        <f t="shared" si="1"/>
        <v>1.0000000000000002E-2</v>
      </c>
      <c r="G17" s="1">
        <f t="shared" si="0"/>
        <v>59999.999999999985</v>
      </c>
      <c r="H17">
        <v>20000</v>
      </c>
      <c r="I17">
        <v>6000</v>
      </c>
      <c r="K17" s="19" t="s">
        <v>95</v>
      </c>
      <c r="L17" s="20" t="s">
        <v>96</v>
      </c>
      <c r="M17" s="20"/>
      <c r="N17" s="21"/>
      <c r="O17" t="s">
        <v>97</v>
      </c>
    </row>
    <row r="18" spans="1:15" ht="18" thickBot="1" x14ac:dyDescent="0.35">
      <c r="A18">
        <v>5</v>
      </c>
      <c r="B18">
        <v>9</v>
      </c>
      <c r="C18" t="s">
        <v>48</v>
      </c>
      <c r="D18" s="16">
        <v>0.1</v>
      </c>
      <c r="E18" s="16">
        <v>3.3333333333333333E-2</v>
      </c>
      <c r="F18" s="17">
        <f t="shared" si="1"/>
        <v>3.3333333333333335E-3</v>
      </c>
      <c r="G18" s="1">
        <f t="shared" si="0"/>
        <v>180000</v>
      </c>
      <c r="H18">
        <f>G18/3</f>
        <v>60000</v>
      </c>
      <c r="I18">
        <v>6000</v>
      </c>
      <c r="K18" s="19" t="s">
        <v>98</v>
      </c>
      <c r="L18" s="20" t="s">
        <v>99</v>
      </c>
      <c r="M18" s="20"/>
      <c r="N18" s="21"/>
      <c r="O18" t="s">
        <v>100</v>
      </c>
    </row>
    <row r="19" spans="1:15" ht="18" thickBot="1" x14ac:dyDescent="0.35">
      <c r="A19">
        <v>5</v>
      </c>
      <c r="B19">
        <v>10</v>
      </c>
      <c r="C19" t="s">
        <v>48</v>
      </c>
      <c r="D19" s="16">
        <v>0.1</v>
      </c>
      <c r="E19" s="16">
        <v>3.3333333333333333E-2</v>
      </c>
      <c r="F19" s="17">
        <f t="shared" si="1"/>
        <v>3.3333333333333335E-3</v>
      </c>
      <c r="G19" s="1">
        <f t="shared" si="0"/>
        <v>180000</v>
      </c>
      <c r="H19">
        <f t="shared" ref="H19:H20" si="6">G19/3</f>
        <v>60000</v>
      </c>
      <c r="I19">
        <v>6000</v>
      </c>
      <c r="K19" s="19" t="s">
        <v>101</v>
      </c>
      <c r="L19" s="20" t="s">
        <v>102</v>
      </c>
      <c r="M19" s="20"/>
      <c r="N19" s="21"/>
      <c r="O19" t="s">
        <v>103</v>
      </c>
    </row>
    <row r="20" spans="1:15" ht="32.25" thickBot="1" x14ac:dyDescent="0.35">
      <c r="A20">
        <v>5</v>
      </c>
      <c r="B20">
        <v>11</v>
      </c>
      <c r="C20" t="s">
        <v>48</v>
      </c>
      <c r="D20" s="16">
        <v>0.1</v>
      </c>
      <c r="E20" s="16">
        <v>3.3333333333333333E-2</v>
      </c>
      <c r="F20" s="17">
        <f t="shared" si="1"/>
        <v>3.3333333333333335E-3</v>
      </c>
      <c r="G20" s="1">
        <f>G$2/F20</f>
        <v>180000</v>
      </c>
      <c r="H20">
        <f t="shared" si="6"/>
        <v>60000</v>
      </c>
      <c r="I20">
        <v>6000</v>
      </c>
      <c r="K20" s="19" t="s">
        <v>104</v>
      </c>
      <c r="L20" s="19" t="s">
        <v>105</v>
      </c>
      <c r="M20" s="19"/>
      <c r="N20" s="22" t="s">
        <v>106</v>
      </c>
      <c r="O20" t="s">
        <v>107</v>
      </c>
    </row>
    <row r="21" spans="1:15" x14ac:dyDescent="0.3">
      <c r="F21" s="23">
        <f>SUM(F3:F20)</f>
        <v>1</v>
      </c>
    </row>
    <row r="25" spans="1:15" x14ac:dyDescent="0.3">
      <c r="E25">
        <v>3</v>
      </c>
      <c r="F25">
        <v>1</v>
      </c>
      <c r="G25">
        <v>50</v>
      </c>
      <c r="H25">
        <f>G25/100</f>
        <v>0.5</v>
      </c>
      <c r="I25">
        <f>H25*F25</f>
        <v>0.5</v>
      </c>
    </row>
    <row r="26" spans="1:15" x14ac:dyDescent="0.3">
      <c r="E26">
        <v>4</v>
      </c>
      <c r="F26">
        <v>4</v>
      </c>
      <c r="G26">
        <v>40</v>
      </c>
      <c r="H26">
        <f t="shared" ref="H26:H27" si="7">G26/100</f>
        <v>0.4</v>
      </c>
      <c r="I26">
        <f t="shared" ref="I26:I27" si="8">H26*F26</f>
        <v>1.6</v>
      </c>
    </row>
    <row r="27" spans="1:15" x14ac:dyDescent="0.3">
      <c r="E27">
        <v>5</v>
      </c>
      <c r="F27">
        <v>16</v>
      </c>
      <c r="G27">
        <v>10</v>
      </c>
      <c r="H27">
        <f t="shared" si="7"/>
        <v>0.1</v>
      </c>
      <c r="I27">
        <f t="shared" si="8"/>
        <v>1.6</v>
      </c>
    </row>
    <row r="28" spans="1:15" x14ac:dyDescent="0.3">
      <c r="H28">
        <v>600</v>
      </c>
      <c r="I28">
        <f>SUM(I25:I27)</f>
        <v>3.7</v>
      </c>
    </row>
    <row r="29" spans="1:15" x14ac:dyDescent="0.3">
      <c r="H29" t="s">
        <v>108</v>
      </c>
    </row>
    <row r="30" spans="1:15" x14ac:dyDescent="0.3">
      <c r="H30">
        <v>600</v>
      </c>
      <c r="I30" t="s">
        <v>109</v>
      </c>
    </row>
    <row r="32" spans="1:15" x14ac:dyDescent="0.3">
      <c r="F32" s="14" t="s">
        <v>110</v>
      </c>
      <c r="G32" s="14" t="s">
        <v>111</v>
      </c>
      <c r="H32" s="14" t="s">
        <v>112</v>
      </c>
    </row>
    <row r="33" spans="6:9" x14ac:dyDescent="0.3">
      <c r="F33" s="15" t="s">
        <v>113</v>
      </c>
      <c r="G33" s="15">
        <v>1</v>
      </c>
      <c r="H33" s="24" t="s">
        <v>114</v>
      </c>
      <c r="I33">
        <v>162</v>
      </c>
    </row>
    <row r="34" spans="6:9" x14ac:dyDescent="0.3">
      <c r="F34" s="15" t="s">
        <v>115</v>
      </c>
      <c r="G34" s="15">
        <v>4</v>
      </c>
      <c r="H34" s="24" t="s">
        <v>116</v>
      </c>
      <c r="I34">
        <v>648</v>
      </c>
    </row>
    <row r="35" spans="6:9" x14ac:dyDescent="0.3">
      <c r="F35" s="15" t="s">
        <v>117</v>
      </c>
      <c r="G35" s="15">
        <v>16</v>
      </c>
      <c r="H35" s="24" t="s">
        <v>118</v>
      </c>
      <c r="I35">
        <v>2594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패기</vt:lpstr>
      <vt:lpstr>신수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정기 조</dc:creator>
  <cp:lastModifiedBy>정기 조</cp:lastModifiedBy>
  <dcterms:created xsi:type="dcterms:W3CDTF">2026-03-15T08:36:05Z</dcterms:created>
  <dcterms:modified xsi:type="dcterms:W3CDTF">2026-03-15T08:59:34Z</dcterms:modified>
</cp:coreProperties>
</file>