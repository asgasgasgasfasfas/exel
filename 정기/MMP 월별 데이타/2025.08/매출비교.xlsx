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JG\엑셀\정기\분석\"/>
    </mc:Choice>
  </mc:AlternateContent>
  <xr:revisionPtr revIDLastSave="0" documentId="13_ncr:1_{784F76F2-54C5-49AD-AD3C-DB24D4D516B4}" xr6:coauthVersionLast="47" xr6:coauthVersionMax="47" xr10:uidLastSave="{00000000-0000-0000-0000-000000000000}"/>
  <bookViews>
    <workbookView xWindow="-120" yWindow="-120" windowWidth="38640" windowHeight="15720" firstSheet="2" activeTab="11" xr2:uid="{4B8B9127-5BD4-4F0E-AEA2-F16610F47B45}"/>
  </bookViews>
  <sheets>
    <sheet name="총매출" sheetId="1" r:id="rId1"/>
    <sheet name="스테이지별 매출" sheetId="2" r:id="rId2"/>
    <sheet name="Sheet2" sheetId="7" r:id="rId3"/>
    <sheet name="Sheet4" sheetId="17" r:id="rId4"/>
    <sheet name="Sheet1" sheetId="6" r:id="rId5"/>
    <sheet name="Sheet3" sheetId="8" r:id="rId6"/>
    <sheet name="Sheet11" sheetId="16" r:id="rId7"/>
    <sheet name="300" sheetId="9" r:id="rId8"/>
    <sheet name="350" sheetId="10" r:id="rId9"/>
    <sheet name="400" sheetId="11" r:id="rId10"/>
    <sheet name="450" sheetId="12" r:id="rId11"/>
    <sheet name="정리" sheetId="14" r:id="rId12"/>
  </sheets>
  <externalReferences>
    <externalReference r:id="rId13"/>
  </externalReferences>
  <definedNames>
    <definedName name="_xlnm._FilterDatabase" localSheetId="10" hidden="1">'450'!$C$2:$C$67</definedName>
  </definedNames>
  <calcPr calcId="191029"/>
  <pivotCaches>
    <pivotCache cacheId="54" r:id="rId14"/>
    <pivotCache cacheId="43" r:id="rId15"/>
    <pivotCache cacheId="44" r:id="rId16"/>
    <pivotCache cacheId="5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7" i="10" l="1"/>
  <c r="N3" i="12"/>
  <c r="N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2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2" i="11"/>
  <c r="M2" i="9" a="1"/>
  <c r="M2" i="9" s="1"/>
  <c r="O2" i="9" s="1"/>
  <c r="J2" i="12"/>
  <c r="J2" i="11"/>
  <c r="J2" i="10"/>
  <c r="J3" i="9"/>
  <c r="I2" i="12"/>
  <c r="I2" i="11"/>
  <c r="I3" i="9"/>
  <c r="I2" i="10"/>
  <c r="L2" i="12" a="1"/>
  <c r="L2" i="12" s="1"/>
  <c r="L2" i="11" a="1"/>
  <c r="L2" i="11" s="1"/>
  <c r="L2" i="10" a="1"/>
  <c r="M3" i="10" s="1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D147" i="8"/>
  <c r="C55" i="6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49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31" i="7"/>
  <c r="N9" i="10" l="1"/>
  <c r="M14" i="10"/>
  <c r="N8" i="10"/>
  <c r="M13" i="10"/>
  <c r="N7" i="10"/>
  <c r="M12" i="10"/>
  <c r="M11" i="10"/>
  <c r="N18" i="10"/>
  <c r="N17" i="10"/>
  <c r="N5" i="10"/>
  <c r="M10" i="10"/>
  <c r="N6" i="10"/>
  <c r="M9" i="10"/>
  <c r="N16" i="10"/>
  <c r="N4" i="10"/>
  <c r="N15" i="10"/>
  <c r="N3" i="10"/>
  <c r="M8" i="10"/>
  <c r="N13" i="10"/>
  <c r="M18" i="10"/>
  <c r="M6" i="10"/>
  <c r="N14" i="10"/>
  <c r="M7" i="10"/>
  <c r="N12" i="10"/>
  <c r="M17" i="10"/>
  <c r="M5" i="10"/>
  <c r="N11" i="10"/>
  <c r="M16" i="10"/>
  <c r="M4" i="10"/>
  <c r="N10" i="10"/>
  <c r="M15" i="10"/>
  <c r="O10" i="9"/>
  <c r="O9" i="9"/>
  <c r="O12" i="9"/>
  <c r="O11" i="9"/>
  <c r="O8" i="9"/>
  <c r="O7" i="9"/>
  <c r="O6" i="9"/>
  <c r="O5" i="9"/>
  <c r="O13" i="9"/>
  <c r="O4" i="9"/>
  <c r="O3" i="9"/>
  <c r="N5" i="9"/>
  <c r="N6" i="9"/>
  <c r="N7" i="9"/>
  <c r="N8" i="9"/>
  <c r="N9" i="9"/>
  <c r="N10" i="9"/>
  <c r="N11" i="9"/>
  <c r="N12" i="9"/>
  <c r="N13" i="9"/>
  <c r="N4" i="9"/>
  <c r="M29" i="12"/>
  <c r="M17" i="12"/>
  <c r="M5" i="12"/>
  <c r="M16" i="12"/>
  <c r="M4" i="12"/>
  <c r="M21" i="12"/>
  <c r="M28" i="12"/>
  <c r="M9" i="12"/>
  <c r="M27" i="12"/>
  <c r="M15" i="12"/>
  <c r="M3" i="12"/>
  <c r="M10" i="12"/>
  <c r="M7" i="12"/>
  <c r="M26" i="12"/>
  <c r="M14" i="12"/>
  <c r="M19" i="12"/>
  <c r="M6" i="12"/>
  <c r="M18" i="12"/>
  <c r="M11" i="12"/>
  <c r="M23" i="12"/>
  <c r="M20" i="12"/>
  <c r="M24" i="12"/>
  <c r="M8" i="12"/>
  <c r="M22" i="12"/>
  <c r="M12" i="12"/>
  <c r="M2" i="12"/>
  <c r="M13" i="12"/>
  <c r="M25" i="12"/>
  <c r="M29" i="11"/>
  <c r="M17" i="11"/>
  <c r="M5" i="11"/>
  <c r="M19" i="11"/>
  <c r="M28" i="11"/>
  <c r="M16" i="11"/>
  <c r="M4" i="11"/>
  <c r="M27" i="11"/>
  <c r="M15" i="11"/>
  <c r="M3" i="11"/>
  <c r="M7" i="11"/>
  <c r="M26" i="11"/>
  <c r="M14" i="11"/>
  <c r="M25" i="11"/>
  <c r="M13" i="11"/>
  <c r="M2" i="11"/>
  <c r="M24" i="11"/>
  <c r="M12" i="11"/>
  <c r="M6" i="11"/>
  <c r="M18" i="11"/>
  <c r="M8" i="11"/>
  <c r="M9" i="11"/>
  <c r="M21" i="11"/>
  <c r="M20" i="11"/>
  <c r="M10" i="11"/>
  <c r="M22" i="11"/>
  <c r="M11" i="11"/>
  <c r="M23" i="11"/>
  <c r="L2" i="10"/>
  <c r="N2" i="10" s="1"/>
  <c r="M2" i="10" s="1"/>
  <c r="D25" i="7"/>
  <c r="E25" i="7"/>
  <c r="F25" i="7"/>
  <c r="G25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C25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C3" i="7"/>
  <c r="D9" i="8"/>
  <c r="D14" i="8" s="1"/>
  <c r="E9" i="8"/>
  <c r="E14" i="8" s="1"/>
  <c r="F9" i="8"/>
  <c r="F14" i="8" s="1"/>
  <c r="G9" i="8"/>
  <c r="G14" i="8" s="1"/>
  <c r="H9" i="8"/>
  <c r="H14" i="8" s="1"/>
  <c r="I9" i="8"/>
  <c r="I14" i="8" s="1"/>
  <c r="J9" i="8"/>
  <c r="J14" i="8" s="1"/>
  <c r="K9" i="8"/>
  <c r="K14" i="8" s="1"/>
  <c r="L9" i="8"/>
  <c r="L14" i="8" s="1"/>
  <c r="M9" i="8"/>
  <c r="M14" i="8" s="1"/>
  <c r="N9" i="8"/>
  <c r="N14" i="8" s="1"/>
  <c r="O9" i="8"/>
  <c r="O14" i="8" s="1"/>
  <c r="P9" i="8"/>
  <c r="P14" i="8" s="1"/>
  <c r="Q9" i="8"/>
  <c r="Q14" i="8" s="1"/>
  <c r="R9" i="8"/>
  <c r="R14" i="8" s="1"/>
  <c r="S9" i="8"/>
  <c r="S14" i="8" s="1"/>
  <c r="T9" i="8"/>
  <c r="T14" i="8" s="1"/>
  <c r="U9" i="8"/>
  <c r="U14" i="8" s="1"/>
  <c r="V9" i="8"/>
  <c r="V14" i="8" s="1"/>
  <c r="W9" i="8"/>
  <c r="W14" i="8" s="1"/>
  <c r="X9" i="8"/>
  <c r="X14" i="8" s="1"/>
  <c r="Y9" i="8"/>
  <c r="Y14" i="8" s="1"/>
  <c r="Z9" i="8"/>
  <c r="Z14" i="8" s="1"/>
  <c r="AA9" i="8"/>
  <c r="AA14" i="8" s="1"/>
  <c r="AB9" i="8"/>
  <c r="AB14" i="8" s="1"/>
  <c r="AC9" i="8"/>
  <c r="AC14" i="8" s="1"/>
  <c r="AD9" i="8"/>
  <c r="AD14" i="8" s="1"/>
  <c r="AE9" i="8"/>
  <c r="AE14" i="8" s="1"/>
  <c r="AF9" i="8"/>
  <c r="AF14" i="8" s="1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D19" i="6"/>
  <c r="C19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C13" i="6"/>
  <c r="D13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D7" i="6"/>
  <c r="C7" i="6"/>
  <c r="C37" i="6"/>
  <c r="C14" i="6"/>
  <c r="C38" i="6"/>
  <c r="C3" i="6"/>
  <c r="C39" i="6"/>
  <c r="C15" i="6"/>
  <c r="C40" i="6"/>
  <c r="C41" i="6"/>
  <c r="C16" i="6"/>
  <c r="C17" i="6"/>
  <c r="C18" i="6"/>
  <c r="C20" i="6"/>
  <c r="C21" i="6"/>
  <c r="C4" i="6"/>
  <c r="C22" i="6"/>
  <c r="C23" i="6"/>
  <c r="C5" i="6"/>
  <c r="C24" i="6"/>
  <c r="C25" i="6"/>
  <c r="C6" i="6"/>
  <c r="C26" i="6"/>
  <c r="C27" i="6"/>
  <c r="C8" i="6"/>
  <c r="C28" i="6"/>
  <c r="C29" i="6"/>
  <c r="C9" i="6"/>
  <c r="C30" i="6"/>
  <c r="C31" i="6"/>
  <c r="C10" i="6"/>
  <c r="C32" i="6"/>
  <c r="C33" i="6"/>
  <c r="C11" i="6"/>
  <c r="C34" i="6"/>
  <c r="C35" i="6"/>
  <c r="C12" i="6"/>
  <c r="C36" i="6"/>
  <c r="C2" i="6"/>
  <c r="B1" i="2"/>
  <c r="N2" i="9"/>
  <c r="N3" i="9"/>
  <c r="M19" i="10" l="1"/>
  <c r="N14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<sst xmlns="http://schemas.openxmlformats.org/spreadsheetml/2006/main" count="7770" uniqueCount="1840">
  <si>
    <t>Event Date</t>
  </si>
  <si>
    <t>총 매출액 (App)</t>
  </si>
  <si>
    <t>Event Action</t>
  </si>
  <si>
    <t>Preminum_Product__2</t>
  </si>
  <si>
    <t>Preminum_Product__1</t>
  </si>
  <si>
    <t>account_Product_draw_4__0</t>
  </si>
  <si>
    <t>Sudden_Product_Growth2__0</t>
  </si>
  <si>
    <t>account_Product_draw_3__0</t>
  </si>
  <si>
    <t>(0)_account_Product_6__0</t>
  </si>
  <si>
    <t>account_Product_draw_0__1</t>
  </si>
  <si>
    <t>Sudden_Product_Weapon__0</t>
  </si>
  <si>
    <t>account_Product_draw_1__1</t>
  </si>
  <si>
    <t>Sudden_Product_Hero1__0</t>
  </si>
  <si>
    <t>Minigame_Product_draw_0__550</t>
  </si>
  <si>
    <t>(0)_account_Product_7__0</t>
  </si>
  <si>
    <t>(0)_account_Product_3__0</t>
  </si>
  <si>
    <t>Preminum_Product__4</t>
  </si>
  <si>
    <t>Pass_Product_2__0</t>
  </si>
  <si>
    <t>Minigame_Product_draw_3__3300</t>
  </si>
  <si>
    <t>Sudden_Product_Hero1__1</t>
  </si>
  <si>
    <t>Preminum_Product__3</t>
  </si>
  <si>
    <t>account_Product_draw_5__0</t>
  </si>
  <si>
    <t>Sudden_Product_Hero2__0</t>
  </si>
  <si>
    <t>Pass_Product_0__0</t>
  </si>
  <si>
    <t>Minigame_Product_draw_6__5500</t>
  </si>
  <si>
    <t>Minigame_Product_draw_4__3300</t>
  </si>
  <si>
    <t>Minigame_Product_draw_1__1100</t>
  </si>
  <si>
    <t>account_Product_Hero_0__0</t>
  </si>
  <si>
    <t>(0)_account_Product_2__0</t>
  </si>
  <si>
    <t>Sudden_Product_Weapon__1</t>
  </si>
  <si>
    <t>Pass_Product_1__0</t>
  </si>
  <si>
    <t>account_Product_draw_0__3</t>
  </si>
  <si>
    <t>account_Product_draw_0__2</t>
  </si>
  <si>
    <t>(0)_account_Product_4__0</t>
  </si>
  <si>
    <t>Sudden_Product_Stage__0</t>
  </si>
  <si>
    <t>Sudden_Product_Hero1__2</t>
  </si>
  <si>
    <t>Pass_Product_3__0</t>
  </si>
  <si>
    <t>Pass_Product_0__2</t>
  </si>
  <si>
    <t>account_Product_Hero_6__0</t>
  </si>
  <si>
    <t>Sudden_Product_Stage__5</t>
  </si>
  <si>
    <t>Sudden_Product_Research__2</t>
  </si>
  <si>
    <t>Sudden_Product_Hero2__3</t>
  </si>
  <si>
    <t>Sudden_Product_Hero2__2</t>
  </si>
  <si>
    <t>Sudden_Product_Hero2__1</t>
  </si>
  <si>
    <t>Sudden_Product_Growth2__1</t>
  </si>
  <si>
    <t>Pass_Product_0__1</t>
  </si>
  <si>
    <t>account_Product_draw_5__2</t>
  </si>
  <si>
    <t>account_Product_draw_5__1</t>
  </si>
  <si>
    <t>account_Product_draw_4__1</t>
  </si>
  <si>
    <t>account_Product_draw_3__3</t>
  </si>
  <si>
    <t>account_Product_draw_3__2</t>
  </si>
  <si>
    <t>account_Product_draw_3__1</t>
  </si>
  <si>
    <t>account_Product_draw_0__4</t>
  </si>
  <si>
    <t>(0)_account_Product_3__2</t>
  </si>
  <si>
    <t>(0)_account_Product_3__1</t>
  </si>
  <si>
    <t>(0)_account_Product_1__0</t>
  </si>
  <si>
    <t>Sudden_Product_Stage__4</t>
  </si>
  <si>
    <t>Sudden_Product_Research__3</t>
  </si>
  <si>
    <t>Sudden_Product_Growth1__0</t>
  </si>
  <si>
    <t>Sudden_Product_Boost__0</t>
  </si>
  <si>
    <t>Sudden_Product_Armor__0</t>
  </si>
  <si>
    <t>Pass_Product_2__1</t>
  </si>
  <si>
    <t>Pass_Product_1__1</t>
  </si>
  <si>
    <t>Minigame_Product_draw_2__1100</t>
  </si>
  <si>
    <t>account_Product_Hero_9__0</t>
  </si>
  <si>
    <t>account_Product_Hero_5__0</t>
  </si>
  <si>
    <t>account_Product_Hero_4__0</t>
  </si>
  <si>
    <t>account_Product_Hero_3__0</t>
  </si>
  <si>
    <t>account_Product_Hero_2__0</t>
  </si>
  <si>
    <t>account_Product_Hero_1__0</t>
  </si>
  <si>
    <t>account_Product_Hero_10__0</t>
  </si>
  <si>
    <t>account_Product_draw_5__3</t>
  </si>
  <si>
    <t>account_Product_draw_4__3</t>
  </si>
  <si>
    <t>account_Product_draw_4__2</t>
  </si>
  <si>
    <t>account_Product_draw_1__2</t>
  </si>
  <si>
    <t>Sudden_Product_Weapon__2</t>
  </si>
  <si>
    <t>Sudden_Product_Stage__3</t>
  </si>
  <si>
    <t>Sudden_Product_Hero1__3</t>
  </si>
  <si>
    <t>Sudden_Product_Growth2__2</t>
  </si>
  <si>
    <t>Pass_Product_3__1</t>
  </si>
  <si>
    <t>Sudden_Product_Stage__6</t>
  </si>
  <si>
    <t>Sudden_Product_Stage__1</t>
  </si>
  <si>
    <t>Sudden_Product_Research__4</t>
  </si>
  <si>
    <t>Event 값 (App)</t>
  </si>
  <si>
    <t>Event Label</t>
  </si>
  <si>
    <t>0~10</t>
  </si>
  <si>
    <t>100~110</t>
  </si>
  <si>
    <t>10~20</t>
  </si>
  <si>
    <t>110~120</t>
  </si>
  <si>
    <t>120~130</t>
  </si>
  <si>
    <t>130~140</t>
  </si>
  <si>
    <t>140~150</t>
  </si>
  <si>
    <t>150~200</t>
  </si>
  <si>
    <t>200~250</t>
  </si>
  <si>
    <t>20~30</t>
  </si>
  <si>
    <t>250~300</t>
  </si>
  <si>
    <t>300~350</t>
  </si>
  <si>
    <t>30~40</t>
  </si>
  <si>
    <t>350~400</t>
  </si>
  <si>
    <t>400~450</t>
  </si>
  <si>
    <t>40~50</t>
  </si>
  <si>
    <t>450~500</t>
  </si>
  <si>
    <t>500~550</t>
  </si>
  <si>
    <t>50~60</t>
  </si>
  <si>
    <t>550~600</t>
  </si>
  <si>
    <t>600~650</t>
  </si>
  <si>
    <t>60~70</t>
  </si>
  <si>
    <t>700~750</t>
  </si>
  <si>
    <t>70~80</t>
  </si>
  <si>
    <t>750~800</t>
  </si>
  <si>
    <t>80~90</t>
  </si>
  <si>
    <t>850~900</t>
  </si>
  <si>
    <t>90~100</t>
  </si>
  <si>
    <t>1000~1050</t>
  </si>
  <si>
    <t>1050~1100</t>
  </si>
  <si>
    <t>800~850</t>
  </si>
  <si>
    <t>Sudden_Product_Research__1</t>
  </si>
  <si>
    <t>Sudden_Product_Growth1__2</t>
  </si>
  <si>
    <t>Pass_Product_3__2</t>
  </si>
  <si>
    <t>Sudden_Product_Research__0</t>
  </si>
  <si>
    <t>Minigame_Product_draw_5__5500</t>
  </si>
  <si>
    <t>account_Product_Hero_6__1</t>
  </si>
  <si>
    <t>account_Product_Hero_7__0</t>
  </si>
  <si>
    <t>(1)_account_Product_3__0</t>
  </si>
  <si>
    <t>account_Product_Hero_8__0</t>
  </si>
  <si>
    <t>Sudden_Product_Growth1__1</t>
  </si>
  <si>
    <t>Sudden_Product_Armor__1</t>
  </si>
  <si>
    <t>account_Product_Hero_6__2</t>
  </si>
  <si>
    <t>account_Product_draw_5__4</t>
  </si>
  <si>
    <t>(1)_account_Product_3__2</t>
  </si>
  <si>
    <t>(1)_account_Product_3__1</t>
  </si>
  <si>
    <t>Sudden_Product_Stage__2</t>
  </si>
  <si>
    <t>Sudden_Product_Growth2__4</t>
  </si>
  <si>
    <t>account_Product_draw_0__5</t>
  </si>
  <si>
    <t>(1)_account_Product_6__0</t>
  </si>
  <si>
    <t>Sudden_Product_Growth2__3</t>
  </si>
  <si>
    <t>900~950</t>
  </si>
  <si>
    <t>950~1000</t>
  </si>
  <si>
    <t>Sum</t>
  </si>
  <si>
    <t>1150~1200</t>
  </si>
  <si>
    <t>1200~1250</t>
  </si>
  <si>
    <t>650~700</t>
  </si>
  <si>
    <t>100~150</t>
    <phoneticPr fontId="1" type="noConversion"/>
  </si>
  <si>
    <t>50~100</t>
    <phoneticPr fontId="1" type="noConversion"/>
  </si>
  <si>
    <t>0~50</t>
    <phoneticPr fontId="1" type="noConversion"/>
  </si>
  <si>
    <t>게임설치수</t>
    <phoneticPr fontId="1" type="noConversion"/>
  </si>
  <si>
    <t>account_Product_draw_3__4</t>
  </si>
  <si>
    <t>Preminum_Product_4</t>
  </si>
  <si>
    <t>Preminum_Product_3</t>
  </si>
  <si>
    <t>Preminum_Product_2</t>
  </si>
  <si>
    <t>Pass_Product_0__4</t>
  </si>
  <si>
    <t>account_Product_draw_4__4</t>
  </si>
  <si>
    <t>Metrics</t>
  </si>
  <si>
    <t>stage_reached_200 유저 수 (App)</t>
  </si>
  <si>
    <t>stage_reached_250 유저 수 (App)</t>
  </si>
  <si>
    <t>stage_reached_300 유저 수 (App)</t>
  </si>
  <si>
    <t>stage_reached_350 유저 수 (App)</t>
  </si>
  <si>
    <t>stage_reached_400 유저 수 (App)</t>
  </si>
  <si>
    <t>stage_reached_450 유저 수 (App)</t>
  </si>
  <si>
    <t>stage_reached_500 유저 수 (App)</t>
  </si>
  <si>
    <t>stage_reached_550 유저 수 (App)</t>
  </si>
  <si>
    <t>1100~1150</t>
  </si>
  <si>
    <t>500 30</t>
  </si>
  <si>
    <t>450 46</t>
  </si>
  <si>
    <t>400 90</t>
  </si>
  <si>
    <t xml:space="preserve">350 500 </t>
  </si>
  <si>
    <t>300  740</t>
  </si>
  <si>
    <t>Channel</t>
  </si>
  <si>
    <t>Installs (App)</t>
  </si>
  <si>
    <t>adpopcorn</t>
  </si>
  <si>
    <t>unattributed</t>
  </si>
  <si>
    <t>google.adwords</t>
  </si>
  <si>
    <t>facebook.business</t>
  </si>
  <si>
    <t>Preminum_Product_1</t>
  </si>
  <si>
    <t>account_Product_draw_2__1</t>
  </si>
  <si>
    <t>(0)_account_Product_4__1</t>
  </si>
  <si>
    <t>Diamond_Product__5</t>
  </si>
  <si>
    <t xml:space="preserve">기한한정일간입장권 </t>
  </si>
  <si>
    <t>계정한정소환조선</t>
  </si>
  <si>
    <t>계정한정소환고려</t>
  </si>
  <si>
    <t>돌발초월</t>
  </si>
  <si>
    <t>돌발무기</t>
  </si>
  <si>
    <t>돌발고려</t>
  </si>
  <si>
    <t>계정한정소환무기</t>
  </si>
  <si>
    <t>사냥패스1</t>
  </si>
  <si>
    <t>구독권</t>
  </si>
  <si>
    <t>돌발조선</t>
  </si>
  <si>
    <t>기한한정일간입장권</t>
  </si>
  <si>
    <t>계정한정소환가속</t>
  </si>
  <si>
    <t>계정한정소환갑옷</t>
  </si>
  <si>
    <t>기한한정일간가속</t>
  </si>
  <si>
    <t>스테이지패스1</t>
  </si>
  <si>
    <t>레벨패스1</t>
  </si>
  <si>
    <t>육성패스1</t>
  </si>
  <si>
    <t xml:space="preserve">기한한정일간어빌석 </t>
  </si>
  <si>
    <t>돌발스테이지</t>
  </si>
  <si>
    <t>돌발갑옷</t>
  </si>
  <si>
    <t>계정한정영웅필드지원</t>
  </si>
  <si>
    <t>돌발육성</t>
  </si>
  <si>
    <t xml:space="preserve">기한한정일간영웅 </t>
  </si>
  <si>
    <t>돌발연구</t>
  </si>
  <si>
    <t>계정한정소환장비</t>
  </si>
  <si>
    <t>계정한정영웅육성지원</t>
  </si>
  <si>
    <t xml:space="preserve">기한한정일간장비 </t>
  </si>
  <si>
    <t>계정한정영웅초월지원</t>
  </si>
  <si>
    <t>계정한정영웅점령전지원</t>
  </si>
  <si>
    <t>계정한정영웅무기지원</t>
  </si>
  <si>
    <t>계정한정영웅어빌지원</t>
  </si>
  <si>
    <t>계정한정영웅연구지원</t>
  </si>
  <si>
    <t>계정한정영웅무릉전</t>
  </si>
  <si>
    <t xml:space="preserve">주간입장권 </t>
  </si>
  <si>
    <t>계정한정영웅룬지원</t>
  </si>
  <si>
    <t>계정한정영웅퇴마전</t>
  </si>
  <si>
    <t xml:space="preserve">주간가속 </t>
  </si>
  <si>
    <t>돌발가속권</t>
  </si>
  <si>
    <t>계정한정영웅갑옷지원</t>
  </si>
  <si>
    <t>ads_remove</t>
  </si>
  <si>
    <t>Sudden_Product_Stage__7</t>
  </si>
  <si>
    <t>설치수</t>
    <phoneticPr fontId="1" type="noConversion"/>
  </si>
  <si>
    <t>매출</t>
    <phoneticPr fontId="1" type="noConversion"/>
  </si>
  <si>
    <t>매출/설치수</t>
    <phoneticPr fontId="1" type="noConversion"/>
  </si>
  <si>
    <t>MiniGamePurchased (App)</t>
  </si>
  <si>
    <t>Event Category,"Event Action","Event Label","Custom Event Properties"</t>
  </si>
  <si>
    <t>stage_reached_450 (App)</t>
  </si>
  <si>
    <t>W:23_0A:22_0</t>
  </si>
  <si>
    <t>W:23_0A:23_0</t>
  </si>
  <si>
    <t>W:22_0A:22_0</t>
  </si>
  <si>
    <t>W:14_0A:20_0</t>
  </si>
  <si>
    <t>W:23_0A:21_0</t>
  </si>
  <si>
    <t>W:23_0A:20_0</t>
  </si>
  <si>
    <t>W:22_0A:23_0</t>
  </si>
  <si>
    <t>W:22_0A:20_0</t>
  </si>
  <si>
    <t>W:20_0A:22_0</t>
  </si>
  <si>
    <t>W:21_0A:19_0</t>
  </si>
  <si>
    <t>W:22_0A:21_0</t>
  </si>
  <si>
    <t>W:23_0A:19_0</t>
  </si>
  <si>
    <t>W:21_0A:20_0</t>
  </si>
  <si>
    <t>{"attendance_count"</t>
  </si>
  <si>
    <t>install_day</t>
  </si>
  <si>
    <t>total_payment_amount</t>
  </si>
  <si>
    <t>user_name</t>
  </si>
  <si>
    <t>금재곱</t>
  </si>
  <si>
    <t>user_rank</t>
  </si>
  <si>
    <t>누나좋아</t>
  </si>
  <si>
    <t>아즈</t>
  </si>
  <si>
    <t>곰표</t>
  </si>
  <si>
    <t>허어어니</t>
  </si>
  <si>
    <t>조노비</t>
  </si>
  <si>
    <t>짭서스</t>
  </si>
  <si>
    <t>딱쎄</t>
  </si>
  <si>
    <t>진우서우</t>
  </si>
  <si>
    <t>비스트롱</t>
  </si>
  <si>
    <t>옥지의빵빵이</t>
  </si>
  <si>
    <t>일해라정차장</t>
  </si>
  <si>
    <t>싸늘한이버</t>
  </si>
  <si>
    <t>태연이</t>
  </si>
  <si>
    <t>콩쥐</t>
  </si>
  <si>
    <t>일주일만</t>
  </si>
  <si>
    <t>하늘영</t>
  </si>
  <si>
    <t>코리아se스머신</t>
  </si>
  <si>
    <t>마캔</t>
  </si>
  <si>
    <t>난중일기</t>
  </si>
  <si>
    <t>백진</t>
  </si>
  <si>
    <t>미율</t>
  </si>
  <si>
    <t>줏태</t>
  </si>
  <si>
    <t>두율대디</t>
  </si>
  <si>
    <t>국산뽀또</t>
  </si>
  <si>
    <t>아마테라스</t>
  </si>
  <si>
    <t>광따</t>
  </si>
  <si>
    <t>쿠쿵</t>
  </si>
  <si>
    <t>그루터기</t>
  </si>
  <si>
    <t>둥근해</t>
  </si>
  <si>
    <t>조승연</t>
  </si>
  <si>
    <t>쉬밤꺼</t>
  </si>
  <si>
    <t>한국완주</t>
  </si>
  <si>
    <t>심대표</t>
  </si>
  <si>
    <t>줸줸</t>
  </si>
  <si>
    <t>하다온</t>
  </si>
  <si>
    <t>국뿅</t>
  </si>
  <si>
    <t>오디나무</t>
  </si>
  <si>
    <t>황장우</t>
  </si>
  <si>
    <t>헤롱이</t>
  </si>
  <si>
    <t>이야이</t>
  </si>
  <si>
    <t>여름이니까</t>
  </si>
  <si>
    <t>베노미</t>
  </si>
  <si>
    <t>유태</t>
  </si>
  <si>
    <t>태백</t>
  </si>
  <si>
    <t>소담소민</t>
  </si>
  <si>
    <t>쟁요</t>
  </si>
  <si>
    <t>은월랑</t>
  </si>
  <si>
    <t>디우</t>
  </si>
  <si>
    <t>대명</t>
  </si>
  <si>
    <t>집안구석</t>
  </si>
  <si>
    <t>만마앙복</t>
  </si>
  <si>
    <t>사랑잉</t>
  </si>
  <si>
    <t>GC</t>
  </si>
  <si>
    <t>킴혀노</t>
  </si>
  <si>
    <t>오랑케</t>
  </si>
  <si>
    <t>절대무적</t>
  </si>
  <si>
    <t>껸네</t>
  </si>
  <si>
    <t>신펜</t>
  </si>
  <si>
    <t>태풍표류기</t>
  </si>
  <si>
    <t>틸라스</t>
  </si>
  <si>
    <t>A파도</t>
  </si>
  <si>
    <t>개근남</t>
  </si>
  <si>
    <t>암부</t>
  </si>
  <si>
    <t>김승원</t>
  </si>
  <si>
    <t>넌누구니</t>
  </si>
  <si>
    <t>stage_reached_400 (App)</t>
  </si>
  <si>
    <t>W:22_0A:19_0</t>
  </si>
  <si>
    <t>W:20_0A:19_0</t>
  </si>
  <si>
    <t>W:20_0A:20_0</t>
  </si>
  <si>
    <t>W:20_0A:21_0</t>
  </si>
  <si>
    <t>W:21_0A:22_0</t>
  </si>
  <si>
    <t>W:21_0A:21_0</t>
  </si>
  <si>
    <t>zenz</t>
  </si>
  <si>
    <t>길길길</t>
  </si>
  <si>
    <t>애플청포도</t>
  </si>
  <si>
    <t>Zaru</t>
  </si>
  <si>
    <t>도라에몽표류기</t>
  </si>
  <si>
    <t>쮸니</t>
  </si>
  <si>
    <t>창사마</t>
  </si>
  <si>
    <t>슬2</t>
  </si>
  <si>
    <t>초록메뚜기</t>
  </si>
  <si>
    <t>당두두당</t>
  </si>
  <si>
    <t>rubidu</t>
  </si>
  <si>
    <t>비발디</t>
  </si>
  <si>
    <t>Henry</t>
  </si>
  <si>
    <t>아돌이</t>
  </si>
  <si>
    <t>썩쏘염염</t>
  </si>
  <si>
    <t>chevti</t>
  </si>
  <si>
    <t>웅이아부지</t>
  </si>
  <si>
    <t>얼발</t>
  </si>
  <si>
    <t>vhl</t>
  </si>
  <si>
    <t>세종더그레잇</t>
  </si>
  <si>
    <t>나그넷길</t>
  </si>
  <si>
    <t>GaDo</t>
  </si>
  <si>
    <t>야촌</t>
  </si>
  <si>
    <t>놀우</t>
  </si>
  <si>
    <t>김햇반</t>
  </si>
  <si>
    <t>초인고양이</t>
  </si>
  <si>
    <t>소인은</t>
  </si>
  <si>
    <t>soosam</t>
  </si>
  <si>
    <t>지냥</t>
  </si>
  <si>
    <t>그것이섯다</t>
  </si>
  <si>
    <t>별빛라떼</t>
  </si>
  <si>
    <t>길옥</t>
  </si>
  <si>
    <t>수비</t>
  </si>
  <si>
    <t>비련</t>
  </si>
  <si>
    <t>국내산</t>
  </si>
  <si>
    <t>조메기</t>
  </si>
  <si>
    <t>도야수</t>
  </si>
  <si>
    <t>사계절</t>
  </si>
  <si>
    <t>탄령</t>
  </si>
  <si>
    <t>가을빛달</t>
  </si>
  <si>
    <t>초홍볶</t>
  </si>
  <si>
    <t>게실염</t>
  </si>
  <si>
    <t>김민교</t>
  </si>
  <si>
    <t>루아베니</t>
  </si>
  <si>
    <t>국이</t>
  </si>
  <si>
    <t>심상</t>
  </si>
  <si>
    <t>또땡겨</t>
  </si>
  <si>
    <t>김죠</t>
  </si>
  <si>
    <t>또봇엑스</t>
  </si>
  <si>
    <t>일본인</t>
  </si>
  <si>
    <t>홍만춘</t>
  </si>
  <si>
    <t>민들레옹</t>
  </si>
  <si>
    <t>꽃설</t>
  </si>
  <si>
    <t>롱티</t>
  </si>
  <si>
    <t>갱민</t>
  </si>
  <si>
    <t>김찍찍</t>
  </si>
  <si>
    <t>듀펠</t>
  </si>
  <si>
    <t>Realize</t>
  </si>
  <si>
    <t>텐프로</t>
  </si>
  <si>
    <t>구독자</t>
  </si>
  <si>
    <t>아루맘</t>
  </si>
  <si>
    <t>밥이</t>
  </si>
  <si>
    <t>호미걸이</t>
  </si>
  <si>
    <t>신정보</t>
  </si>
  <si>
    <t>흑천왕</t>
  </si>
  <si>
    <t>지남샘</t>
  </si>
  <si>
    <t>파대</t>
  </si>
  <si>
    <t>옴스옴스</t>
  </si>
  <si>
    <t>쵸돈단스</t>
  </si>
  <si>
    <t>yad</t>
  </si>
  <si>
    <t>호펜</t>
  </si>
  <si>
    <t>첫걸음</t>
  </si>
  <si>
    <t>냉균</t>
  </si>
  <si>
    <t>화염방구</t>
  </si>
  <si>
    <t>임영대군</t>
  </si>
  <si>
    <t>장수척준경</t>
  </si>
  <si>
    <t>브이아이피</t>
  </si>
  <si>
    <t>강산</t>
  </si>
  <si>
    <t>환상의섬</t>
  </si>
  <si>
    <t>찐아</t>
  </si>
  <si>
    <t>은선</t>
  </si>
  <si>
    <t>talgol</t>
  </si>
  <si>
    <t>윤관</t>
  </si>
  <si>
    <t>데몬</t>
  </si>
  <si>
    <t>유궁귀</t>
  </si>
  <si>
    <t>나냐</t>
  </si>
  <si>
    <t>방랑검객</t>
  </si>
  <si>
    <t>잉크쟁이</t>
  </si>
  <si>
    <t>사라</t>
  </si>
  <si>
    <t>도재</t>
  </si>
  <si>
    <t>하모예</t>
  </si>
  <si>
    <t>쏘가리</t>
  </si>
  <si>
    <t>밀레니온</t>
  </si>
  <si>
    <t>연우파파</t>
  </si>
  <si>
    <t>gusdnekd</t>
  </si>
  <si>
    <t>진홍</t>
  </si>
  <si>
    <t>소룡녀</t>
  </si>
  <si>
    <t>규링</t>
  </si>
  <si>
    <t>효가</t>
  </si>
  <si>
    <t>갓세종</t>
  </si>
  <si>
    <t>거지왕최춘삼</t>
  </si>
  <si>
    <t>올타신영</t>
  </si>
  <si>
    <t>신비디음</t>
  </si>
  <si>
    <t>Lr비</t>
  </si>
  <si>
    <t>별빛속삭임</t>
  </si>
  <si>
    <t>난난</t>
  </si>
  <si>
    <t>쿠빈</t>
  </si>
  <si>
    <t>맘바</t>
  </si>
  <si>
    <t>로봇</t>
  </si>
  <si>
    <t>김견</t>
  </si>
  <si>
    <t>uj</t>
  </si>
  <si>
    <t>s불멸1s</t>
  </si>
  <si>
    <t>몽달이</t>
  </si>
  <si>
    <t>버터코코아</t>
  </si>
  <si>
    <t>Saint</t>
  </si>
  <si>
    <t>디올대디</t>
  </si>
  <si>
    <t>vtctrcut</t>
  </si>
  <si>
    <t>김메롱</t>
  </si>
  <si>
    <t>stage_reached_350 (App)</t>
  </si>
  <si>
    <t>W:20_0A:23_0</t>
  </si>
  <si>
    <t>W:21_0A:23_0</t>
  </si>
  <si>
    <t>W:22_0A:15_0</t>
  </si>
  <si>
    <t>W:20_0A:6_0</t>
  </si>
  <si>
    <t>W:20_0A:17_0</t>
  </si>
  <si>
    <t>W:19_0A:19_0</t>
  </si>
  <si>
    <t>2an</t>
  </si>
  <si>
    <t>군감</t>
  </si>
  <si>
    <t>남해</t>
  </si>
  <si>
    <t>모하는겜인고</t>
  </si>
  <si>
    <t>고호고로</t>
  </si>
  <si>
    <t>제이엠</t>
  </si>
  <si>
    <t>망월동아파트</t>
  </si>
  <si>
    <t>노기</t>
  </si>
  <si>
    <t>쵸기</t>
  </si>
  <si>
    <t>내안에이무기</t>
  </si>
  <si>
    <t>세음</t>
  </si>
  <si>
    <t>짱호</t>
  </si>
  <si>
    <t>송학림</t>
  </si>
  <si>
    <t>로빈홋</t>
  </si>
  <si>
    <t>밍글이</t>
  </si>
  <si>
    <t>핫걸</t>
  </si>
  <si>
    <t>건거니</t>
  </si>
  <si>
    <t>신죠오사사게오</t>
  </si>
  <si>
    <t>닼미</t>
  </si>
  <si>
    <t>가쥬아</t>
  </si>
  <si>
    <t>샹이</t>
  </si>
  <si>
    <t>드웨인종슨</t>
  </si>
  <si>
    <t>최쿠로</t>
  </si>
  <si>
    <t>불타는곰팅</t>
  </si>
  <si>
    <t>호담시</t>
  </si>
  <si>
    <t>디와이</t>
  </si>
  <si>
    <t>ENS</t>
  </si>
  <si>
    <t>최난세</t>
  </si>
  <si>
    <t>한결도희</t>
  </si>
  <si>
    <t>마늘쫑</t>
  </si>
  <si>
    <t>이일이</t>
  </si>
  <si>
    <t>난세난난세</t>
  </si>
  <si>
    <t>양키</t>
  </si>
  <si>
    <t>헤모</t>
  </si>
  <si>
    <t>캐캐모모</t>
  </si>
  <si>
    <t>행수</t>
  </si>
  <si>
    <t>마니버렁</t>
  </si>
  <si>
    <t>짱단지</t>
  </si>
  <si>
    <t>유베</t>
  </si>
  <si>
    <t>움망</t>
  </si>
  <si>
    <t>인민대생</t>
  </si>
  <si>
    <t>꿀딴지</t>
  </si>
  <si>
    <t>여씨표류기</t>
  </si>
  <si>
    <t>깅상</t>
  </si>
  <si>
    <t>박대감</t>
  </si>
  <si>
    <t>노이v</t>
  </si>
  <si>
    <t>길동사마</t>
  </si>
  <si>
    <t>이나코스</t>
  </si>
  <si>
    <t>변호찬</t>
  </si>
  <si>
    <t>대니팬텀</t>
  </si>
  <si>
    <t>김아무개</t>
  </si>
  <si>
    <t>IPZA</t>
  </si>
  <si>
    <t>ellquine</t>
  </si>
  <si>
    <t>스승</t>
  </si>
  <si>
    <t>이만냥</t>
  </si>
  <si>
    <t>teamnose</t>
  </si>
  <si>
    <t>반달</t>
  </si>
  <si>
    <t>병삼</t>
  </si>
  <si>
    <t>안산한량</t>
  </si>
  <si>
    <t>쵸코</t>
  </si>
  <si>
    <t>톰달</t>
  </si>
  <si>
    <t>완즈이</t>
  </si>
  <si>
    <t>공쿤</t>
  </si>
  <si>
    <t>너구리먹어요</t>
  </si>
  <si>
    <t>천룡</t>
  </si>
  <si>
    <t>구름임금</t>
  </si>
  <si>
    <t>김프로</t>
  </si>
  <si>
    <t>리혜</t>
  </si>
  <si>
    <t>그칸당</t>
  </si>
  <si>
    <t>에반게리</t>
  </si>
  <si>
    <t>댕댕E</t>
  </si>
  <si>
    <t>위인전</t>
  </si>
  <si>
    <t>polaris1</t>
  </si>
  <si>
    <t>히읏</t>
  </si>
  <si>
    <t>인덕원사거리</t>
  </si>
  <si>
    <t>Sora</t>
  </si>
  <si>
    <t>에오메르</t>
  </si>
  <si>
    <t>지능</t>
  </si>
  <si>
    <t>례진</t>
  </si>
  <si>
    <t>이유따위</t>
  </si>
  <si>
    <t>룰라</t>
  </si>
  <si>
    <t>토리9</t>
  </si>
  <si>
    <t>우성이</t>
  </si>
  <si>
    <t>skyway</t>
  </si>
  <si>
    <t>소시미</t>
  </si>
  <si>
    <t>시멘디</t>
  </si>
  <si>
    <t>춘하</t>
  </si>
  <si>
    <t>아비라파</t>
  </si>
  <si>
    <t>홈과보리</t>
  </si>
  <si>
    <t>비깨도</t>
  </si>
  <si>
    <t>충겨과공포</t>
  </si>
  <si>
    <t>로마노</t>
  </si>
  <si>
    <t>kuwoo</t>
  </si>
  <si>
    <t>히키</t>
  </si>
  <si>
    <t>시정잡배</t>
  </si>
  <si>
    <t>chovy</t>
  </si>
  <si>
    <t>빼빼로</t>
  </si>
  <si>
    <t>조엘</t>
  </si>
  <si>
    <t>개패는처녀</t>
  </si>
  <si>
    <t>헤나</t>
  </si>
  <si>
    <t>바삭</t>
  </si>
  <si>
    <t>전신</t>
  </si>
  <si>
    <t>불타는불곰</t>
  </si>
  <si>
    <t>카넬리안</t>
  </si>
  <si>
    <t>승질승</t>
  </si>
  <si>
    <t>chemma</t>
  </si>
  <si>
    <t>꾸꾸83</t>
  </si>
  <si>
    <t>개밥은줬는가</t>
  </si>
  <si>
    <t>리세3</t>
  </si>
  <si>
    <t>코리안소드마스터</t>
  </si>
  <si>
    <t>어왔니</t>
  </si>
  <si>
    <t>꿀곰</t>
  </si>
  <si>
    <t>라고메</t>
  </si>
  <si>
    <t>무진장큰스님</t>
  </si>
  <si>
    <t>이슬공주</t>
  </si>
  <si>
    <t>슭슭</t>
  </si>
  <si>
    <t>허세이돈</t>
  </si>
  <si>
    <t>호랑이기우니</t>
  </si>
  <si>
    <t>홍길동이</t>
  </si>
  <si>
    <t>무락카</t>
  </si>
  <si>
    <t>단밤</t>
  </si>
  <si>
    <t>아리오나</t>
  </si>
  <si>
    <t>의천사</t>
  </si>
  <si>
    <t>gamian</t>
  </si>
  <si>
    <t>지금여기</t>
  </si>
  <si>
    <t>XIA</t>
  </si>
  <si>
    <t>꿀망고</t>
  </si>
  <si>
    <t>제명</t>
  </si>
  <si>
    <t>슈다뇽</t>
  </si>
  <si>
    <t>DoorTin</t>
  </si>
  <si>
    <t>하곰탱</t>
  </si>
  <si>
    <t>떠우떠누</t>
  </si>
  <si>
    <t>돗개</t>
  </si>
  <si>
    <t>아무거나함</t>
  </si>
  <si>
    <t>기동대</t>
  </si>
  <si>
    <t>아무것도몰라</t>
  </si>
  <si>
    <t>황천사자</t>
  </si>
  <si>
    <t>애쁠</t>
  </si>
  <si>
    <t>야유</t>
  </si>
  <si>
    <t>붕어알</t>
  </si>
  <si>
    <t>Rio</t>
  </si>
  <si>
    <t>juseho</t>
  </si>
  <si>
    <t>퍼떡내놔라</t>
  </si>
  <si>
    <t>라크</t>
  </si>
  <si>
    <t>안양잠룡</t>
  </si>
  <si>
    <t>은혼</t>
  </si>
  <si>
    <t>하이파파</t>
  </si>
  <si>
    <t>요와가와</t>
  </si>
  <si>
    <t>코플레</t>
  </si>
  <si>
    <t>응가삐아</t>
  </si>
  <si>
    <t>캐누</t>
  </si>
  <si>
    <t>오롯</t>
  </si>
  <si>
    <t>최무사</t>
  </si>
  <si>
    <t>흰눈송이</t>
  </si>
  <si>
    <t>알파카</t>
  </si>
  <si>
    <t>술재이</t>
  </si>
  <si>
    <t>하지닝</t>
  </si>
  <si>
    <t>느쩨</t>
  </si>
  <si>
    <t>월이</t>
  </si>
  <si>
    <t>우빵맨</t>
  </si>
  <si>
    <t>희망아빠</t>
  </si>
  <si>
    <t>김표류</t>
  </si>
  <si>
    <t>닝기밍</t>
  </si>
  <si>
    <t>콩돌이</t>
  </si>
  <si>
    <t>남궁세가</t>
  </si>
  <si>
    <t>불빠따</t>
  </si>
  <si>
    <t>아이디이이</t>
  </si>
  <si>
    <t>다이스</t>
  </si>
  <si>
    <t>의천대협</t>
  </si>
  <si>
    <t>선장</t>
  </si>
  <si>
    <t>Unichef</t>
  </si>
  <si>
    <t>금콩</t>
  </si>
  <si>
    <t>독립</t>
  </si>
  <si>
    <t>뭐왜뭐가</t>
  </si>
  <si>
    <t>문순우</t>
  </si>
  <si>
    <t>리프포</t>
  </si>
  <si>
    <t>봉기</t>
  </si>
  <si>
    <t>Munsu19</t>
  </si>
  <si>
    <t>뚜앙</t>
  </si>
  <si>
    <t>초롱아놀자</t>
  </si>
  <si>
    <t>크라운큐비</t>
  </si>
  <si>
    <t>달빛나린아이</t>
  </si>
  <si>
    <t>초코파르페</t>
  </si>
  <si>
    <t>시리찡</t>
  </si>
  <si>
    <t>아기왕자</t>
  </si>
  <si>
    <t>kreams</t>
  </si>
  <si>
    <t>조선칼잽이</t>
  </si>
  <si>
    <t>보집물</t>
  </si>
  <si>
    <t>태조쿠마</t>
  </si>
  <si>
    <t>쿠두스</t>
  </si>
  <si>
    <t>fourzero</t>
  </si>
  <si>
    <t>마초하</t>
  </si>
  <si>
    <t>fr쿠마</t>
  </si>
  <si>
    <t>돌민</t>
  </si>
  <si>
    <t>비슷</t>
  </si>
  <si>
    <t>리듬왕</t>
  </si>
  <si>
    <t>하드</t>
  </si>
  <si>
    <t>간계의승렬</t>
  </si>
  <si>
    <t>지채문</t>
  </si>
  <si>
    <t>신선놀음</t>
  </si>
  <si>
    <t>난중일</t>
  </si>
  <si>
    <t>덕덕</t>
  </si>
  <si>
    <t>흑요스늬</t>
  </si>
  <si>
    <t>로윤로하</t>
  </si>
  <si>
    <t>사루다</t>
  </si>
  <si>
    <t>프라함</t>
  </si>
  <si>
    <t>넘어가</t>
  </si>
  <si>
    <t>반늬</t>
  </si>
  <si>
    <t>안양초불주먹</t>
  </si>
  <si>
    <t>리신</t>
  </si>
  <si>
    <t>스과</t>
  </si>
  <si>
    <t>야생화살</t>
  </si>
  <si>
    <t>엄블리</t>
  </si>
  <si>
    <t>운빨존망</t>
  </si>
  <si>
    <t>가정주부</t>
  </si>
  <si>
    <t>음싸</t>
  </si>
  <si>
    <t>한료타</t>
  </si>
  <si>
    <t>랄라링</t>
  </si>
  <si>
    <t>초슈익</t>
  </si>
  <si>
    <t>sinbbai</t>
  </si>
  <si>
    <t>연쇄유배범</t>
  </si>
  <si>
    <t>허허참</t>
  </si>
  <si>
    <t>대두</t>
  </si>
  <si>
    <t>고운찡</t>
  </si>
  <si>
    <t>임의변경</t>
  </si>
  <si>
    <t>선학</t>
  </si>
  <si>
    <t>환상의분수쇼</t>
  </si>
  <si>
    <t>혼세마왕</t>
  </si>
  <si>
    <t>블레스뮤</t>
  </si>
  <si>
    <t>하슈</t>
  </si>
  <si>
    <t>유진킴</t>
  </si>
  <si>
    <t>qpalzm</t>
  </si>
  <si>
    <t>자갈치700원</t>
  </si>
  <si>
    <t>미카형</t>
  </si>
  <si>
    <t>술홍</t>
  </si>
  <si>
    <t>roki</t>
  </si>
  <si>
    <t>승환표류기</t>
  </si>
  <si>
    <t>게으름주의</t>
  </si>
  <si>
    <t>일론머스크</t>
  </si>
  <si>
    <t>신지무념</t>
  </si>
  <si>
    <t>카마신</t>
  </si>
  <si>
    <t>go박사</t>
  </si>
  <si>
    <t>장씬종</t>
  </si>
  <si>
    <t>뿌돔</t>
  </si>
  <si>
    <t>전위</t>
  </si>
  <si>
    <t>만슈리</t>
  </si>
  <si>
    <t>오비이락</t>
  </si>
  <si>
    <t>8군단장</t>
  </si>
  <si>
    <t>성도</t>
  </si>
  <si>
    <t>제2천마</t>
  </si>
  <si>
    <t>부노</t>
  </si>
  <si>
    <t>카리나v</t>
  </si>
  <si>
    <t>삼다</t>
  </si>
  <si>
    <t>룰루루</t>
  </si>
  <si>
    <t>키썽</t>
  </si>
  <si>
    <t>정동인</t>
  </si>
  <si>
    <t>솜유이</t>
  </si>
  <si>
    <t>트리플채</t>
  </si>
  <si>
    <t>옐로우콘</t>
  </si>
  <si>
    <t>귤귤귤귤</t>
  </si>
  <si>
    <t>무식한놈</t>
  </si>
  <si>
    <t>타이거통</t>
  </si>
  <si>
    <t>재밌는친구</t>
  </si>
  <si>
    <t>주현짱</t>
  </si>
  <si>
    <t>바람둥앙마</t>
  </si>
  <si>
    <t>이즈니</t>
  </si>
  <si>
    <t>쁘니크미</t>
  </si>
  <si>
    <t>왈도</t>
  </si>
  <si>
    <t>후라이드참새</t>
  </si>
  <si>
    <t>애국열사</t>
  </si>
  <si>
    <t>화니화니96</t>
  </si>
  <si>
    <t>고공이</t>
  </si>
  <si>
    <t>이별</t>
  </si>
  <si>
    <t>성명현</t>
  </si>
  <si>
    <t>출장</t>
  </si>
  <si>
    <t>고려제일검사</t>
  </si>
  <si>
    <t>주르</t>
  </si>
  <si>
    <t>김순돌</t>
  </si>
  <si>
    <t>조폭여친</t>
  </si>
  <si>
    <t>라니아빠</t>
  </si>
  <si>
    <t>영쟈굳</t>
  </si>
  <si>
    <t>별찌</t>
  </si>
  <si>
    <t>티반</t>
  </si>
  <si>
    <t>하누크</t>
  </si>
  <si>
    <t>효자동용가리</t>
  </si>
  <si>
    <t>마틴왕</t>
  </si>
  <si>
    <t>제갈민</t>
  </si>
  <si>
    <t>총총이</t>
  </si>
  <si>
    <t>주동자자</t>
  </si>
  <si>
    <t>짱콩파파</t>
  </si>
  <si>
    <t>엄애숙</t>
  </si>
  <si>
    <t>홍이장군</t>
  </si>
  <si>
    <t>카이져</t>
  </si>
  <si>
    <t>로나</t>
  </si>
  <si>
    <t>귀염이들</t>
  </si>
  <si>
    <t>무신현</t>
  </si>
  <si>
    <t>노블</t>
  </si>
  <si>
    <t>구자윤</t>
  </si>
  <si>
    <t>Rox</t>
  </si>
  <si>
    <t>쫑쫑이</t>
  </si>
  <si>
    <t>블루베리티라노</t>
  </si>
  <si>
    <t>re001</t>
  </si>
  <si>
    <t>쌈쟁이</t>
  </si>
  <si>
    <t>네모네모</t>
  </si>
  <si>
    <t>홀로핑</t>
  </si>
  <si>
    <t>꾹아재</t>
  </si>
  <si>
    <t>타이거즈</t>
  </si>
  <si>
    <t>구도</t>
  </si>
  <si>
    <t>jene</t>
  </si>
  <si>
    <t>싸우전드</t>
  </si>
  <si>
    <t>박진석</t>
  </si>
  <si>
    <t>서준아빠</t>
  </si>
  <si>
    <t>aurora</t>
  </si>
  <si>
    <t>굴비사마</t>
  </si>
  <si>
    <t>BADA</t>
  </si>
  <si>
    <t>l대마왕l</t>
  </si>
  <si>
    <t>강함과걍함사이</t>
  </si>
  <si>
    <t>도쿠가와이에야스</t>
  </si>
  <si>
    <t>공산당이싫어요</t>
  </si>
  <si>
    <t>간고등어</t>
  </si>
  <si>
    <t>행백이</t>
  </si>
  <si>
    <t>에쎄</t>
  </si>
  <si>
    <t>조버미</t>
  </si>
  <si>
    <t>배똥꾸멍</t>
  </si>
  <si>
    <t>으니화니</t>
  </si>
  <si>
    <t>탕만추</t>
  </si>
  <si>
    <t>Pisces</t>
  </si>
  <si>
    <t>웅냐</t>
  </si>
  <si>
    <t>주동이</t>
  </si>
  <si>
    <t>S썽아찌S</t>
  </si>
  <si>
    <t>퓨딜</t>
  </si>
  <si>
    <t>아와드</t>
  </si>
  <si>
    <t>샥련</t>
  </si>
  <si>
    <t>맑을린</t>
  </si>
  <si>
    <t>어노인팅</t>
  </si>
  <si>
    <t>qwer999</t>
  </si>
  <si>
    <t>다이빙</t>
  </si>
  <si>
    <t>하또짜</t>
  </si>
  <si>
    <t>난세영웅임</t>
  </si>
  <si>
    <t>척준겸</t>
  </si>
  <si>
    <t>한뚜혁</t>
  </si>
  <si>
    <t>아자핑</t>
  </si>
  <si>
    <t>치킨조아</t>
  </si>
  <si>
    <t>Atom</t>
  </si>
  <si>
    <t>보보부복</t>
  </si>
  <si>
    <t>TMB</t>
  </si>
  <si>
    <t>농협</t>
  </si>
  <si>
    <t>타샤</t>
  </si>
  <si>
    <t>수민이</t>
  </si>
  <si>
    <t>twvking</t>
  </si>
  <si>
    <t>김투명</t>
  </si>
  <si>
    <t>최민석민석</t>
  </si>
  <si>
    <t>픽셀</t>
  </si>
  <si>
    <t>냄비</t>
  </si>
  <si>
    <t>까페라떼</t>
  </si>
  <si>
    <t>개꿀한방</t>
  </si>
  <si>
    <t>둘리동욱</t>
  </si>
  <si>
    <t>nerdy</t>
  </si>
  <si>
    <t>릭시드</t>
  </si>
  <si>
    <t>짱주숭</t>
  </si>
  <si>
    <t>Regret</t>
  </si>
  <si>
    <t>기모찌맨</t>
  </si>
  <si>
    <t>랴니</t>
  </si>
  <si>
    <t>밤두가</t>
  </si>
  <si>
    <t>데퐁</t>
  </si>
  <si>
    <t>위니랑</t>
  </si>
  <si>
    <t>dndu</t>
  </si>
  <si>
    <t>용우니</t>
  </si>
  <si>
    <t>그래도살아야지</t>
  </si>
  <si>
    <t>E우주</t>
  </si>
  <si>
    <t>강통</t>
  </si>
  <si>
    <t>도휼</t>
  </si>
  <si>
    <t>서누</t>
  </si>
  <si>
    <t>방랑자장씨</t>
  </si>
  <si>
    <t>페코</t>
  </si>
  <si>
    <t>으누</t>
  </si>
  <si>
    <t>MSTY</t>
  </si>
  <si>
    <t>시인아이</t>
  </si>
  <si>
    <t>송송송</t>
  </si>
  <si>
    <t>블루딩굴</t>
  </si>
  <si>
    <t>호동생</t>
  </si>
  <si>
    <t>비긴이계인</t>
  </si>
  <si>
    <t>tmsjvl</t>
  </si>
  <si>
    <t>랑방</t>
  </si>
  <si>
    <t>벤야</t>
  </si>
  <si>
    <t>duha</t>
  </si>
  <si>
    <t>무적권</t>
  </si>
  <si>
    <t>마롱</t>
  </si>
  <si>
    <t>나태지옥</t>
  </si>
  <si>
    <t>양호두</t>
  </si>
  <si>
    <t>궁디팡</t>
  </si>
  <si>
    <t>Nospoon</t>
  </si>
  <si>
    <t>허씨</t>
  </si>
  <si>
    <t>구구가가</t>
  </si>
  <si>
    <t>주세요</t>
  </si>
  <si>
    <t>벼리벼리</t>
  </si>
  <si>
    <t>황금중독</t>
  </si>
  <si>
    <t>김로나</t>
  </si>
  <si>
    <t>Toc</t>
  </si>
  <si>
    <t>수라드</t>
  </si>
  <si>
    <t>골덕</t>
  </si>
  <si>
    <t>깔루아밀크</t>
  </si>
  <si>
    <t>시스렌</t>
  </si>
  <si>
    <t>왕호야</t>
  </si>
  <si>
    <t>믹스넛스낵</t>
  </si>
  <si>
    <t>이오스</t>
  </si>
  <si>
    <t>땅더비</t>
  </si>
  <si>
    <t>요피엘</t>
  </si>
  <si>
    <t>아이구</t>
  </si>
  <si>
    <t>꽁꽁이</t>
  </si>
  <si>
    <t>한방에블루스</t>
  </si>
  <si>
    <t>김인서</t>
  </si>
  <si>
    <t>유케이</t>
  </si>
  <si>
    <t>타노</t>
  </si>
  <si>
    <t>삼둥이아빠</t>
  </si>
  <si>
    <t>짱짱막창</t>
  </si>
  <si>
    <t>해일</t>
  </si>
  <si>
    <t>부가땅</t>
  </si>
  <si>
    <t>정튀</t>
  </si>
  <si>
    <t>느엥</t>
  </si>
  <si>
    <t>흐물이</t>
  </si>
  <si>
    <t>복마니1</t>
  </si>
  <si>
    <t>꼬마악사</t>
  </si>
  <si>
    <t>l3est</t>
  </si>
  <si>
    <t>십정동꿀주먹</t>
  </si>
  <si>
    <t>피릿</t>
  </si>
  <si>
    <t>킹한길</t>
  </si>
  <si>
    <t>우르르쾅쾅</t>
  </si>
  <si>
    <t>안티왕</t>
  </si>
  <si>
    <t>제네럴이순신</t>
  </si>
  <si>
    <t>구월삼월</t>
  </si>
  <si>
    <t>퇴근후취미</t>
  </si>
  <si>
    <t>옹이사랑</t>
  </si>
  <si>
    <t>삥쭈</t>
  </si>
  <si>
    <t>재아님</t>
  </si>
  <si>
    <t>kwr9458</t>
  </si>
  <si>
    <t>루이아범</t>
  </si>
  <si>
    <t>두식이아부지</t>
  </si>
  <si>
    <t>삼겹살이젤좋아</t>
  </si>
  <si>
    <t>슭삯</t>
  </si>
  <si>
    <t>종만</t>
  </si>
  <si>
    <t>지피지기</t>
  </si>
  <si>
    <t>얌고</t>
  </si>
  <si>
    <t>돌비개</t>
  </si>
  <si>
    <t>마갈곤</t>
  </si>
  <si>
    <t>태굥</t>
  </si>
  <si>
    <t>현쪄깅</t>
  </si>
  <si>
    <t>권대훈</t>
  </si>
  <si>
    <t>뉴진스해린</t>
  </si>
  <si>
    <t>25월즈파엠쵸비</t>
  </si>
  <si>
    <t>내가구운와플</t>
  </si>
  <si>
    <t>대칭</t>
  </si>
  <si>
    <t>꼬치쓰</t>
  </si>
  <si>
    <t>뱅섭</t>
  </si>
  <si>
    <t>긍가긍가</t>
  </si>
  <si>
    <t>내강</t>
  </si>
  <si>
    <t>Gargamel</t>
  </si>
  <si>
    <t>설흔</t>
  </si>
  <si>
    <t>봉고</t>
  </si>
  <si>
    <t>쩰리</t>
  </si>
  <si>
    <t>채가네김집사</t>
  </si>
  <si>
    <t>트리니타스</t>
  </si>
  <si>
    <t>위도리</t>
  </si>
  <si>
    <t>엽이</t>
  </si>
  <si>
    <t>포차</t>
  </si>
  <si>
    <t>용용비트</t>
  </si>
  <si>
    <t>세이러브</t>
  </si>
  <si>
    <t>소천</t>
  </si>
  <si>
    <t>규영</t>
  </si>
  <si>
    <t>국세청</t>
  </si>
  <si>
    <t>JMG</t>
  </si>
  <si>
    <t>NAC</t>
  </si>
  <si>
    <t>사철</t>
  </si>
  <si>
    <t>주내</t>
  </si>
  <si>
    <t>탄이</t>
  </si>
  <si>
    <t>가륜</t>
  </si>
  <si>
    <t>안시성I만춘</t>
  </si>
  <si>
    <t>l네메시스l</t>
  </si>
  <si>
    <t>o해요</t>
  </si>
  <si>
    <t>기풍한1</t>
  </si>
  <si>
    <t>철도공사</t>
  </si>
  <si>
    <t>검계수장</t>
  </si>
  <si>
    <t>탄코</t>
  </si>
  <si>
    <t>왕배</t>
  </si>
  <si>
    <t>구름꽃</t>
  </si>
  <si>
    <t>홍삼나무</t>
  </si>
  <si>
    <t>이천공안</t>
  </si>
  <si>
    <t>룽이</t>
  </si>
  <si>
    <t>미남고릴라</t>
  </si>
  <si>
    <t>독각룡</t>
  </si>
  <si>
    <t>에스카라</t>
  </si>
  <si>
    <t>dongsmas</t>
  </si>
  <si>
    <t>해다리리</t>
  </si>
  <si>
    <t>기린아</t>
  </si>
  <si>
    <t>그레이스</t>
  </si>
  <si>
    <t>도플라밍고</t>
  </si>
  <si>
    <t>오동</t>
  </si>
  <si>
    <t>막내키키</t>
  </si>
  <si>
    <t>표류중</t>
  </si>
  <si>
    <t>주식</t>
  </si>
  <si>
    <t>밈찌</t>
  </si>
  <si>
    <t>신혜공주</t>
  </si>
  <si>
    <t>살아남는자</t>
  </si>
  <si>
    <t>뱅포에틱</t>
  </si>
  <si>
    <t>쿵쿵이</t>
  </si>
  <si>
    <t>신비로운다람쥐</t>
  </si>
  <si>
    <t>사노</t>
  </si>
  <si>
    <t>아밍</t>
  </si>
  <si>
    <t>찌부</t>
  </si>
  <si>
    <t>후하</t>
  </si>
  <si>
    <t>K8</t>
  </si>
  <si>
    <t>쥐돌이</t>
  </si>
  <si>
    <t>서씨옴</t>
  </si>
  <si>
    <t>떨구</t>
  </si>
  <si>
    <t>딸봉바라기</t>
  </si>
  <si>
    <t>무향후</t>
  </si>
  <si>
    <t>치리군</t>
  </si>
  <si>
    <t>장일소</t>
  </si>
  <si>
    <t>개센놈</t>
  </si>
  <si>
    <t>깨방</t>
  </si>
  <si>
    <t>아쿠마</t>
  </si>
  <si>
    <t>무르무르</t>
  </si>
  <si>
    <t>Suzzy</t>
  </si>
  <si>
    <t>흑사초롱</t>
  </si>
  <si>
    <t>reso</t>
  </si>
  <si>
    <t>감녕</t>
  </si>
  <si>
    <t>금요일</t>
  </si>
  <si>
    <t>하나공공</t>
  </si>
  <si>
    <t>천상악</t>
  </si>
  <si>
    <t>신무호</t>
  </si>
  <si>
    <t>코코봉봉</t>
  </si>
  <si>
    <t>소전</t>
  </si>
  <si>
    <t>듀랜달</t>
  </si>
  <si>
    <t>세라라</t>
  </si>
  <si>
    <t>맹맹</t>
  </si>
  <si>
    <t>자냥탄센</t>
  </si>
  <si>
    <t>감자맛</t>
  </si>
  <si>
    <t>다댕이죠</t>
  </si>
  <si>
    <t>환세취호전</t>
  </si>
  <si>
    <t>이플</t>
  </si>
  <si>
    <t>청명신</t>
  </si>
  <si>
    <t>미역</t>
  </si>
  <si>
    <t>몽실몽실</t>
  </si>
  <si>
    <t>희동삼</t>
  </si>
  <si>
    <t>MaMooRi</t>
  </si>
  <si>
    <t>흥길동z</t>
  </si>
  <si>
    <t>명탐정코난</t>
  </si>
  <si>
    <t>하룻밤십만원</t>
  </si>
  <si>
    <t>허요허요</t>
  </si>
  <si>
    <t>난세GPT</t>
  </si>
  <si>
    <t>일류</t>
  </si>
  <si>
    <t>붕쯔붕쯔</t>
  </si>
  <si>
    <t>복실</t>
  </si>
  <si>
    <t>박달매</t>
  </si>
  <si>
    <t>리둠</t>
  </si>
  <si>
    <t>돼지수</t>
  </si>
  <si>
    <t>루사</t>
  </si>
  <si>
    <t>디아란</t>
  </si>
  <si>
    <t>가든</t>
  </si>
  <si>
    <t>SSG랜더스</t>
  </si>
  <si>
    <t>도치야</t>
  </si>
  <si>
    <t>하리보소주맛</t>
  </si>
  <si>
    <t>마니비니</t>
  </si>
  <si>
    <t>열전</t>
  </si>
  <si>
    <t>김하얀</t>
  </si>
  <si>
    <t>팝콘티비시후</t>
  </si>
  <si>
    <t>물긷는아낙네</t>
  </si>
  <si>
    <t>낭만표류기</t>
  </si>
  <si>
    <t>하야안</t>
  </si>
  <si>
    <t>부타</t>
  </si>
  <si>
    <t>자료구조</t>
  </si>
  <si>
    <t>헬랑구</t>
  </si>
  <si>
    <t>방귀꾼</t>
  </si>
  <si>
    <t>학준</t>
  </si>
  <si>
    <t>우치하이타치</t>
  </si>
  <si>
    <t>베니어</t>
  </si>
  <si>
    <t>기범배</t>
  </si>
  <si>
    <t>관절이아프구나</t>
  </si>
  <si>
    <t>제로나인</t>
  </si>
  <si>
    <t>닷지</t>
  </si>
  <si>
    <t>봉딱이</t>
  </si>
  <si>
    <t>숨소</t>
  </si>
  <si>
    <t>탕유닝</t>
  </si>
  <si>
    <t>타난</t>
  </si>
  <si>
    <t>조단비</t>
  </si>
  <si>
    <t>이로로</t>
  </si>
  <si>
    <t>지희88</t>
  </si>
  <si>
    <t>건호최고</t>
  </si>
  <si>
    <t>디오</t>
  </si>
  <si>
    <t>2쁜2</t>
  </si>
  <si>
    <t>팜린</t>
  </si>
  <si>
    <t>발직</t>
  </si>
  <si>
    <t>윈져</t>
  </si>
  <si>
    <t>악에서구하소서</t>
  </si>
  <si>
    <t>아주</t>
  </si>
  <si>
    <t>시몬</t>
  </si>
  <si>
    <t>바카</t>
  </si>
  <si>
    <t>응아코</t>
  </si>
  <si>
    <t>수진</t>
  </si>
  <si>
    <t>stage_reached_300 (App)</t>
  </si>
  <si>
    <t>W:15_0A:19_0</t>
  </si>
  <si>
    <t>W:4_0A:19_0</t>
  </si>
  <si>
    <t>W:19_0A:17_0</t>
  </si>
  <si>
    <t>W:22_0A:17_0</t>
  </si>
  <si>
    <t>히야신스</t>
  </si>
  <si>
    <t>굿난세</t>
  </si>
  <si>
    <t>카후</t>
  </si>
  <si>
    <t>윤율</t>
  </si>
  <si>
    <t>꼬금또구토토아빠</t>
  </si>
  <si>
    <t>꼬꼬무</t>
  </si>
  <si>
    <t>북조선고사포</t>
  </si>
  <si>
    <t>동이랑</t>
  </si>
  <si>
    <t>느시</t>
  </si>
  <si>
    <t>별할온</t>
  </si>
  <si>
    <t>모사불라</t>
  </si>
  <si>
    <t>나유</t>
  </si>
  <si>
    <t>단태비</t>
  </si>
  <si>
    <t>천상빛</t>
  </si>
  <si>
    <t>김기현</t>
  </si>
  <si>
    <t>이만두</t>
  </si>
  <si>
    <t>쵸이</t>
  </si>
  <si>
    <t>아라아빠</t>
  </si>
  <si>
    <t>쪽파</t>
  </si>
  <si>
    <t>써티프로</t>
  </si>
  <si>
    <t>한방이아부지</t>
  </si>
  <si>
    <t>이소룡</t>
  </si>
  <si>
    <t>YangC</t>
  </si>
  <si>
    <t>르무르</t>
  </si>
  <si>
    <t>윤서</t>
  </si>
  <si>
    <t>먼우</t>
  </si>
  <si>
    <t>디디에드록바</t>
  </si>
  <si>
    <t>탕탕이</t>
  </si>
  <si>
    <t>iiliiiil</t>
  </si>
  <si>
    <t>무쿤</t>
  </si>
  <si>
    <t>오아니</t>
  </si>
  <si>
    <t>물리면아파요</t>
  </si>
  <si>
    <t>우빵빵</t>
  </si>
  <si>
    <t>블랙윈저</t>
  </si>
  <si>
    <t>산연</t>
  </si>
  <si>
    <t>준떵어리</t>
  </si>
  <si>
    <t>잽삐</t>
  </si>
  <si>
    <t>푸니라</t>
  </si>
  <si>
    <t>아냐띠</t>
  </si>
  <si>
    <t>닉네임99999</t>
  </si>
  <si>
    <t>nihilism</t>
  </si>
  <si>
    <t>JoonM</t>
  </si>
  <si>
    <t>규리링</t>
  </si>
  <si>
    <t>고슬</t>
  </si>
  <si>
    <t>느앗</t>
  </si>
  <si>
    <t>허생</t>
  </si>
  <si>
    <t>주만두</t>
  </si>
  <si>
    <t>테이코</t>
  </si>
  <si>
    <t>땅모</t>
  </si>
  <si>
    <t>탐험가</t>
  </si>
  <si>
    <t>얼죽뱅</t>
  </si>
  <si>
    <t>한시대풍미</t>
  </si>
  <si>
    <t>오쭌쭌이</t>
  </si>
  <si>
    <t>행인이오</t>
  </si>
  <si>
    <t>llIIl</t>
  </si>
  <si>
    <t>태바리</t>
  </si>
  <si>
    <t>옆집빡구</t>
  </si>
  <si>
    <t>후니혀니</t>
  </si>
  <si>
    <t>실땅님</t>
  </si>
  <si>
    <t>시꾼</t>
  </si>
  <si>
    <t>조퇴중입니다</t>
  </si>
  <si>
    <t>지서니</t>
  </si>
  <si>
    <t>소여니사랑해</t>
  </si>
  <si>
    <t>진접대장</t>
  </si>
  <si>
    <t>가람뿡</t>
  </si>
  <si>
    <t>이건먼디</t>
  </si>
  <si>
    <t>에삐핑</t>
  </si>
  <si>
    <t>나노머신</t>
  </si>
  <si>
    <t>톰머</t>
  </si>
  <si>
    <t>적혈</t>
  </si>
  <si>
    <t>짖리</t>
  </si>
  <si>
    <t>뎌지</t>
  </si>
  <si>
    <t>호멍</t>
  </si>
  <si>
    <t>콱퉤일</t>
  </si>
  <si>
    <t>펜뷰</t>
  </si>
  <si>
    <t>kolee</t>
  </si>
  <si>
    <t>초류비연</t>
  </si>
  <si>
    <t>거타지</t>
  </si>
  <si>
    <t>모르는개산책</t>
  </si>
  <si>
    <t>암흑가의악질</t>
  </si>
  <si>
    <t>조선의포터</t>
  </si>
  <si>
    <t>이재영구속</t>
  </si>
  <si>
    <t>제아</t>
  </si>
  <si>
    <t>스텔라아</t>
  </si>
  <si>
    <t>칼린츠</t>
  </si>
  <si>
    <t>고야드</t>
  </si>
  <si>
    <t>이억만</t>
  </si>
  <si>
    <t>돌돌돌</t>
  </si>
  <si>
    <t>카리헬</t>
  </si>
  <si>
    <t>탈모의종선</t>
  </si>
  <si>
    <t>llllIIII</t>
  </si>
  <si>
    <t>장세현</t>
  </si>
  <si>
    <t>블랙늑대</t>
  </si>
  <si>
    <t>누루지</t>
  </si>
  <si>
    <t>원탱탱</t>
  </si>
  <si>
    <t>최강한화</t>
  </si>
  <si>
    <t>무랭이</t>
  </si>
  <si>
    <t>Nuckduri</t>
  </si>
  <si>
    <t>째째</t>
  </si>
  <si>
    <t>성청</t>
  </si>
  <si>
    <t>요로롱도로롱</t>
  </si>
  <si>
    <t>쪽쪽</t>
  </si>
  <si>
    <t>lameo</t>
  </si>
  <si>
    <t>잉어킹2</t>
  </si>
  <si>
    <t>귀여운두더지</t>
  </si>
  <si>
    <t>치운</t>
  </si>
  <si>
    <t>태건이</t>
  </si>
  <si>
    <t>최사전</t>
  </si>
  <si>
    <t>천제국왕</t>
  </si>
  <si>
    <t>조선이도</t>
  </si>
  <si>
    <t>루인군</t>
  </si>
  <si>
    <t>코코볼</t>
  </si>
  <si>
    <t>또로롱</t>
  </si>
  <si>
    <t>민서공주</t>
  </si>
  <si>
    <t>사하라소</t>
  </si>
  <si>
    <t>아윤하율</t>
  </si>
  <si>
    <t>크산테</t>
  </si>
  <si>
    <t>지멘</t>
  </si>
  <si>
    <t>박수</t>
  </si>
  <si>
    <t>매운맛스낵면</t>
  </si>
  <si>
    <t>딩떵이</t>
  </si>
  <si>
    <t>자잉</t>
  </si>
  <si>
    <t>다모다모</t>
  </si>
  <si>
    <t>망고스무디</t>
  </si>
  <si>
    <t>여소율</t>
  </si>
  <si>
    <t>송대근</t>
  </si>
  <si>
    <t>비뢰</t>
  </si>
  <si>
    <t>김루팡</t>
  </si>
  <si>
    <t>디에이드</t>
  </si>
  <si>
    <t>유지노</t>
  </si>
  <si>
    <t>구준표인봉</t>
  </si>
  <si>
    <t>제웁스</t>
  </si>
  <si>
    <t>무우사무휼</t>
  </si>
  <si>
    <t>봉돌이</t>
  </si>
  <si>
    <t>랑시랑</t>
  </si>
  <si>
    <t>봄같은나라</t>
  </si>
  <si>
    <t>난세의다미</t>
  </si>
  <si>
    <t>다크주</t>
  </si>
  <si>
    <t>너하고</t>
  </si>
  <si>
    <t>천망</t>
  </si>
  <si>
    <t>홍귈동</t>
  </si>
  <si>
    <t>이순신99번분신</t>
  </si>
  <si>
    <t>그랑나랑</t>
  </si>
  <si>
    <t>스킨</t>
  </si>
  <si>
    <t>늄이훈이</t>
  </si>
  <si>
    <t>강반석</t>
  </si>
  <si>
    <t>사민</t>
  </si>
  <si>
    <t>샤오위</t>
  </si>
  <si>
    <t>섭군</t>
  </si>
  <si>
    <t>분석이</t>
  </si>
  <si>
    <t>명악</t>
  </si>
  <si>
    <t>이시섭혈</t>
  </si>
  <si>
    <t>그럴수덕</t>
  </si>
  <si>
    <t>아랫도리용솟음</t>
  </si>
  <si>
    <t>eclipse</t>
  </si>
  <si>
    <t>JBOX</t>
  </si>
  <si>
    <t>bpjr</t>
  </si>
  <si>
    <t>로즈베리</t>
  </si>
  <si>
    <t>booui</t>
  </si>
  <si>
    <t>벳토리</t>
  </si>
  <si>
    <t>PODO</t>
  </si>
  <si>
    <t>유송현</t>
  </si>
  <si>
    <t>토낑이</t>
  </si>
  <si>
    <t>니동</t>
  </si>
  <si>
    <t>매컬린</t>
  </si>
  <si>
    <t>적이건</t>
  </si>
  <si>
    <t>루기서</t>
  </si>
  <si>
    <t>캐깜</t>
  </si>
  <si>
    <t>수호무적</t>
  </si>
  <si>
    <t>드로</t>
  </si>
  <si>
    <t>꾸꾸꾸</t>
  </si>
  <si>
    <t>난망고다</t>
  </si>
  <si>
    <t>콧물이파도를치네</t>
  </si>
  <si>
    <t>탐탐탐탐</t>
  </si>
  <si>
    <t>이순신표류기</t>
  </si>
  <si>
    <t>그미그미</t>
  </si>
  <si>
    <t>밠쨁</t>
  </si>
  <si>
    <t>장규리열혈팬</t>
  </si>
  <si>
    <t>눈의산들</t>
  </si>
  <si>
    <t>훈2</t>
  </si>
  <si>
    <t>동일</t>
  </si>
  <si>
    <t>구미곰탱이</t>
  </si>
  <si>
    <t>지서</t>
  </si>
  <si>
    <t>아르카네</t>
  </si>
  <si>
    <t>노브랜드</t>
  </si>
  <si>
    <t>라이터</t>
  </si>
  <si>
    <t>뚱슈</t>
  </si>
  <si>
    <t>보라돌</t>
  </si>
  <si>
    <t>김난신</t>
  </si>
  <si>
    <t>미키천국</t>
  </si>
  <si>
    <t>민초파</t>
  </si>
  <si>
    <t>깐세</t>
  </si>
  <si>
    <t>자브종늑대</t>
  </si>
  <si>
    <t>요거트슈</t>
  </si>
  <si>
    <t>Melo</t>
  </si>
  <si>
    <t>두자님</t>
  </si>
  <si>
    <t>닉네임표류기</t>
  </si>
  <si>
    <t>치티</t>
  </si>
  <si>
    <t>한국하렘왕</t>
  </si>
  <si>
    <t>moassam</t>
  </si>
  <si>
    <t>박덕춘</t>
  </si>
  <si>
    <t>원소</t>
  </si>
  <si>
    <t>환영z</t>
  </si>
  <si>
    <t>o그래o</t>
  </si>
  <si>
    <t>sh</t>
  </si>
  <si>
    <t>은솔정</t>
  </si>
  <si>
    <t>제1사막</t>
  </si>
  <si>
    <t>광개토대황제</t>
  </si>
  <si>
    <t>흑미</t>
  </si>
  <si>
    <t>LIV해원</t>
  </si>
  <si>
    <t>상콤쏘쥬맛</t>
  </si>
  <si>
    <t>라영</t>
  </si>
  <si>
    <t>클라스</t>
  </si>
  <si>
    <t>이사빛</t>
  </si>
  <si>
    <t>범주니</t>
  </si>
  <si>
    <t>김춘배</t>
  </si>
  <si>
    <t>장가계</t>
  </si>
  <si>
    <t>꼬매아지</t>
  </si>
  <si>
    <t>때린데또때린다</t>
  </si>
  <si>
    <t>지동파</t>
  </si>
  <si>
    <t>DogFire</t>
  </si>
  <si>
    <t>가원</t>
  </si>
  <si>
    <t>홍게대게</t>
  </si>
  <si>
    <t>청류</t>
  </si>
  <si>
    <t>무도실무관</t>
  </si>
  <si>
    <t>찹쌀딸기모찌</t>
  </si>
  <si>
    <t>박지뿡</t>
  </si>
  <si>
    <t>휴가을</t>
  </si>
  <si>
    <t>충자</t>
  </si>
  <si>
    <t>수염</t>
  </si>
  <si>
    <t>왕세자</t>
  </si>
  <si>
    <t>후조</t>
  </si>
  <si>
    <t>hyeong04</t>
  </si>
  <si>
    <t>나류토</t>
  </si>
  <si>
    <t>남방신주작</t>
  </si>
  <si>
    <t>찹쌀누룽지</t>
  </si>
  <si>
    <t>양승구</t>
  </si>
  <si>
    <t>꿍도사</t>
  </si>
  <si>
    <t>길몬</t>
  </si>
  <si>
    <t>갓생</t>
  </si>
  <si>
    <t>심바군</t>
  </si>
  <si>
    <t>달군</t>
  </si>
  <si>
    <t>아기민돌</t>
  </si>
  <si>
    <t>Yeo</t>
  </si>
  <si>
    <t>초행</t>
  </si>
  <si>
    <t>1부소</t>
  </si>
  <si>
    <t>가가파파</t>
  </si>
  <si>
    <t>찌노</t>
  </si>
  <si>
    <t>달순</t>
  </si>
  <si>
    <t>쿠디슝</t>
  </si>
  <si>
    <t>게시판</t>
  </si>
  <si>
    <t>아키츠키</t>
  </si>
  <si>
    <t>짝눈원숭이</t>
  </si>
  <si>
    <t>JohnSnow</t>
  </si>
  <si>
    <t>Renberto</t>
  </si>
  <si>
    <t>귤까면너줄게</t>
  </si>
  <si>
    <t>테슬라몰빵</t>
  </si>
  <si>
    <t>담배</t>
  </si>
  <si>
    <t>기승전망</t>
  </si>
  <si>
    <t>새도</t>
  </si>
  <si>
    <t>suhyeon</t>
  </si>
  <si>
    <t>정뚜억</t>
  </si>
  <si>
    <t>노리치민히</t>
  </si>
  <si>
    <t>비글</t>
  </si>
  <si>
    <t>수배중</t>
  </si>
  <si>
    <t>kjhkjh</t>
  </si>
  <si>
    <t>더베</t>
  </si>
  <si>
    <t>노바디노</t>
  </si>
  <si>
    <t>더부센</t>
  </si>
  <si>
    <t>쥐샥기</t>
  </si>
  <si>
    <t>오이짱</t>
  </si>
  <si>
    <t>하온왕자</t>
  </si>
  <si>
    <t>진영도령</t>
  </si>
  <si>
    <t>개냥OI</t>
  </si>
  <si>
    <t>홍키</t>
  </si>
  <si>
    <t>모지</t>
  </si>
  <si>
    <t>오프너지니</t>
  </si>
  <si>
    <t>너는누구세요</t>
  </si>
  <si>
    <t>레곤즈</t>
  </si>
  <si>
    <t>맥심</t>
  </si>
  <si>
    <t>드주낵</t>
  </si>
  <si>
    <t>진화론</t>
  </si>
  <si>
    <t>하하로</t>
  </si>
  <si>
    <t>곤뇽</t>
  </si>
  <si>
    <t>로디악</t>
  </si>
  <si>
    <t>조디악</t>
  </si>
  <si>
    <t>백캐노</t>
  </si>
  <si>
    <t>노을과낭만</t>
  </si>
  <si>
    <t>duck</t>
  </si>
  <si>
    <t>지효효</t>
  </si>
  <si>
    <t>그것이나다</t>
  </si>
  <si>
    <t>더블율</t>
  </si>
  <si>
    <t>Green</t>
  </si>
  <si>
    <t>하성</t>
  </si>
  <si>
    <t>테슬라곱버스</t>
  </si>
  <si>
    <t>난세의나미</t>
  </si>
  <si>
    <t>fromis9</t>
  </si>
  <si>
    <t>v바나나우유v</t>
  </si>
  <si>
    <t>이쏘지</t>
  </si>
  <si>
    <t>한국사능력검정</t>
  </si>
  <si>
    <t>장마</t>
  </si>
  <si>
    <t>쭈꾸쭈꾸</t>
  </si>
  <si>
    <t>마마루</t>
  </si>
  <si>
    <t>푸르른달</t>
  </si>
  <si>
    <t>대날두</t>
  </si>
  <si>
    <t>하얀늑대들</t>
  </si>
  <si>
    <t>김영식</t>
  </si>
  <si>
    <t>떵호예은</t>
  </si>
  <si>
    <t>몽키K</t>
  </si>
  <si>
    <t>레전필</t>
  </si>
  <si>
    <t>리오넬맹기</t>
  </si>
  <si>
    <t>rorori</t>
  </si>
  <si>
    <t>은빛비</t>
  </si>
  <si>
    <t>로머드</t>
  </si>
  <si>
    <t>현무암</t>
  </si>
  <si>
    <t>윤수서시</t>
  </si>
  <si>
    <t>너를향한지도</t>
  </si>
  <si>
    <t>채린</t>
  </si>
  <si>
    <t>애도</t>
  </si>
  <si>
    <t>cozy</t>
  </si>
  <si>
    <t>국밥맛킷캣</t>
  </si>
  <si>
    <t>신난노비</t>
  </si>
  <si>
    <t>OF47</t>
  </si>
  <si>
    <t>루카스o</t>
  </si>
  <si>
    <t>문드르륵</t>
  </si>
  <si>
    <t>톰과제리</t>
  </si>
  <si>
    <t>플딱아재</t>
  </si>
  <si>
    <t>진니크</t>
  </si>
  <si>
    <t>불짜장</t>
  </si>
  <si>
    <t>포코로</t>
  </si>
  <si>
    <t>두두두두</t>
  </si>
  <si>
    <t>곰맛</t>
  </si>
  <si>
    <t>초복중복말복</t>
  </si>
  <si>
    <t>호박벌</t>
  </si>
  <si>
    <t>흑골</t>
  </si>
  <si>
    <t>벨로나</t>
  </si>
  <si>
    <t>코디악</t>
  </si>
  <si>
    <t>주영</t>
  </si>
  <si>
    <t>아이동노우</t>
  </si>
  <si>
    <t>갬성</t>
  </si>
  <si>
    <t>뇽뇽이</t>
  </si>
  <si>
    <t>김안축</t>
  </si>
  <si>
    <t>전사법사</t>
  </si>
  <si>
    <t>hansaco</t>
  </si>
  <si>
    <t>하람온</t>
  </si>
  <si>
    <t>충무우공</t>
  </si>
  <si>
    <t>이몽타</t>
  </si>
  <si>
    <t>김쿠니</t>
  </si>
  <si>
    <t>스멜</t>
  </si>
  <si>
    <t>치우비</t>
  </si>
  <si>
    <t>빗치</t>
  </si>
  <si>
    <t>유진버프</t>
  </si>
  <si>
    <t>어디서</t>
  </si>
  <si>
    <t>태승</t>
  </si>
  <si>
    <t>운타이</t>
  </si>
  <si>
    <t>BlessG</t>
  </si>
  <si>
    <t>조디리</t>
  </si>
  <si>
    <t>미스터제로</t>
  </si>
  <si>
    <t>김재칠</t>
  </si>
  <si>
    <t>k루인</t>
  </si>
  <si>
    <t>RUGA</t>
  </si>
  <si>
    <t>해롱</t>
  </si>
  <si>
    <t>1충1</t>
  </si>
  <si>
    <t>지평선의악마</t>
  </si>
  <si>
    <t>잠온다1</t>
  </si>
  <si>
    <t>왕슈</t>
  </si>
  <si>
    <t>나정아</t>
  </si>
  <si>
    <t>Ruoo</t>
  </si>
  <si>
    <t>하인드킬</t>
  </si>
  <si>
    <t>탕탕너구리</t>
  </si>
  <si>
    <t>민서은서아빠</t>
  </si>
  <si>
    <t>제갈시온</t>
  </si>
  <si>
    <t>송하냥</t>
  </si>
  <si>
    <t>뷔제</t>
  </si>
  <si>
    <t>별로</t>
  </si>
  <si>
    <t>바나나킥</t>
  </si>
  <si>
    <t>한국사일타강사</t>
  </si>
  <si>
    <t>간동원</t>
  </si>
  <si>
    <t>동구랑땡</t>
  </si>
  <si>
    <t>호박설기</t>
  </si>
  <si>
    <t>as24</t>
  </si>
  <si>
    <t>매운맛루이</t>
  </si>
  <si>
    <t>신효</t>
  </si>
  <si>
    <t>푸푸푸</t>
  </si>
  <si>
    <t>알로아오에</t>
  </si>
  <si>
    <t>도호</t>
  </si>
  <si>
    <t>피엔나리</t>
  </si>
  <si>
    <t>작은세상큰꿈</t>
  </si>
  <si>
    <t>투명슬라임</t>
  </si>
  <si>
    <t>쿠크리</t>
  </si>
  <si>
    <t>폭제</t>
  </si>
  <si>
    <t>드라리</t>
  </si>
  <si>
    <t>들개군단</t>
  </si>
  <si>
    <t>익토</t>
  </si>
  <si>
    <t>호빵도령</t>
  </si>
  <si>
    <t>쫑이염</t>
  </si>
  <si>
    <t>캡틴용박</t>
  </si>
  <si>
    <t>백히랑</t>
  </si>
  <si>
    <t>손Zi</t>
  </si>
  <si>
    <t>심심한걸</t>
  </si>
  <si>
    <t>편각</t>
  </si>
  <si>
    <t>국사형</t>
  </si>
  <si>
    <t>내가왕이다</t>
  </si>
  <si>
    <t>푸응</t>
  </si>
  <si>
    <t>덕산</t>
  </si>
  <si>
    <t>아제발</t>
  </si>
  <si>
    <t>부사교</t>
  </si>
  <si>
    <t>momo2</t>
  </si>
  <si>
    <t>KENZO</t>
  </si>
  <si>
    <t>마요</t>
  </si>
  <si>
    <t>육도선인</t>
  </si>
  <si>
    <t>백두혈통</t>
  </si>
  <si>
    <t>루피해적단</t>
  </si>
  <si>
    <t>권률</t>
  </si>
  <si>
    <t>뚜구리</t>
  </si>
  <si>
    <t>기본금</t>
  </si>
  <si>
    <t>허이</t>
  </si>
  <si>
    <t>손도이</t>
  </si>
  <si>
    <t>견우와직쏘</t>
  </si>
  <si>
    <t>초코국밥</t>
  </si>
  <si>
    <t>민초세멸</t>
  </si>
  <si>
    <t>복규</t>
  </si>
  <si>
    <t>송지효</t>
  </si>
  <si>
    <t>jisung</t>
  </si>
  <si>
    <t>김떡팔</t>
  </si>
  <si>
    <t>아치발</t>
  </si>
  <si>
    <t>펭구7</t>
  </si>
  <si>
    <t>유실물보관소</t>
  </si>
  <si>
    <t>bamuse</t>
  </si>
  <si>
    <t>달데시마</t>
  </si>
  <si>
    <t>풉풉이</t>
  </si>
  <si>
    <t>하얀띠</t>
  </si>
  <si>
    <t>양현</t>
  </si>
  <si>
    <t>hduwk</t>
  </si>
  <si>
    <t>단다단다</t>
  </si>
  <si>
    <t>카레우동</t>
  </si>
  <si>
    <t>물수제</t>
  </si>
  <si>
    <t>미야</t>
  </si>
  <si>
    <t>대베</t>
  </si>
  <si>
    <t>뮴윰</t>
  </si>
  <si>
    <t>털숩</t>
  </si>
  <si>
    <t>챰퐁</t>
  </si>
  <si>
    <t>JS</t>
  </si>
  <si>
    <t>사몬</t>
  </si>
  <si>
    <t>휘이잉</t>
  </si>
  <si>
    <t>아꿍이</t>
  </si>
  <si>
    <t>채봉이</t>
  </si>
  <si>
    <t>악오</t>
  </si>
  <si>
    <t>신비블루</t>
  </si>
  <si>
    <t>구니구니</t>
  </si>
  <si>
    <t>측반</t>
  </si>
  <si>
    <t>요마</t>
  </si>
  <si>
    <t>1집사</t>
  </si>
  <si>
    <t>하꼬</t>
  </si>
  <si>
    <t>아싸사랑이</t>
  </si>
  <si>
    <t>몽클</t>
  </si>
  <si>
    <t>김용덕</t>
  </si>
  <si>
    <t>순간적쾌락</t>
  </si>
  <si>
    <t>볼리</t>
  </si>
  <si>
    <t>acpf</t>
  </si>
  <si>
    <t>다움이룸</t>
  </si>
  <si>
    <t>나이팅게일</t>
  </si>
  <si>
    <t>사탕한가득</t>
  </si>
  <si>
    <t>qplaying</t>
  </si>
  <si>
    <t>혀미네이터</t>
  </si>
  <si>
    <t>유하탱</t>
  </si>
  <si>
    <t>둥장</t>
  </si>
  <si>
    <t>하품만나와</t>
  </si>
  <si>
    <t>alpen</t>
  </si>
  <si>
    <t>쫑하</t>
  </si>
  <si>
    <t>리얼리즘</t>
  </si>
  <si>
    <t>깡설이</t>
  </si>
  <si>
    <t>난세에영웅이도래</t>
  </si>
  <si>
    <t>누기부기</t>
  </si>
  <si>
    <t>윤신달</t>
  </si>
  <si>
    <t>오이당근</t>
  </si>
  <si>
    <t>김철호</t>
  </si>
  <si>
    <t>콩엨콩</t>
  </si>
  <si>
    <t>Lagard</t>
  </si>
  <si>
    <t>반달곰</t>
  </si>
  <si>
    <t>지삼선생</t>
  </si>
  <si>
    <t>일등</t>
  </si>
  <si>
    <t>블랙머리</t>
  </si>
  <si>
    <t>처벌자</t>
  </si>
  <si>
    <t>두나케시이장</t>
  </si>
  <si>
    <t>윤이나</t>
  </si>
  <si>
    <t>모너</t>
  </si>
  <si>
    <t>김근육</t>
  </si>
  <si>
    <t>하늘고백</t>
  </si>
  <si>
    <t>활빈당홍길동</t>
  </si>
  <si>
    <t>흥신</t>
  </si>
  <si>
    <t>스토리</t>
  </si>
  <si>
    <t>JJ8D8</t>
  </si>
  <si>
    <t>제육</t>
  </si>
  <si>
    <t>쮸아해요구독</t>
  </si>
  <si>
    <t>백이련</t>
  </si>
  <si>
    <t>시조</t>
  </si>
  <si>
    <t>평양성</t>
  </si>
  <si>
    <t>바르다지</t>
  </si>
  <si>
    <t>앙씨</t>
  </si>
  <si>
    <t>강한자</t>
  </si>
  <si>
    <t>송희립</t>
  </si>
  <si>
    <t>치코리타</t>
  </si>
  <si>
    <t>서지니야</t>
  </si>
  <si>
    <t>난세의난</t>
  </si>
  <si>
    <t>냠냠포미ss</t>
  </si>
  <si>
    <t>비표기</t>
  </si>
  <si>
    <t>새드나</t>
  </si>
  <si>
    <t>류슈</t>
  </si>
  <si>
    <t>퓨어</t>
  </si>
  <si>
    <t>의자의자</t>
  </si>
  <si>
    <t>이미존재함</t>
  </si>
  <si>
    <t>미소사이</t>
  </si>
  <si>
    <t>코란</t>
  </si>
  <si>
    <t>조문열</t>
  </si>
  <si>
    <t>갓수영</t>
  </si>
  <si>
    <t>할비</t>
  </si>
  <si>
    <t>라쿠</t>
  </si>
  <si>
    <t>동디니</t>
  </si>
  <si>
    <t>극치</t>
  </si>
  <si>
    <t>188w27</t>
  </si>
  <si>
    <t>킴손산</t>
  </si>
  <si>
    <t>용용이다</t>
  </si>
  <si>
    <t>이딱이</t>
  </si>
  <si>
    <t>라인서</t>
  </si>
  <si>
    <t>김아싸</t>
  </si>
  <si>
    <t>꿀떡이</t>
  </si>
  <si>
    <t>불꺼진성냥</t>
  </si>
  <si>
    <t>줄까</t>
  </si>
  <si>
    <t>람각</t>
  </si>
  <si>
    <t>클라이벗</t>
  </si>
  <si>
    <t>숭구리당당</t>
  </si>
  <si>
    <t>검과방패</t>
  </si>
  <si>
    <t>종생</t>
  </si>
  <si>
    <t>레오강아지</t>
  </si>
  <si>
    <t>박미나리</t>
  </si>
  <si>
    <t>골든</t>
  </si>
  <si>
    <t>bean</t>
  </si>
  <si>
    <t>킹린</t>
  </si>
  <si>
    <t>성후니</t>
  </si>
  <si>
    <t>황목치승</t>
  </si>
  <si>
    <t>큼캉</t>
  </si>
  <si>
    <t>남연우</t>
  </si>
  <si>
    <t>이재명죽음</t>
  </si>
  <si>
    <t>포돌햄</t>
  </si>
  <si>
    <t>소노다</t>
  </si>
  <si>
    <t>난세이</t>
  </si>
  <si>
    <t>독고바위</t>
  </si>
  <si>
    <t>신주몽</t>
  </si>
  <si>
    <t>lsh</t>
  </si>
  <si>
    <t>귀주대첩</t>
  </si>
  <si>
    <t>rumpu</t>
  </si>
  <si>
    <t>깨방지</t>
  </si>
  <si>
    <t>지효</t>
  </si>
  <si>
    <t>야멍이</t>
  </si>
  <si>
    <t>개스날리쉬</t>
  </si>
  <si>
    <t>구찌독</t>
  </si>
  <si>
    <t>탠니</t>
  </si>
  <si>
    <t>good소영</t>
  </si>
  <si>
    <t>다흙</t>
  </si>
  <si>
    <t>명이나물</t>
  </si>
  <si>
    <t>SSSPJM</t>
  </si>
  <si>
    <t>GOMGOM</t>
  </si>
  <si>
    <t>판진</t>
  </si>
  <si>
    <t>브콜</t>
  </si>
  <si>
    <t>버기</t>
  </si>
  <si>
    <t>주노호노</t>
  </si>
  <si>
    <t>장구</t>
  </si>
  <si>
    <t>달리기</t>
  </si>
  <si>
    <t>어휴</t>
  </si>
  <si>
    <t>흠씨</t>
  </si>
  <si>
    <t>버들화니숲</t>
  </si>
  <si>
    <t>지안표류기</t>
  </si>
  <si>
    <t>운임수정</t>
  </si>
  <si>
    <t>용용리</t>
  </si>
  <si>
    <t>내왕이될상인가</t>
  </si>
  <si>
    <t>학익진</t>
  </si>
  <si>
    <t>jaym</t>
  </si>
  <si>
    <t>김뿡</t>
  </si>
  <si>
    <t>두두부부</t>
  </si>
  <si>
    <t>말차치즈맛</t>
  </si>
  <si>
    <t>데식이</t>
  </si>
  <si>
    <t>리성아</t>
  </si>
  <si>
    <t>홍월이</t>
  </si>
  <si>
    <t>박이</t>
  </si>
  <si>
    <t>두콩</t>
  </si>
  <si>
    <t>과학을보다</t>
  </si>
  <si>
    <t>플오</t>
  </si>
  <si>
    <t>아까그넘</t>
  </si>
  <si>
    <t>동광</t>
  </si>
  <si>
    <t>알콜79소주</t>
  </si>
  <si>
    <t>schnee</t>
  </si>
  <si>
    <t>엘리엠</t>
  </si>
  <si>
    <t>궁디표류</t>
  </si>
  <si>
    <t>헤븐윙</t>
  </si>
  <si>
    <t>구룡리간지김민욱</t>
  </si>
  <si>
    <t>이논</t>
  </si>
  <si>
    <t>게토</t>
  </si>
  <si>
    <t>골잽이</t>
  </si>
  <si>
    <t>만득임</t>
  </si>
  <si>
    <t>사바케</t>
  </si>
  <si>
    <t>볼때기사랑</t>
  </si>
  <si>
    <t>이동준</t>
  </si>
  <si>
    <t>사마빙</t>
  </si>
  <si>
    <t>강남여신공주</t>
  </si>
  <si>
    <t>레이먼</t>
  </si>
  <si>
    <t>쿼카왕</t>
  </si>
  <si>
    <t>빙하</t>
  </si>
  <si>
    <t>상암존예여신</t>
  </si>
  <si>
    <t>잣까라</t>
  </si>
  <si>
    <t>콜렉터</t>
  </si>
  <si>
    <t>한푼만줍쇼</t>
  </si>
  <si>
    <t>나대는</t>
  </si>
  <si>
    <t>삼두부</t>
  </si>
  <si>
    <t>JFocus</t>
  </si>
  <si>
    <t>달의정기</t>
  </si>
  <si>
    <t>난세의드래곤</t>
  </si>
  <si>
    <t>이지대장</t>
  </si>
  <si>
    <t>artruis</t>
  </si>
  <si>
    <t>영화</t>
  </si>
  <si>
    <t>휠버그</t>
  </si>
  <si>
    <t>그레이리</t>
  </si>
  <si>
    <t>민벤져스</t>
  </si>
  <si>
    <t>흑천</t>
  </si>
  <si>
    <t>스스골</t>
  </si>
  <si>
    <t>김문성</t>
  </si>
  <si>
    <t>우왕굳</t>
  </si>
  <si>
    <t>한겨르</t>
  </si>
  <si>
    <t>김도영</t>
  </si>
  <si>
    <t>앤버디</t>
  </si>
  <si>
    <t>l무신l</t>
  </si>
  <si>
    <t>말랑김밥</t>
  </si>
  <si>
    <t>아기맹수말티즈</t>
  </si>
  <si>
    <t>닥스코코</t>
  </si>
  <si>
    <t>세환</t>
  </si>
  <si>
    <t>찍먹222</t>
  </si>
  <si>
    <t>명동시라소니</t>
  </si>
  <si>
    <t>하얀참새</t>
  </si>
  <si>
    <t>리정</t>
  </si>
  <si>
    <t>롯케</t>
  </si>
  <si>
    <t>카라멜</t>
  </si>
  <si>
    <t>복구</t>
  </si>
  <si>
    <t>시그</t>
  </si>
  <si>
    <t>신우시스템</t>
  </si>
  <si>
    <t>냠냠콩떡</t>
  </si>
  <si>
    <t>안농</t>
  </si>
  <si>
    <t>로영</t>
  </si>
  <si>
    <t>이시안</t>
  </si>
  <si>
    <t>창덕궁</t>
  </si>
  <si>
    <t>녀석</t>
  </si>
  <si>
    <t>꼬기</t>
  </si>
  <si>
    <t>카리스마행</t>
  </si>
  <si>
    <t>낙네림</t>
  </si>
  <si>
    <t>난세0</t>
  </si>
  <si>
    <t>부검결과</t>
  </si>
  <si>
    <t>보나</t>
  </si>
  <si>
    <t>Diabolus</t>
  </si>
  <si>
    <t>wind</t>
  </si>
  <si>
    <t>89detail</t>
  </si>
  <si>
    <t>여우개</t>
  </si>
  <si>
    <t>명량</t>
  </si>
  <si>
    <t>오태식이</t>
  </si>
  <si>
    <t>허모띠</t>
  </si>
  <si>
    <t>짐캐리</t>
  </si>
  <si>
    <t>코덜식</t>
  </si>
  <si>
    <t>질풍</t>
  </si>
  <si>
    <t>흣흣</t>
  </si>
  <si>
    <t>어얼씨구</t>
  </si>
  <si>
    <t>전설e</t>
  </si>
  <si>
    <t>소안</t>
  </si>
  <si>
    <t>Lear</t>
  </si>
  <si>
    <t>아리아래</t>
  </si>
  <si>
    <t>지나</t>
  </si>
  <si>
    <t>0l욜</t>
  </si>
  <si>
    <t>정지기</t>
  </si>
  <si>
    <t>용순아</t>
  </si>
  <si>
    <t>상장군홍도</t>
  </si>
  <si>
    <t>에르</t>
  </si>
  <si>
    <t>강담</t>
  </si>
  <si>
    <t>G렷쥬</t>
  </si>
  <si>
    <t>구마적</t>
  </si>
  <si>
    <t>마초족발</t>
  </si>
  <si>
    <t>박하슬</t>
  </si>
  <si>
    <t>리코우</t>
  </si>
  <si>
    <t>일어난오리</t>
  </si>
  <si>
    <t>큰별쌤</t>
  </si>
  <si>
    <t>조던</t>
  </si>
  <si>
    <t>널리</t>
  </si>
  <si>
    <t>도마안중근</t>
  </si>
  <si>
    <t>goof</t>
  </si>
  <si>
    <t>오늘만산다</t>
  </si>
  <si>
    <t>맛탕</t>
  </si>
  <si>
    <t>DnG</t>
  </si>
  <si>
    <t>링고스타</t>
  </si>
  <si>
    <t>힝찍먹이얌</t>
  </si>
  <si>
    <t>아서물</t>
  </si>
  <si>
    <t>그르</t>
  </si>
  <si>
    <t>한국사1등급기원</t>
  </si>
  <si>
    <t>밤끝</t>
  </si>
  <si>
    <t>곽두</t>
  </si>
  <si>
    <t>정난영</t>
  </si>
  <si>
    <t>새벽빛세상</t>
  </si>
  <si>
    <t>몽화</t>
  </si>
  <si>
    <t>힘센캐</t>
  </si>
  <si>
    <t>몽수</t>
  </si>
  <si>
    <t>달콩집사</t>
  </si>
  <si>
    <t>견곰</t>
  </si>
  <si>
    <t>을파</t>
  </si>
  <si>
    <t>고인물</t>
  </si>
  <si>
    <t>펜타닐</t>
  </si>
  <si>
    <t>코일</t>
  </si>
  <si>
    <t>대구건달</t>
  </si>
  <si>
    <t>믿음이93</t>
  </si>
  <si>
    <t>개군소</t>
  </si>
  <si>
    <t>블랙닥터</t>
  </si>
  <si>
    <t>DDUDDU</t>
  </si>
  <si>
    <t>하야꾸</t>
  </si>
  <si>
    <t>빡뚱</t>
  </si>
  <si>
    <t>디비자라</t>
  </si>
  <si>
    <t>한쿡</t>
  </si>
  <si>
    <t>9잉</t>
  </si>
  <si>
    <t>뿅망키</t>
  </si>
  <si>
    <t>통이</t>
  </si>
  <si>
    <t>지비니</t>
  </si>
  <si>
    <t>비령</t>
  </si>
  <si>
    <t>뿌링크스</t>
  </si>
  <si>
    <t>민욱</t>
  </si>
  <si>
    <t>Event Category</t>
    <phoneticPr fontId="1" type="noConversion"/>
  </si>
  <si>
    <t>유저수</t>
    <phoneticPr fontId="1" type="noConversion"/>
  </si>
  <si>
    <t>총금액</t>
    <phoneticPr fontId="1" type="noConversion"/>
  </si>
  <si>
    <t>스테이지</t>
  </si>
  <si>
    <t>유저 수</t>
  </si>
  <si>
    <t>평균 출석일수</t>
  </si>
  <si>
    <t>평균 결제액</t>
  </si>
  <si>
    <t>중위 결제액</t>
  </si>
  <si>
    <t>최대 결제액</t>
  </si>
  <si>
    <t>무과금 유저 수</t>
  </si>
  <si>
    <t>1,337명</t>
  </si>
  <si>
    <t>19.5일</t>
  </si>
  <si>
    <t>5.1만 원</t>
  </si>
  <si>
    <t>7,700원</t>
  </si>
  <si>
    <t>990,000원</t>
  </si>
  <si>
    <t>49명</t>
  </si>
  <si>
    <t>716명</t>
  </si>
  <si>
    <t>22.4일</t>
  </si>
  <si>
    <t>11.1만 원</t>
  </si>
  <si>
    <t>3.6만 원</t>
  </si>
  <si>
    <t>1,305,700원</t>
  </si>
  <si>
    <t>21명</t>
  </si>
  <si>
    <t>166명</t>
  </si>
  <si>
    <t>24.8일</t>
  </si>
  <si>
    <t>41.9만 원</t>
  </si>
  <si>
    <t>36.9만 원</t>
  </si>
  <si>
    <t>1,437,700원</t>
  </si>
  <si>
    <t>1명</t>
  </si>
  <si>
    <t>66명</t>
  </si>
  <si>
    <t>23.5일</t>
  </si>
  <si>
    <t>75.1만 원</t>
  </si>
  <si>
    <t>68.8만 원</t>
  </si>
  <si>
    <t>1,980,000원</t>
  </si>
  <si>
    <t>행 레이블</t>
  </si>
  <si>
    <t>총합계</t>
  </si>
  <si>
    <t>(비어 있음)</t>
  </si>
  <si>
    <t>개수 : 605000</t>
  </si>
  <si>
    <t>합계 : 537900</t>
  </si>
  <si>
    <t>개수 : zenz</t>
  </si>
  <si>
    <t>개수 : 770000</t>
  </si>
  <si>
    <t>평균 : 770000</t>
  </si>
  <si>
    <t>개수 : 1657700</t>
  </si>
  <si>
    <t>평균 : 605000_2</t>
  </si>
  <si>
    <t>합계 : 770000_2</t>
  </si>
  <si>
    <t>1250~1300</t>
  </si>
  <si>
    <t>1300~1350</t>
  </si>
  <si>
    <t>1350~1400</t>
  </si>
  <si>
    <t>ItemPurchased (App)</t>
  </si>
  <si>
    <t>Sudden_Product_Bead1__0</t>
  </si>
  <si>
    <t>Sudden_Product_Growth1__4</t>
  </si>
  <si>
    <t>Sudden_Product_Growth1__3</t>
  </si>
  <si>
    <t>Sudden_Product_Research__5</t>
  </si>
  <si>
    <t>Sudden_Product_Growth1__5</t>
  </si>
  <si>
    <t>(1)_account_Product_7__0</t>
  </si>
  <si>
    <t>(1)_account_Product_4__0</t>
  </si>
  <si>
    <t>Pass_Product_1__2</t>
  </si>
  <si>
    <t>Sudden_Product_Boost__1</t>
  </si>
  <si>
    <t>Pass_Product_3__3</t>
  </si>
  <si>
    <t>account_Product_draw_1__3</t>
  </si>
  <si>
    <t>Sudden_Product_Bead1__1</t>
  </si>
  <si>
    <t>평균 : 2</t>
  </si>
  <si>
    <t>개수 : 605000_3</t>
  </si>
  <si>
    <t>합계 : 605000</t>
  </si>
  <si>
    <t>평균 : 3</t>
  </si>
  <si>
    <t>평균 : 537900_2</t>
  </si>
  <si>
    <t>합계 : 1657700_3</t>
  </si>
  <si>
    <t>평균 : 1657700_2</t>
  </si>
  <si>
    <t>평균 : 4</t>
  </si>
  <si>
    <t>평균 :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</si>
</sst>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4" fontId="2" fillId="0" borderId="0" xfId="1" applyNumberFormat="1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3" fontId="0" fillId="2" borderId="0" xfId="0" applyNumberFormat="1" applyFill="1">
      <alignment vertical="center"/>
    </xf>
    <xf numFmtId="0" fontId="0" fillId="2" borderId="0" xfId="0" applyFill="1">
      <alignment vertical="center"/>
    </xf>
    <xf numFmtId="1" fontId="0" fillId="0" borderId="0" xfId="0" applyNumberFormat="1">
      <alignment vertical="center"/>
    </xf>
    <xf numFmtId="41" fontId="0" fillId="0" borderId="0" xfId="2" applyFont="1">
      <alignment vertical="center"/>
    </xf>
    <xf numFmtId="41" fontId="0" fillId="0" borderId="0" xfId="0" applyNumberFormat="1">
      <alignment vertical="center"/>
    </xf>
    <xf numFmtId="9" fontId="0" fillId="0" borderId="0" xfId="3" applyFont="1">
      <alignment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NumberFormat="1" applyFont="1" applyFill="1" applyBorder="1">
      <alignment vertical="center"/>
    </xf>
  </cellXfs>
  <cellStyles count="4">
    <cellStyle name="백분율" xfId="3" builtinId="5"/>
    <cellStyle name="쉼표 [0]" xfId="2" builtinId="6"/>
    <cellStyle name="표준" xfId="0" builtinId="0"/>
    <cellStyle name="하이퍼링크" xfId="1" builtinId="8"/>
  </cellStyles>
  <dxfs count="2"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jg19\Documents\bm&#44844;&#47532;&#54364;.xlsx" TargetMode="External"/><Relationship Id="rId1" Type="http://schemas.openxmlformats.org/officeDocument/2006/relationships/externalLinkPath" Target="/Users/jjg19/Documents/bm&#44844;&#47532;&#543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Sheet4"/>
      <sheetName val="Sheet5"/>
    </sheetNames>
    <sheetDataSet>
      <sheetData sheetId="0" refreshError="1"/>
      <sheetData sheetId="1">
        <row r="1">
          <cell r="I1" t="str">
            <v>account_Product_Draw_0__</v>
          </cell>
          <cell r="J1" t="str">
            <v>계정한정소환무기</v>
          </cell>
        </row>
        <row r="2">
          <cell r="I2" t="str">
            <v>account_Product_Draw_1__</v>
          </cell>
          <cell r="J2" t="str">
            <v>계정한정소환갑옷</v>
          </cell>
        </row>
        <row r="3">
          <cell r="I3" t="str">
            <v>account_Product_Draw_2__</v>
          </cell>
          <cell r="J3" t="str">
            <v>계정한정소환장비</v>
          </cell>
        </row>
        <row r="4">
          <cell r="I4" t="str">
            <v>account_Product_Draw_3__</v>
          </cell>
          <cell r="J4" t="str">
            <v>계정한정소환고려</v>
          </cell>
        </row>
        <row r="5">
          <cell r="I5" t="str">
            <v>account_Product_Draw_4__</v>
          </cell>
          <cell r="J5" t="str">
            <v>계정한정소환조선</v>
          </cell>
        </row>
        <row r="6">
          <cell r="I6" t="str">
            <v>account_Product_Draw_5__</v>
          </cell>
          <cell r="J6" t="str">
            <v>계정한정소환가속</v>
          </cell>
        </row>
        <row r="9">
          <cell r="I9" t="str">
            <v>account_Product_Hero_0__</v>
          </cell>
          <cell r="J9" t="str">
            <v>계정한정영웅육성지원</v>
          </cell>
        </row>
        <row r="10">
          <cell r="I10" t="str">
            <v>account_Product_Hero_1__</v>
          </cell>
          <cell r="J10" t="str">
            <v>계정한정영웅초월지원</v>
          </cell>
        </row>
        <row r="11">
          <cell r="I11" t="str">
            <v>account_Product_Hero_2__</v>
          </cell>
          <cell r="J11" t="str">
            <v>계정한정영웅어빌지원</v>
          </cell>
        </row>
        <row r="12">
          <cell r="I12" t="str">
            <v>account_Product_Hero_3__</v>
          </cell>
          <cell r="J12" t="str">
            <v>계정한정영웅룬지원</v>
          </cell>
        </row>
        <row r="13">
          <cell r="I13" t="str">
            <v>account_Product_Hero_4__</v>
          </cell>
          <cell r="J13" t="str">
            <v>계정한정영웅무기지원</v>
          </cell>
        </row>
        <row r="14">
          <cell r="I14" t="str">
            <v>account_Product_Hero_5__</v>
          </cell>
          <cell r="J14" t="str">
            <v>계정한정영웅갑옷지원</v>
          </cell>
        </row>
        <row r="15">
          <cell r="I15" t="str">
            <v>account_Product_Hero_6__</v>
          </cell>
          <cell r="J15" t="str">
            <v>계정한정영웅필드지원</v>
          </cell>
        </row>
        <row r="16">
          <cell r="I16" t="str">
            <v>account_Product_Hero_7__</v>
          </cell>
          <cell r="J16" t="str">
            <v>계정한정영웅점령전지원</v>
          </cell>
        </row>
        <row r="17">
          <cell r="I17" t="str">
            <v>account_Product_Hero_8__</v>
          </cell>
          <cell r="J17" t="str">
            <v>계정한정영웅무릉전</v>
          </cell>
        </row>
        <row r="18">
          <cell r="I18" t="str">
            <v>account_Product_Hero_9__</v>
          </cell>
          <cell r="J18" t="str">
            <v>계정한정영웅퇴마전</v>
          </cell>
        </row>
        <row r="19">
          <cell r="I19" t="str">
            <v>account_Product_Hero_10__</v>
          </cell>
          <cell r="J19" t="str">
            <v>계정한정영웅연구지원</v>
          </cell>
        </row>
        <row r="22">
          <cell r="I22" t="str">
            <v>(0)_account_Product_0__</v>
          </cell>
          <cell r="J22" t="str">
            <v>기한한정일간 무료</v>
          </cell>
        </row>
        <row r="23">
          <cell r="I23" t="str">
            <v>(0)_account_Product_1__</v>
          </cell>
          <cell r="J23" t="str">
            <v xml:space="preserve">기한한정일간장비 </v>
          </cell>
        </row>
        <row r="24">
          <cell r="I24" t="str">
            <v>(0)_account_Product_2__</v>
          </cell>
          <cell r="J24" t="str">
            <v xml:space="preserve">기한한정일간영웅 </v>
          </cell>
        </row>
        <row r="25">
          <cell r="I25" t="str">
            <v>(0)_account_Product_3__</v>
          </cell>
          <cell r="J25" t="str">
            <v>기한한정일간가속</v>
          </cell>
        </row>
        <row r="26">
          <cell r="I26" t="str">
            <v>(0)_account_Product_4__</v>
          </cell>
          <cell r="J26" t="str">
            <v xml:space="preserve">기한한정일간어빌석 </v>
          </cell>
        </row>
        <row r="27">
          <cell r="I27" t="str">
            <v>(0)_account_Product_5__</v>
          </cell>
          <cell r="J27" t="str">
            <v xml:space="preserve">기한한정일간연구석 </v>
          </cell>
        </row>
        <row r="28">
          <cell r="I28" t="str">
            <v>(0)_account_Product_6__</v>
          </cell>
          <cell r="J28" t="str">
            <v xml:space="preserve">기한한정일간입장권 </v>
          </cell>
        </row>
        <row r="29">
          <cell r="I29" t="str">
            <v>(0)_account_Product_7__</v>
          </cell>
          <cell r="J29" t="str">
            <v>기한한정일간입장권</v>
          </cell>
        </row>
        <row r="31">
          <cell r="I31" t="str">
            <v>(1)_account_Product_0__</v>
          </cell>
          <cell r="J31" t="str">
            <v>주간 일간 무료</v>
          </cell>
        </row>
        <row r="32">
          <cell r="I32" t="str">
            <v>(1)_account_Product_1__</v>
          </cell>
          <cell r="J32" t="str">
            <v xml:space="preserve">주간장비 </v>
          </cell>
        </row>
        <row r="33">
          <cell r="I33" t="str">
            <v>(1)_account_Product_2__</v>
          </cell>
          <cell r="J33" t="str">
            <v xml:space="preserve">주간영웅 </v>
          </cell>
        </row>
        <row r="34">
          <cell r="I34" t="str">
            <v>(1)_account_Product_3__</v>
          </cell>
          <cell r="J34" t="str">
            <v xml:space="preserve">주간가속 </v>
          </cell>
        </row>
        <row r="35">
          <cell r="I35" t="str">
            <v>(1)_account_Product_4__</v>
          </cell>
          <cell r="J35" t="str">
            <v xml:space="preserve">주간어빌석 </v>
          </cell>
        </row>
        <row r="36">
          <cell r="I36" t="str">
            <v>(1)_account_Product_5__</v>
          </cell>
          <cell r="J36" t="str">
            <v xml:space="preserve">주간연구석 </v>
          </cell>
        </row>
        <row r="37">
          <cell r="I37" t="str">
            <v>(1)_account_Product_6__</v>
          </cell>
          <cell r="J37" t="str">
            <v xml:space="preserve">주간입장권 </v>
          </cell>
        </row>
        <row r="38">
          <cell r="I38" t="str">
            <v>(1)_account_Product_7__</v>
          </cell>
          <cell r="J38" t="str">
            <v xml:space="preserve">주간다이아 </v>
          </cell>
        </row>
        <row r="39">
          <cell r="I39" t="str">
            <v>(1)_account_Product_8__</v>
          </cell>
          <cell r="J39" t="str">
            <v xml:space="preserve">주간고려 지원 </v>
          </cell>
        </row>
        <row r="40">
          <cell r="I40" t="str">
            <v>(1)_account_Product_9__</v>
          </cell>
          <cell r="J40" t="str">
            <v xml:space="preserve">주간조선 지원 </v>
          </cell>
        </row>
        <row r="43">
          <cell r="I43" t="str">
            <v>Diamond_Product__1</v>
          </cell>
          <cell r="J43" t="str">
            <v>무료</v>
          </cell>
        </row>
        <row r="44">
          <cell r="I44" t="str">
            <v>Diamond_Product__2</v>
          </cell>
          <cell r="J44" t="str">
            <v>다이아330</v>
          </cell>
        </row>
        <row r="45">
          <cell r="I45" t="str">
            <v>Diamond_Product__3</v>
          </cell>
          <cell r="J45" t="str">
            <v>다이아550</v>
          </cell>
        </row>
        <row r="46">
          <cell r="I46" t="str">
            <v>Diamond_Product__4</v>
          </cell>
          <cell r="J46" t="str">
            <v>다이아990</v>
          </cell>
        </row>
        <row r="47">
          <cell r="I47" t="str">
            <v>Diamond_Product__5</v>
          </cell>
          <cell r="J47" t="str">
            <v>다이아3300</v>
          </cell>
        </row>
        <row r="48">
          <cell r="I48" t="str">
            <v>Diamond_Product__6</v>
          </cell>
          <cell r="J48" t="str">
            <v>다이아5900</v>
          </cell>
        </row>
        <row r="51">
          <cell r="I51" t="str">
            <v>Pass_Product_0__</v>
          </cell>
          <cell r="J51" t="str">
            <v>사냥패스1</v>
          </cell>
        </row>
        <row r="52">
          <cell r="I52" t="str">
            <v>Pass_Product_1__</v>
          </cell>
          <cell r="J52" t="str">
            <v>레벨패스1</v>
          </cell>
        </row>
        <row r="53">
          <cell r="I53" t="str">
            <v>Pass_Product_2__</v>
          </cell>
          <cell r="J53" t="str">
            <v>스테이지패스1</v>
          </cell>
        </row>
        <row r="54">
          <cell r="I54" t="str">
            <v>Pass_Product_3__</v>
          </cell>
          <cell r="J54" t="str">
            <v>육성패스1</v>
          </cell>
        </row>
        <row r="56">
          <cell r="I56" t="str">
            <v>Preminum_Product_1</v>
          </cell>
          <cell r="J56" t="str">
            <v>무료</v>
          </cell>
        </row>
        <row r="57">
          <cell r="I57" t="str">
            <v>Preminum_Product_2</v>
          </cell>
          <cell r="J57" t="str">
            <v>광고제거</v>
          </cell>
        </row>
        <row r="58">
          <cell r="I58" t="str">
            <v>Preminum_Product_3</v>
          </cell>
          <cell r="J58" t="str">
            <v>프리미엄</v>
          </cell>
        </row>
        <row r="59">
          <cell r="I59" t="str">
            <v>Preminum_Product_4</v>
          </cell>
          <cell r="J59" t="str">
            <v>월간 소환</v>
          </cell>
        </row>
        <row r="60">
          <cell r="I60" t="str">
            <v>Preminum_Product_5</v>
          </cell>
          <cell r="J60" t="str">
            <v>월간 스페셜</v>
          </cell>
        </row>
        <row r="62">
          <cell r="I62" t="str">
            <v>Sudden_Product_Stage__</v>
          </cell>
          <cell r="J62" t="str">
            <v>돌발스테이지</v>
          </cell>
        </row>
        <row r="63">
          <cell r="I63" t="str">
            <v>Sudden_Product_Weapon__</v>
          </cell>
          <cell r="J63" t="str">
            <v>돌발무기</v>
          </cell>
        </row>
        <row r="64">
          <cell r="I64" t="str">
            <v>Sudden_Product_Armor__</v>
          </cell>
          <cell r="J64" t="str">
            <v>돌발갑옷</v>
          </cell>
        </row>
        <row r="65">
          <cell r="I65" t="str">
            <v>Sudden_Product_Hero2__</v>
          </cell>
          <cell r="J65" t="str">
            <v>돌발조선</v>
          </cell>
        </row>
        <row r="66">
          <cell r="I66" t="str">
            <v>Sudden_Product_Hero1__</v>
          </cell>
          <cell r="J66" t="str">
            <v>돌발고려</v>
          </cell>
        </row>
        <row r="67">
          <cell r="I67" t="str">
            <v>Sudden_Product_Boost__</v>
          </cell>
          <cell r="J67" t="str">
            <v>돌발가속권</v>
          </cell>
        </row>
        <row r="68">
          <cell r="I68" t="str">
            <v>Sudden_Product_Research__</v>
          </cell>
          <cell r="J68" t="str">
            <v>돌발연구</v>
          </cell>
        </row>
        <row r="69">
          <cell r="I69" t="str">
            <v>Sudden_Product_Growth1__</v>
          </cell>
          <cell r="J69" t="str">
            <v>돌발육성</v>
          </cell>
        </row>
        <row r="70">
          <cell r="I70" t="str">
            <v>Sudden_Product_Growth2__</v>
          </cell>
          <cell r="J70" t="str">
            <v>돌발초월</v>
          </cell>
        </row>
        <row r="71">
          <cell r="I71" t="str">
            <v>Sudden_Product_Bead1__</v>
          </cell>
          <cell r="J71" t="str">
            <v>돌발패기</v>
          </cell>
        </row>
      </sheetData>
      <sheetData sheetId="2" refreshError="1"/>
      <sheetData sheetId="3" refreshError="1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조정기" refreshedDate="45887.574876736115" createdVersion="8" refreshedVersion="8" minRefreshableVersion="3" recordCount="1337" xr:uid="{D66003DF-4464-45F6-A9FF-F04DE7EC6EA7}">
  <cacheSource type="worksheet">
    <worksheetSource ref="A2:G1338" sheet="300"/>
  </cacheSource>
  <cacheFields count="7">
    <cacheField name="stage_reached_300 (App)" numFmtId="0">
      <sharedItems/>
    </cacheField>
    <cacheField name="W:22_0A:22_0" numFmtId="0">
      <sharedItems containsBlank="1" count="27">
        <s v="W:22_0A:19_0"/>
        <s v="W:23_0A:22_0"/>
        <s v="W:23_0A:21_0"/>
        <s v="W:22_0A:22_0"/>
        <s v="W:22_0A:20_0"/>
        <s v="W:21_0A:22_0"/>
        <s v="W:22_0A:17_0"/>
        <s v="W:21_0A:19_0"/>
        <s v="W:19_0A:17_0"/>
        <s v="W:20_0A:19_0"/>
        <s v="W:22_0A:23_0"/>
        <s v="W:23_0A:19_0"/>
        <s v="W:23_0A:23_0"/>
        <s v="W:21_0A:20_0"/>
        <s v="W:23_0A:20_0"/>
        <s v="W:22_0A:21_0"/>
        <s v="W:21_0A:23_0"/>
        <s v="W:21_0A:21_0"/>
        <s v="W:20_0A:22_0"/>
        <s v="W:20_0A:20_0"/>
        <s v="W:20_0A:21_0"/>
        <s v="W:20_0A:23_0"/>
        <s v="W:22_0A:15_0"/>
        <s v="W:15_0A:19_0"/>
        <s v="W:4_0A:19_0"/>
        <s v="W:14_0A:20_0"/>
        <m/>
      </sharedItems>
    </cacheField>
    <cacheField name="2" numFmtId="0">
      <sharedItems containsMixedTypes="1" containsNumber="1" containsInteger="1" minValue="2" maxValue="44" count="36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40"/>
        <n v="42"/>
        <n v="44"/>
        <s v="{&quot;attendance_count&quot;"/>
      </sharedItems>
    </cacheField>
    <cacheField name="2025-08-06" numFmtId="0">
      <sharedItems containsDate="1" containsMixedTypes="1" minDate="2024-09-29T00:00:00" maxDate="2025-08-15T00:00:00"/>
    </cacheField>
    <cacheField name="605000" numFmtId="0">
      <sharedItems containsMixedTypes="1" containsNumber="1" containsInteger="1" minValue="0" maxValue="990000" count="189">
        <n v="557700"/>
        <n v="675400"/>
        <n v="631400"/>
        <n v="990000"/>
        <n v="707300"/>
        <n v="645700"/>
        <n v="568700"/>
        <n v="476300"/>
        <n v="471900"/>
        <n v="447700"/>
        <n v="349800"/>
        <n v="271700"/>
        <n v="650100"/>
        <n v="322300"/>
        <n v="512600"/>
        <n v="421300"/>
        <n v="372900"/>
        <n v="328900"/>
        <n v="282700"/>
        <n v="273900"/>
        <n v="268400"/>
        <n v="238700"/>
        <n v="843700"/>
        <n v="459800"/>
        <n v="359700"/>
        <n v="317900"/>
        <n v="300300"/>
        <n v="283800"/>
        <n v="249700"/>
        <n v="240900"/>
        <n v="200200"/>
        <n v="103400"/>
        <n v="469700"/>
        <n v="392700"/>
        <n v="348700"/>
        <n v="270600"/>
        <n v="244200"/>
        <n v="221100"/>
        <n v="194700"/>
        <n v="152900"/>
        <n v="105600"/>
        <n v="85800"/>
        <n v="507100"/>
        <n v="306900"/>
        <n v="150700"/>
        <n v="133100"/>
        <n v="102300"/>
        <n v="7700"/>
        <n v="517000"/>
        <n v="506000"/>
        <n v="481800"/>
        <n v="458700"/>
        <n v="262900"/>
        <n v="227700"/>
        <n v="193600"/>
        <n v="174900"/>
        <n v="146300"/>
        <n v="128700"/>
        <n v="121000"/>
        <n v="104500"/>
        <n v="433400"/>
        <n v="380600"/>
        <n v="355300"/>
        <n v="217800"/>
        <n v="206800"/>
        <n v="190300"/>
        <n v="185900"/>
        <n v="183700"/>
        <n v="161700"/>
        <n v="157300"/>
        <n v="155100"/>
        <n v="137500"/>
        <n v="122100"/>
        <n v="99000"/>
        <n v="55000"/>
        <n v="352000"/>
        <n v="315700"/>
        <n v="242000"/>
        <n v="226600"/>
        <n v="209000"/>
        <n v="207900"/>
        <n v="205700"/>
        <n v="151800"/>
        <n v="132000"/>
        <n v="111100"/>
        <n v="106700"/>
        <n v="101200"/>
        <n v="84700"/>
        <n v="53900"/>
        <n v="14300"/>
        <n v="810700"/>
        <n v="293700"/>
        <n v="170500"/>
        <n v="168300"/>
        <n v="167200"/>
        <n v="119900"/>
        <n v="110000"/>
        <n v="71500"/>
        <n v="64900"/>
        <n v="57200"/>
        <n v="51700"/>
        <n v="42900"/>
        <n v="36300"/>
        <n v="34100"/>
        <n v="29700"/>
        <n v="27500"/>
        <n v="18700"/>
        <n v="17600"/>
        <n v="260700"/>
        <n v="253000"/>
        <n v="139700"/>
        <n v="117700"/>
        <n v="95700"/>
        <n v="73700"/>
        <n v="67100"/>
        <n v="66000"/>
        <n v="58300"/>
        <n v="52800"/>
        <n v="12100"/>
        <n v="6600"/>
        <n v="0"/>
        <n v="287100"/>
        <n v="223300"/>
        <n v="126500"/>
        <n v="125400"/>
        <n v="113300"/>
        <n v="100100"/>
        <n v="92400"/>
        <n v="91300"/>
        <n v="88000"/>
        <n v="69300"/>
        <n v="62700"/>
        <n v="47300"/>
        <n v="46200"/>
        <n v="44000"/>
        <n v="41800"/>
        <n v="40700"/>
        <n v="33000"/>
        <n v="31900"/>
        <n v="30800"/>
        <n v="28600"/>
        <n v="22000"/>
        <n v="19800"/>
        <n v="16500"/>
        <n v="15400"/>
        <n v="256300"/>
        <n v="245300"/>
        <n v="162800"/>
        <n v="134200"/>
        <n v="129800"/>
        <n v="96800"/>
        <n v="82500"/>
        <n v="80300"/>
        <n v="77000"/>
        <n v="75900"/>
        <n v="61600"/>
        <n v="60500"/>
        <n v="56100"/>
        <n v="35200"/>
        <n v="25300"/>
        <n v="11000"/>
        <n v="8800"/>
        <n v="172700"/>
        <n v="118800"/>
        <n v="93500"/>
        <n v="79200"/>
        <n v="48400"/>
        <n v="39600"/>
        <n v="38500"/>
        <n v="20900"/>
        <n v="243100"/>
        <n v="83600"/>
        <n v="63800"/>
        <n v="37400"/>
        <n v="26400"/>
        <n v="13200"/>
        <n v="407000"/>
        <n v="135300"/>
        <n v="124300"/>
        <n v="115500"/>
        <n v="45100"/>
        <n v="143000"/>
        <n v="59400"/>
        <n v="89100"/>
        <n v="23100"/>
        <n v="9900"/>
        <n v="2200"/>
        <n v="480700"/>
        <s v="total_payment_amount"/>
      </sharedItems>
    </cacheField>
    <cacheField name="야촌" numFmtId="0">
      <sharedItems containsMixedTypes="1" containsNumber="1" containsInteger="1" minValue="4827" maxValue="5456486" count="1337">
        <s v="쏘가리"/>
        <s v="슬2"/>
        <s v="또땡겨"/>
        <s v="소담소민"/>
        <s v="금재곱"/>
        <s v="지서니"/>
        <s v="쵸돈단스"/>
        <s v="탄령"/>
        <s v="오디나무"/>
        <s v="옥지의빵빵이"/>
        <s v="이야이"/>
        <s v="냉균"/>
        <s v="루아베니"/>
        <s v="zenz"/>
        <s v="조승연"/>
        <s v="웅이아부지"/>
        <s v="BADA"/>
        <s v="벤야"/>
        <s v="무진장큰스님"/>
        <s v="심상"/>
        <s v="캐캐모모"/>
        <s v="짱주숭"/>
        <s v="짱콩파파"/>
        <s v="집안구석"/>
        <s v="삥쭈"/>
        <s v="일본인"/>
        <s v="초인고양이"/>
        <s v="도치야"/>
        <s v="김난신"/>
        <s v="조메기"/>
        <s v="갱민"/>
        <s v="일해라정차장"/>
        <s v="yad"/>
        <s v="조엘"/>
        <s v="고슬"/>
        <s v="국이"/>
        <s v="코리아se스머신"/>
        <s v="숨소"/>
        <s v="금요일"/>
        <s v="펭구7"/>
        <s v="도라에몽표류기"/>
        <s v="영쟈굳"/>
        <s v="리혜"/>
        <s v="가정주부"/>
        <s v="리세3"/>
        <s v="소인은"/>
        <s v="그루터기"/>
        <s v="더블율"/>
        <s v="suhyeon"/>
        <s v="굴비사마"/>
        <s v="바람둥앙마"/>
        <s v="우르르쾅쾅"/>
        <s v="o해요"/>
        <s v="디아란"/>
        <s v="쌈쟁이"/>
        <s v="카후"/>
        <s v="흥길동z"/>
        <s v="사루다"/>
        <s v="소천"/>
        <s v="요피엘"/>
        <s v="우성이"/>
        <s v="치리군"/>
        <s v="허어어니"/>
        <s v="봄같은나라"/>
        <s v="냄비"/>
        <s v="댕댕E"/>
        <s v="누나좋아"/>
        <s v="Realize"/>
        <s v="두식이아부지"/>
        <s v="조던"/>
        <s v="하곰탱"/>
        <s v="roki"/>
        <s v="김용덕"/>
        <s v="한결도희"/>
        <s v="신우시스템"/>
        <s v="l대마왕l"/>
        <s v="천상악"/>
        <s v="궁디팡"/>
        <s v="승질승"/>
        <s v="행백이"/>
        <s v="서씨옴"/>
        <s v="유케이"/>
        <s v="무르무르"/>
        <s v="선장"/>
        <s v="진홍"/>
        <s v="타이거통"/>
        <s v="아돌이"/>
        <s v="chemma"/>
        <s v="teamnose"/>
        <s v="LIV해원"/>
        <s v="샤오위"/>
        <s v="애플청포도"/>
        <s v="진우서우"/>
        <s v="장수척준경"/>
        <s v="꼬치쓰"/>
        <s v="최무사"/>
        <s v="푸르른달"/>
        <s v="사노"/>
        <s v="유진킴"/>
        <s v="오비이락"/>
        <s v="리둠"/>
        <s v="종생"/>
        <s v="레전필"/>
        <s v="복구"/>
        <s v="듀랜달"/>
        <s v="가을빛달"/>
        <s v="헤롱이"/>
        <s v="꽃설"/>
        <s v="눈의산들"/>
        <s v="후라이드참새"/>
        <s v="주르"/>
        <s v="국밥맛킷캣"/>
        <s v="보보부복"/>
        <s v="밥이"/>
        <s v="독립"/>
        <s v="발직"/>
        <s v="허요허요"/>
        <s v="초록메뚜기"/>
        <s v="오태식이"/>
        <s v="이만냥"/>
        <s v="김철호"/>
        <s v="문순우"/>
        <s v="IPZA"/>
        <s v="철도공사"/>
        <s v="명탐정코난"/>
        <s v="히읏"/>
        <s v="에쎄"/>
        <s v="하리보소주맛"/>
        <s v="현무암"/>
        <s v="1부소"/>
        <s v="상암존예여신"/>
        <s v="짝눈원숭이"/>
        <s v="유진버프"/>
        <s v="로영"/>
        <s v="Unichef"/>
        <s v="설흔"/>
        <s v="안시성I만춘"/>
        <s v="해다리리"/>
        <s v="l네메시스l"/>
        <s v="맑을린"/>
        <s v="마늘쫑"/>
        <s v="김루팡"/>
        <s v="임의변경"/>
        <s v="구름꽃"/>
        <s v="길동사마"/>
        <s v="별찌"/>
        <s v="그럴수덕"/>
        <s v="신혜공주"/>
        <s v="양호두"/>
        <s v="누기부기"/>
        <s v="손도이"/>
        <s v="duha"/>
        <s v="쥐돌이"/>
        <s v="요거트슈"/>
        <s v="스과"/>
        <s v="dndu"/>
        <s v="까페라떼"/>
        <s v="간동원"/>
        <s v="봉고"/>
        <s v="chevti"/>
        <s v="헬랑구"/>
        <s v="새벽빛세상"/>
        <s v="알로아오에"/>
        <s v="주내"/>
        <s v="기린아"/>
        <s v="리코우"/>
        <s v="딸봉바라기"/>
        <s v="부타"/>
        <s v="규영"/>
        <s v="혼세마왕"/>
        <s v="내강"/>
        <s v="네모네모"/>
        <s v="깨방"/>
        <s v="구미곰탱이"/>
        <s v="옹이사랑"/>
        <s v="게실염"/>
        <s v="nerdy"/>
        <s v="비글"/>
        <s v="코일"/>
        <s v="초행"/>
        <s v="김죠"/>
        <s v="일주일만"/>
        <s v="복마니1"/>
        <s v="무적권"/>
        <s v="하야꾸"/>
        <s v="난세난난세"/>
        <s v="자브종늑대"/>
        <s v="구독자"/>
        <s v="갬성"/>
        <s v="rubidu"/>
        <s v="바삭"/>
        <s v="소안"/>
        <s v="이쏘지"/>
        <s v="오늘만산다"/>
        <s v="랑방"/>
        <s v="리신"/>
        <s v="르무르"/>
        <s v="하누크"/>
        <s v="파대"/>
        <s v="엄애숙"/>
        <s v="신비로운다람쥐"/>
        <s v="talgol"/>
        <s v="얌고"/>
        <s v="SSG랜더스"/>
        <s v="주세요"/>
        <s v="규리링"/>
        <s v="주현짱"/>
        <s v="막내키키"/>
        <s v="맥심"/>
        <s v="랴니"/>
        <s v="돌비개"/>
        <s v="코코봉봉"/>
        <s v="아밍"/>
        <s v="망고스무디"/>
        <s v="fr쿠마"/>
        <s v="Gargamel"/>
        <s v="Suzzy"/>
        <s v="민욱"/>
        <s v="흰눈송이"/>
        <s v="dongsmas"/>
        <s v="타샤"/>
        <s v="왈도"/>
        <s v="Regret"/>
        <s v="종만"/>
        <s v="통이"/>
        <s v="고공이"/>
        <s v="아쿠마"/>
        <s v="블랙닥터"/>
        <s v="로마노"/>
        <s v="미남고릴라"/>
        <s v="할비"/>
        <s v="랄라링"/>
        <s v="하늘고백"/>
        <s v="사민"/>
        <s v="자냥탄센"/>
        <s v="구도"/>
        <s v="왕호야"/>
        <s v="느앗"/>
        <s v="블랙늑대"/>
        <s v="kjhkjh"/>
        <s v="은빛비"/>
        <s v="cozy"/>
        <s v="모하는겜인고"/>
        <s v="붕어알"/>
        <s v="반늬"/>
        <s v="간계의승렬"/>
        <s v="시스렌"/>
        <s v="서누"/>
        <s v="reso"/>
        <s v="감녕"/>
        <s v="세라라"/>
        <s v="위니랑"/>
        <s v="에스카라"/>
        <s v="퓨어"/>
        <s v="이순신표류기"/>
        <s v="아기왕자"/>
        <s v="해일"/>
        <s v="이몽타"/>
        <s v="김민교"/>
        <s v="국내산"/>
        <s v="노이v"/>
        <s v="채가네김집사"/>
        <s v="건호최고"/>
        <s v="이천공안"/>
        <s v="애쁠"/>
        <s v="지희88"/>
        <s v="카리스마행"/>
        <s v="무랭이"/>
        <s v="박하슬"/>
        <s v="고인물"/>
        <s v="꼬금또구토토아빠"/>
        <s v="살아남는자"/>
        <s v="이지대장"/>
        <s v="정동인"/>
        <s v="비령"/>
        <s v="으누"/>
        <s v="십정동꿀주먹"/>
        <s v="Nospoon"/>
        <s v="ENS"/>
        <s v="후하"/>
        <s v="귤귤귤귤"/>
        <s v="흑사초롱"/>
        <s v="나노머신"/>
        <s v="나태지옥"/>
        <s v="하나공공"/>
        <s v="쮸니"/>
        <s v="치티"/>
        <s v="현쪄깅"/>
        <s v="무향후"/>
        <s v="일어난오리"/>
        <s v="kolee"/>
        <s v="때린데또때린다"/>
        <s v="신난노비"/>
        <s v="쵸기"/>
        <s v="음싸"/>
        <s v="태굥"/>
        <s v="최쿠로"/>
        <s v="오아니"/>
        <s v="승환표류기"/>
        <s v="명동시라소니"/>
        <s v="짖리"/>
        <s v="뿌돔"/>
        <s v="티반"/>
        <s v="호동생"/>
        <s v="누루지"/>
        <s v="미스터제로"/>
        <s v="사마빙"/>
        <s v="벼리벼리"/>
        <s v="개패는처녀"/>
        <s v="제갈시온"/>
        <s v="강통"/>
        <s v="대칭"/>
        <s v="헤나"/>
        <s v="제갈민"/>
        <s v="암흑가의악질"/>
        <s v="박지뿡"/>
        <s v="휴가을"/>
        <s v="숭구리당당"/>
        <s v="신주몽"/>
        <s v="낙네림"/>
        <s v="난세영웅임"/>
        <s v="구월삼월"/>
        <s v="G렷쥬"/>
        <s v="MaMooRi"/>
        <s v="Toc"/>
        <s v="을파"/>
        <s v="꼬마악사"/>
        <s v="대구건달"/>
        <s v="도휼"/>
        <s v="방랑자장씨"/>
        <s v="한쿡"/>
        <s v="표류중"/>
        <s v="탄이"/>
        <s v="장일소"/>
        <s v="미역"/>
        <s v="다댕이죠"/>
        <s v="톰달"/>
        <s v="덕덕"/>
        <s v="fourzero"/>
        <s v="수민이"/>
        <s v="제2천마"/>
        <n v="13453"/>
        <s v="신지무념"/>
        <s v="하꼬"/>
        <s v="텐프로"/>
        <s v="세환"/>
        <s v="흑요스늬"/>
        <s v="김문성"/>
        <s v="세이러브"/>
        <s v="한료타"/>
        <s v="잽삐"/>
        <s v="루인군"/>
        <s v="양승구"/>
        <s v="치운"/>
        <s v="신선놀음"/>
        <s v="리프포"/>
        <s v="무식한놈"/>
        <s v="삼겹살이젤좋아"/>
        <s v="달콩집사"/>
        <s v="느엥"/>
        <s v="과학을보다"/>
        <s v="제이엠"/>
        <s v="조디리"/>
        <s v="카라멜"/>
        <s v="흐물이"/>
        <s v="긍가긍가"/>
        <s v="디비자라"/>
        <s v="K8"/>
        <s v="쿼카왕"/>
        <s v="대두"/>
        <s v="v바나나우유v"/>
        <s v="힝찍먹이얌"/>
        <s v="펜뷰"/>
        <s v="측반"/>
        <s v="전위"/>
        <s v="Zaru"/>
        <s v="느쩨"/>
        <s v="비긴이계인"/>
        <s v="후조"/>
        <s v="뷔제"/>
        <s v="시정잡배"/>
        <s v="한방에블루스"/>
        <s v="홍키"/>
        <s v="코리안소드마스터"/>
        <s v="슭삯"/>
        <s v="이플"/>
        <s v="천망"/>
        <s v="hyeong04"/>
        <s v="뉴진스해린"/>
        <s v="그래도살아야지"/>
        <s v="트리니타스"/>
        <s v="행인이오"/>
        <s v="스텔라아"/>
        <s v="귀여운두더지"/>
        <s v="난세의나미"/>
        <s v="떵호예은"/>
        <s v="드라리"/>
        <n v="4827"/>
        <s v="양키"/>
        <s v="아비라파"/>
        <s v="봉기"/>
        <s v="다이스"/>
        <s v="변호찬"/>
        <s v="블레스뮤"/>
        <s v="2an"/>
        <s v="이즈니"/>
        <s v="이슬공주"/>
        <s v="한뚜혁"/>
        <s v="유베"/>
        <s v="아무것도몰라"/>
        <s v="MSTY"/>
        <s v="호랑이기우니"/>
        <s v="소전"/>
        <s v="NAC"/>
        <s v="세음"/>
        <s v="용용비트"/>
        <s v="홍삼나무"/>
        <s v="그레이스"/>
        <s v="넘어가"/>
        <s v="둘리동욱"/>
        <s v="믿음이93"/>
        <s v="국세청"/>
        <s v="킹한길"/>
        <s v="이오스"/>
        <s v="감자맛"/>
        <s v="쿵쿵이"/>
        <s v="뿅망키"/>
        <s v="맹맹"/>
        <s v="꽁꽁이"/>
        <s v="탄코"/>
        <s v="도플라밍고"/>
        <s v="맛탕"/>
        <s v="시리찡"/>
        <s v="JMG"/>
        <s v="지채문"/>
        <s v="선학"/>
        <s v="성도"/>
        <s v="l3est"/>
        <s v="장씬종"/>
        <s v="안티왕"/>
        <s v="단태비"/>
        <s v="재아님"/>
        <s v="Sora"/>
        <s v="수라드"/>
        <s v="하품만나와"/>
        <s v="내왕이될상인가"/>
        <s v="마갈곤"/>
        <s v="허세이돈"/>
        <s v="기모찌맨"/>
        <s v="골든"/>
        <s v="디디에드록바"/>
        <s v="진영도령"/>
        <s v="as24"/>
        <s v="타이거즈"/>
        <s v="독각룡"/>
        <s v="왕배"/>
        <s v="아서물"/>
        <s v="간고등어"/>
        <s v="오동"/>
        <s v="제웁스"/>
        <s v="출장"/>
        <s v="화니화니96"/>
        <s v="도마안중근"/>
        <s v="kwr9458"/>
        <s v="모사불라"/>
        <s v="톰머"/>
        <s v="꿀떡이"/>
        <s v="위도리"/>
        <s v="쩰리"/>
        <s v="블랙머리"/>
        <s v="9잉"/>
        <s v="잉어킹2"/>
        <s v="히키"/>
        <s v="돌돌돌"/>
        <s v="유실물보관소"/>
        <s v="구구가가"/>
        <s v="남해"/>
        <s v="조선칼잽이"/>
        <s v="마초족발"/>
        <s v="떨구"/>
        <s v="25월즈파엠쵸비"/>
        <s v="아라아빠"/>
        <s v="후니혀니"/>
        <s v="아윤하율"/>
        <s v="범주니"/>
        <s v="충자"/>
        <s v="풉풉이"/>
        <s v="구니구니"/>
        <s v="사탕한가득"/>
        <s v="홈과보리"/>
        <s v="건거니"/>
        <s v="헤모"/>
        <s v="비표기"/>
        <s v="달리기"/>
        <s v="흠씨"/>
        <s v="홍월이"/>
        <s v="하이파파"/>
        <s v="무락카"/>
        <s v="안양초불주먹"/>
        <s v="대니팬텀"/>
        <s v="qpalzm"/>
        <s v="chovy"/>
        <s v="냠냠콩떡"/>
        <s v="보나"/>
        <s v="황천사자"/>
        <s v="짐캐리"/>
        <s v="블루베리티라노"/>
        <s v="치킨조아"/>
        <s v="카이져"/>
        <s v="라고메"/>
        <s v="TMB"/>
        <s v="프라함"/>
        <s v="구마적"/>
        <s v="개꿀한방"/>
        <s v="공산당이싫어요"/>
        <s v="정튀"/>
        <s v="DnG"/>
        <s v="릭시드"/>
        <s v="Pisces"/>
        <s v="탕만추"/>
        <s v="한국사1등급기원"/>
        <s v="술홍"/>
        <s v="퇴근후취미"/>
        <s v="주식"/>
        <s v="DDUDDU"/>
        <s v="용우니"/>
        <s v="엽이"/>
        <s v="빡뚱"/>
        <s v="사철"/>
        <s v="지비니"/>
        <s v="룽이"/>
        <s v="양현"/>
        <s v="짱짱막창"/>
        <s v="의천사"/>
        <s v="헤븐윙"/>
        <s v="썩쏘염염"/>
        <s v="코덜식"/>
        <s v="오쭌쭌이"/>
        <s v="부가땅"/>
        <s v="순간적쾌락"/>
        <s v="서준아빠"/>
        <s v="힘센캐"/>
        <s v="aurora"/>
        <s v="례진"/>
        <s v="하드"/>
        <s v="지피지기"/>
        <s v="북조선고사포"/>
        <s v="난세에영웅이도래"/>
        <s v="요와가와"/>
        <s v="기풍한1"/>
        <s v="궁디표류"/>
        <s v="에반게리"/>
        <s v="행수"/>
        <s v="아치발"/>
        <s v="권률"/>
        <s v="아까그넘"/>
        <s v="솜유이"/>
        <s v="꾹아재"/>
        <s v="널리"/>
        <s v="펜타닐"/>
        <s v="개군소"/>
        <s v="상장군홍도"/>
        <s v="깔루아밀크"/>
        <s v="제네럴이순신"/>
        <s v="윤이나"/>
        <s v="비깨도"/>
        <s v="반달곰"/>
        <s v="XIA"/>
        <s v="앙씨"/>
        <s v="go박사"/>
        <s v="루이아범"/>
        <s v="그르"/>
        <s v="골덕"/>
        <s v="남방신주작"/>
        <s v="김안축"/>
        <s v="무우사무휼"/>
        <s v="믹스넛스낵"/>
        <s v="여씨표류기"/>
        <s v="초슈익"/>
        <s v="청류"/>
        <s v="전사법사"/>
        <s v="다흙"/>
        <s v="퍼떡내놔라"/>
        <s v="비뢰"/>
        <s v="척준겸"/>
        <s v="기동대"/>
        <s v="스스골"/>
        <s v="으니화니"/>
        <s v="깅상"/>
        <s v="아리오나"/>
        <s v="밤끝"/>
        <s v="굿난세"/>
        <s v="쪽파"/>
        <s v="먼우"/>
        <s v="무쿤"/>
        <s v="한시대풍미"/>
        <s v="태바리"/>
        <s v="다크주"/>
        <s v="eclipse"/>
        <s v="JBOX"/>
        <s v="booui"/>
        <s v="장가계"/>
        <s v="오이짱"/>
        <s v="한국사능력검정"/>
        <s v="운타이"/>
        <s v="BlessG"/>
        <s v="민서은서아빠"/>
        <s v="호박설기"/>
        <s v="허이"/>
        <s v="하얀띠"/>
        <s v="닼미"/>
        <s v="스토리"/>
        <s v="평양성"/>
        <s v="깨방지"/>
        <s v="판진"/>
        <s v="알파카"/>
        <s v="빙하"/>
        <s v="한푼만줍쇼"/>
        <s v="삼두부"/>
        <s v="리듬왕"/>
        <s v="안산한량"/>
        <s v="짱호"/>
        <s v="엄블리"/>
        <s v="뭐왜뭐가"/>
        <s v="보집물"/>
        <s v="지금여기"/>
        <s v="슈다뇽"/>
        <s v="8군단장"/>
        <s v="Munsu19"/>
        <s v="게으름주의"/>
        <s v="에르"/>
        <s v="김투명"/>
        <s v="타노"/>
        <s v="초코파르페"/>
        <s v="홍이장군"/>
        <s v="김인서"/>
        <s v="큰별쌤"/>
        <s v="다이빙"/>
        <s v="포차"/>
        <s v="마틴왕"/>
        <s v="샥련"/>
        <s v="곽두"/>
        <s v="부노"/>
        <s v="검계수장"/>
        <s v="뱅섭"/>
        <s v="트리플채"/>
        <s v="goof"/>
        <s v="마초하"/>
        <s v="길몬"/>
        <s v="조폭여친"/>
        <s v="들개군단"/>
        <s v="qplaying"/>
        <s v="구자윤"/>
        <s v="얼죽뱅"/>
        <s v="위인전"/>
        <s v="춘하"/>
        <s v="쫑쫑이"/>
        <s v="금콩"/>
        <s v="밈찌"/>
        <s v="아기민돌"/>
        <s v="아기맹수말티즈"/>
        <s v="이사빛"/>
        <s v="비슷"/>
        <s v="땅더비"/>
        <s v="삼둥이아빠"/>
        <s v="야생화살"/>
        <s v="S썽아찌S"/>
        <s v="몽수"/>
        <s v="전설e"/>
        <s v="jene"/>
        <s v="토낑이"/>
        <s v="소시미"/>
        <s v="쵸코"/>
        <s v="쿠두스"/>
        <s v="허모띠"/>
        <s v="블루딩굴"/>
        <s v="주동이"/>
        <s v="견곰"/>
        <s v="아랫도리용솟음"/>
        <s v="아무거나함"/>
        <s v="권대훈"/>
        <s v="가든"/>
        <s v="말랑김밥"/>
        <s v="불빠따"/>
        <s v="김뿡"/>
        <s v="재밌는친구"/>
        <s v="페코"/>
        <s v="개스날리쉬"/>
        <s v="픽셀"/>
        <s v="완즈이"/>
        <s v="밤두가"/>
        <s v="의자의자"/>
        <s v="정지기"/>
        <s v="써티프로"/>
        <s v="블랙윈저"/>
        <s v="허생"/>
        <s v="옆집빡구"/>
        <s v="가람뿡"/>
        <s v="Nuckduri"/>
        <s v="째째"/>
        <s v="크산테"/>
        <s v="다모다모"/>
        <s v="송대근"/>
        <s v="랑시랑"/>
        <s v="강반석"/>
        <s v="적이건"/>
        <s v="동일"/>
        <s v="지서"/>
        <s v="moassam"/>
        <s v="원소"/>
        <s v="은솔정"/>
        <s v="클라스"/>
        <s v="쿠디슝"/>
        <s v="테슬라몰빵"/>
        <s v="정뚜억"/>
        <s v="수배중"/>
        <s v="더부센"/>
        <s v="불짜장"/>
        <s v="호박벌"/>
        <s v="지평선의악마"/>
        <s v="KENZO"/>
        <s v="뚜구리"/>
        <s v="복규"/>
        <s v="김떡팔"/>
        <s v="단다단다"/>
        <s v="내안에이무기"/>
        <s v="깡설이"/>
        <s v="Lagard"/>
        <s v="JJ8D8"/>
        <s v="ellquine"/>
        <s v="용용이다"/>
        <s v="큼캉"/>
        <s v="룰라"/>
        <s v="주노호노"/>
        <s v="버들화니숲"/>
        <s v="두콩"/>
        <s v="게토"/>
        <s v="polaris1"/>
        <s v="핫걸"/>
        <s v="난세의드래곤"/>
        <s v="김순돌"/>
        <s v="우왕굳"/>
        <s v="오롯"/>
        <s v="고운찡"/>
        <s v="한겨르"/>
        <s v="코플레"/>
        <s v="희망아빠"/>
        <s v="카넬리안"/>
        <s v="시그"/>
        <s v="캐누"/>
        <s v="이시안"/>
        <s v="창덕궁"/>
        <s v="뚜앙"/>
        <s v="퓨딜"/>
        <s v="Rox"/>
        <s v="하지닝"/>
        <s v="효자동용가리"/>
        <s v="마롱"/>
        <s v="옐로우콘"/>
        <s v="미카형"/>
        <s v="농협"/>
        <s v="환상의분수쇼"/>
        <s v="용순아"/>
        <s v="하슈"/>
        <s v="카마신"/>
        <s v="성명현"/>
        <s v="황금중독"/>
        <s v="짱단지"/>
        <s v="라니아빠"/>
        <s v="싸우전드"/>
        <s v="어노인팅"/>
        <s v="데퐁"/>
        <s v="허씨"/>
        <s v="몽화"/>
        <s v="피릿"/>
        <s v="신무호"/>
        <s v="내가구운와플"/>
        <s v="twvking"/>
        <s v="sh"/>
        <s v="두두부부"/>
        <s v="난중일"/>
        <s v="애국열사"/>
        <s v="강함과걍함사이"/>
        <s v="김로나"/>
        <s v="Atom"/>
        <s v="E우주"/>
        <s v="로머드"/>
        <s v="k루인"/>
        <s v="꼬꼬무"/>
        <s v="시인아이"/>
        <s v="꿍도사"/>
        <s v="송송송"/>
        <s v="만득임"/>
        <s v="채봉이"/>
        <s v="김영식"/>
        <s v="손Zi"/>
        <s v="로윤로하"/>
        <s v="내가왕이다"/>
        <s v="콩돌이"/>
        <s v="난세이"/>
        <s v="꿀곰"/>
        <s v="하또짜"/>
        <s v="디와이"/>
        <s v="질풍"/>
        <s v="포코로"/>
        <s v="김도영"/>
        <s v="조디악"/>
        <s v="안양잠룡"/>
        <s v="홀로핑"/>
        <s v="고려제일검사"/>
        <s v="드웨인종슨"/>
        <s v="산연"/>
        <s v="하얀늑대들"/>
        <s v="0l욜"/>
        <s v="acpf"/>
        <s v="bean"/>
        <s v="롯케"/>
        <s v="tmsjvl"/>
        <s v="왕세자"/>
        <s v="폭제"/>
        <s v="Lear"/>
        <s v="nihilism"/>
        <s v="김기현"/>
        <s v="윤서"/>
        <s v="주만두"/>
        <s v="에삐핑"/>
        <s v="적혈"/>
        <s v="디에이드"/>
        <s v="그랑나랑"/>
        <s v="로즈베리"/>
        <s v="드로"/>
        <s v="밠쨁"/>
        <s v="박덕춘"/>
        <s v="꼬매아지"/>
        <s v="찹쌀누룽지"/>
        <s v="달순"/>
        <s v="기승전망"/>
        <s v="하온왕자"/>
        <s v="오프너지니"/>
        <s v="너는누구세요"/>
        <s v="마마루"/>
        <s v="너를향한지도"/>
        <s v="김쿠니"/>
        <s v="나정아"/>
        <s v="별로"/>
        <s v="도호"/>
        <s v="캡틴용박"/>
        <s v="alpen"/>
        <s v="지삼선생"/>
        <s v="제육"/>
        <s v="백이련"/>
        <s v="바르다지"/>
        <s v="난세의난"/>
        <s v="동디니"/>
        <s v="이딱이"/>
        <s v="신죠오사사게오"/>
        <s v="어왔니"/>
        <s v="리성아"/>
        <s v="골잽이"/>
        <s v="아이디이이"/>
        <s v="이동준"/>
        <s v="돌민"/>
        <s v="군감"/>
        <s v="우빵맨"/>
        <s v="너구리먹어요"/>
        <s v="의천대협"/>
        <s v="술재이"/>
        <s v="하얀참새"/>
        <s v="도쿠가와이에야스"/>
        <s v="전신"/>
        <s v="녀석"/>
        <s v="월이"/>
        <s v="호담시"/>
        <s v="Diabolus"/>
        <s v="wind"/>
        <s v="명량"/>
        <s v="떠우떠누"/>
        <s v="흣흣"/>
        <s v="홍길동이"/>
        <s v="최민석민석"/>
        <s v="웅냐"/>
        <s v="에오메르"/>
        <s v="qwer999"/>
        <s v="귀염이들"/>
        <s v="자갈치700원"/>
        <s v="kreams"/>
        <s v="미키천국"/>
        <s v="밍글이"/>
        <s v="로나"/>
        <s v="배똥꾸멍"/>
        <s v="아자핑"/>
        <s v="반달"/>
        <s v="대날두"/>
        <s v="조선이도"/>
        <s v="실땅님"/>
        <s v="백두혈통"/>
        <s v="다움이룸"/>
        <s v="돗개"/>
        <s v="강남여신공주"/>
        <s v="노블"/>
        <s v="아와드"/>
        <s v="나대는"/>
        <s v="schnee"/>
        <s v="JFocus"/>
        <s v="닥스코코"/>
        <s v="허허참"/>
        <s v="링고스타"/>
        <s v="준떵어리"/>
        <s v="리정"/>
        <s v="JoonM"/>
        <s v="남연우"/>
        <s v="박이"/>
        <s v="카리나v"/>
        <s v="지능"/>
        <s v="충겨과공포"/>
        <s v="일론머스크"/>
        <s v="박대감"/>
        <s v="이만두"/>
        <s v="우빵빵"/>
        <s v="푸니라"/>
        <s v="아냐띠"/>
        <s v="llIIl"/>
        <s v="시꾼"/>
        <s v="원탱탱"/>
        <s v="너하고"/>
        <s v="난망고다"/>
        <s v="뚱슈"/>
        <s v="제1사막"/>
        <s v="게시판"/>
        <s v="더베"/>
        <s v="테슬라곱버스"/>
        <s v="리오넬맹기"/>
        <s v="문드르륵"/>
        <s v="진니크"/>
        <s v="잠온다1"/>
        <s v="민초세멸"/>
        <s v="bamuse"/>
        <s v="휘이잉"/>
        <s v="윤신달"/>
        <s v="송학림"/>
        <s v="마니버렁"/>
        <s v="빼빼로"/>
        <s v="DoorTin"/>
        <s v="엘리엠"/>
        <s v="태조쿠마"/>
        <s v="영화"/>
        <s v="휠버그"/>
        <s v="그레이리"/>
        <s v="민벤져스"/>
        <s v="조버미"/>
        <s v="룰루루"/>
        <s v="개밥은줬는가"/>
        <s v="운빨존망"/>
        <s v="juseho"/>
        <s v="크라운큐비"/>
        <s v="안농"/>
        <s v="아리아래"/>
        <s v="총총이"/>
        <s v="지나"/>
        <s v="강담"/>
        <s v="구준표인봉"/>
        <s v="달빛나린아이"/>
        <s v="난세0"/>
        <s v="어얼씨구"/>
        <s v="박진석"/>
        <s v="kuwoo"/>
        <s v="삼다"/>
        <s v="갓생"/>
        <s v="쮸아해요구독"/>
        <s v="신효"/>
        <s v="rumpu"/>
        <s v="닉네임표류기"/>
        <s v="코디악"/>
        <s v="라이터"/>
        <s v="기본금"/>
        <s v="새드나"/>
        <s v="소노다"/>
        <s v="야유"/>
        <s v="달데시마"/>
        <s v="공쿤"/>
        <s v="초류비연"/>
        <s v="노을과낭만"/>
        <s v="몽클"/>
        <s v="땅모"/>
        <s v="지멘"/>
        <s v="자잉"/>
        <s v="노브랜드"/>
        <s v="두자님"/>
        <s v="상콤쏘쥬맛"/>
        <s v="지효효"/>
        <s v="두두두두"/>
        <s v="충무우공"/>
        <s v="국사형"/>
        <s v="루피해적단"/>
        <s v="JS"/>
        <s v="둥장"/>
        <s v="쫑하"/>
        <s v="코란"/>
        <s v="조문열"/>
        <s v="라쿠"/>
        <s v="극치"/>
        <s v="클라이벗"/>
        <s v="김표류"/>
        <s v="킹린"/>
        <s v="구름임금"/>
        <s v="lsh"/>
        <s v="구찌독"/>
        <s v="SSSPJM"/>
        <s v="브콜"/>
        <s v="버기"/>
        <s v="장구"/>
        <s v="꾸꾸83"/>
        <s v="스승"/>
        <s v="말차치즈맛"/>
        <s v="알콜79소주"/>
        <s v="천룡"/>
        <s v="김아무개"/>
        <s v="달의정기"/>
        <s v="초롱아놀자"/>
        <s v="은혼"/>
        <s v="re001"/>
        <s v="응가삐아"/>
        <s v="앤버디"/>
        <s v="꿀딴지"/>
        <s v="샹이"/>
        <s v="이별"/>
        <s v="제명"/>
        <s v="주동자자"/>
        <s v="sinbbai"/>
        <s v="89detail"/>
        <s v="시멘디"/>
        <s v="인덕원사거리"/>
        <s v="사몬"/>
        <s v="동광"/>
        <s v="나류토"/>
        <s v="홍귈동"/>
        <s v="초코국밥"/>
        <s v="꿀망고"/>
        <s v="하인드킬"/>
        <s v="대베"/>
        <s v="미야"/>
        <s v="견우와직쏘"/>
        <s v="GOMGOM"/>
        <s v="갓수영"/>
        <s v="태승"/>
        <s v="남궁세가"/>
        <s v="볼때기사랑"/>
        <s v="드주낵"/>
        <s v="늄이훈이"/>
        <s v="키썽"/>
        <s v="라인서"/>
        <s v="검과방패"/>
        <s v="민초파"/>
        <s v="뮴윰"/>
        <s v="꼬기"/>
        <s v="아이구"/>
        <s v="YangC"/>
        <s v="뎌지"/>
        <s v="호멍"/>
        <s v="카리헬"/>
        <s v="탈모의종선"/>
        <s v="장세현"/>
        <s v="천제국왕"/>
        <s v="벳토리"/>
        <s v="매컬린"/>
        <s v="보라돌"/>
        <s v="한국하렘왕"/>
        <s v="DogFire"/>
        <s v="Renberto"/>
        <s v="진화론"/>
        <s v="그것이나다"/>
        <s v="톰과제리"/>
        <s v="초복중복말복"/>
        <s v="스멜"/>
        <s v="RUGA"/>
        <s v="왕슈"/>
        <s v="바나나킥"/>
        <s v="작은세상큰꿈"/>
        <s v="투명슬라임"/>
        <s v="백히랑"/>
        <s v="편각"/>
        <s v="아제발"/>
        <s v="물수제"/>
        <s v="요마"/>
        <s v="아싸사랑이"/>
        <s v="혀미네이터"/>
        <s v="오이당근"/>
        <s v="두나케시이장"/>
        <s v="모너"/>
        <s v="치코리타"/>
        <s v="냠냠포미ss"/>
        <s v="류슈"/>
        <s v="미소사이"/>
        <s v="슭슭"/>
        <s v="188w27"/>
        <s v="토리9"/>
        <s v="단밤"/>
        <s v="람각"/>
        <s v="움망"/>
        <s v="성후니"/>
        <s v="불타는불곰"/>
        <s v="인민대생"/>
        <s v="가쥬아"/>
        <s v="이나코스"/>
        <s v="용용리"/>
        <s v="학익진"/>
        <s v="jaym"/>
        <s v="데식이"/>
        <s v="이논"/>
        <s v="김프로"/>
        <s v="최난세"/>
        <s v="라크"/>
        <s v="병삼"/>
        <s v="찍먹222"/>
        <s v="무신현"/>
        <s v="부검결과"/>
        <s v="조퇴중입니다"/>
        <s v="l무신l"/>
        <s v="여우개"/>
        <s v="duck"/>
        <s v="닝기밍"/>
        <n v="5456486"/>
        <s v="매운맛루이"/>
        <s v="나이팅게일"/>
        <s v="김아싸"/>
        <s v="시조"/>
        <s v="이유따위"/>
        <s v="동이랑"/>
        <s v="푸응"/>
        <s v="콩엨콩"/>
        <s v="닉네임99999"/>
        <s v="탐험가"/>
        <s v="진접대장"/>
        <s v="최사전"/>
        <s v="루기서"/>
        <s v="찹쌀딸기모찌"/>
        <s v="아키츠키"/>
        <s v="레곤즈"/>
        <s v="백캐노"/>
        <s v="몽키K"/>
        <s v="뇽뇽이"/>
        <s v="해롱"/>
        <s v="Ruoo"/>
        <s v="피엔나리"/>
        <s v="심심한걸"/>
        <s v="송지효"/>
        <s v="카레우동"/>
        <s v="그칸당"/>
        <s v="1집사"/>
        <s v="불타는곰팅"/>
        <s v="리얼리즘"/>
        <s v="흥신"/>
        <s v="강한자"/>
        <s v="송희립"/>
        <s v="gamian"/>
        <s v="킴손산"/>
        <s v="불꺼진성냥"/>
        <s v="박미나리"/>
        <s v="황목치승"/>
        <s v="독고바위"/>
        <s v="지효"/>
        <s v="skyway"/>
        <s v="고호고로"/>
        <s v="운임수정"/>
        <s v="플오"/>
        <s v="구룡리간지김민욱"/>
        <s v="사바케"/>
        <s v="쁘니크미"/>
        <s v="레이먼"/>
        <s v="콜렉터"/>
        <s v="Rio"/>
        <s v="만슈리"/>
        <s v="1충1"/>
        <s v="이일이"/>
        <s v="줄까"/>
        <s v="서지니야"/>
        <s v="챰퐁"/>
        <s v="어휴"/>
        <s v="라영"/>
        <s v="노기"/>
        <s v="꾸꾸꾸"/>
        <s v="털숩"/>
        <s v="김근육"/>
        <s v="천상빛"/>
        <s v="잣까라"/>
        <s v="이소룡"/>
        <s v="hansaco"/>
        <s v="이재명죽음"/>
        <s v="푸푸푸"/>
        <s v="느시"/>
        <s v="거타지"/>
        <s v="모르는개산책"/>
        <s v="제아"/>
        <s v="고야드"/>
        <s v="또로롱"/>
        <s v="유지노"/>
        <s v="이시섭혈"/>
        <s v="캐깜"/>
        <s v="콧물이파도를치네"/>
        <s v="그미그미"/>
        <s v="가가파파"/>
        <s v="노리치민히"/>
        <s v="노바디노"/>
        <s v="모지"/>
        <s v="쭈꾸쭈꾸"/>
        <s v="rorori"/>
        <s v="채린"/>
        <s v="애도"/>
        <s v="플딱아재"/>
        <s v="흑골"/>
        <s v="벨로나"/>
        <s v="한국사일타강사"/>
        <s v="동구랑땡"/>
        <s v="익토"/>
        <s v="쫑이염"/>
        <s v="momo2"/>
        <s v="로빈홋"/>
        <s v="일등"/>
        <s v="활빈당홍길동"/>
        <s v="레오강아지"/>
        <s v="포돌햄"/>
        <s v="탠니"/>
        <s v="태건이"/>
        <s v="빗치"/>
        <s v="송하냥"/>
        <s v="부사교"/>
        <s v="악오"/>
        <s v="훈2"/>
        <s v="홍게대게"/>
        <s v="김춘배"/>
        <s v="야멍이"/>
        <s v="유하탱"/>
        <s v="마요"/>
        <s v="새도"/>
        <s v="칼린츠"/>
        <s v="딩떵이"/>
        <s v="스킨"/>
        <s v="PODO"/>
        <s v="니동"/>
        <s v="장규리열혈팬"/>
        <s v="환영z"/>
        <s v="o그래o"/>
        <s v="흑미"/>
        <s v="달군"/>
        <s v="Yeo"/>
        <s v="JohnSnow"/>
        <s v="귤까면너줄게"/>
        <s v="윤수서시"/>
        <s v="곰맛"/>
        <s v="주영"/>
        <s v="치우비"/>
        <s v="jisung"/>
        <s v="아꿍이"/>
        <s v="신비블루"/>
        <s v="볼리"/>
        <s v="처벌자"/>
        <s v="이미존재함"/>
        <s v="명이나물"/>
        <s v="지안표류기"/>
        <s v="하하로"/>
        <s v="fromis9"/>
        <s v="어디서"/>
        <s v="김재칠"/>
        <s v="이건먼디"/>
        <s v="찌노"/>
        <s v="장마"/>
        <s v="수염"/>
        <s v="하성"/>
        <s v="요로롱도로롱"/>
        <s v="광개토대황제"/>
        <s v="귀주대첩"/>
        <s v="나유"/>
        <s v="한방이아부지"/>
        <s v="탕탕이"/>
        <s v="소여니사랑해"/>
        <s v="박수"/>
        <s v="봉돌이"/>
        <s v="섭군"/>
        <s v="수호무적"/>
        <s v="아르카네"/>
        <s v="지동파"/>
        <s v="무도실무관"/>
        <s v="Green"/>
        <s v="아이동노우"/>
        <s v="하람온"/>
        <s v="탕탕너구리"/>
        <s v="쿠크리"/>
        <s v="good소영"/>
        <s v="난세의다미"/>
        <s v="곤뇽"/>
        <s v="hduwk"/>
        <s v="육도선인"/>
        <s v="이재영구속"/>
        <s v="심바군"/>
        <s v="llllIIII"/>
        <s v="히야신스"/>
        <s v="이억만"/>
        <s v="민서공주"/>
        <s v="매운맛스낵면"/>
        <s v="이순신99번분신"/>
        <s v="개냥OI"/>
        <s v="로디악"/>
        <s v="OF47"/>
        <s v="호빵도령"/>
        <s v="덕산"/>
        <s v="탐탐탐탐"/>
        <s v="Melo"/>
        <s v="iiliiiil"/>
        <s v="lameo"/>
        <s v="코코볼"/>
        <s v="사하라소"/>
        <s v="유송현"/>
        <s v="깐세"/>
        <s v="가원"/>
        <n v="6005"/>
        <s v="테이코"/>
        <s v="콱퉤일"/>
        <s v="루카스o"/>
        <s v="쪽쪽"/>
        <s v="최강한화"/>
        <s v="별할온"/>
        <s v="쵸이"/>
        <s v="조선의포터"/>
        <s v="분석이"/>
        <s v="여소율"/>
        <s v="쥐샥기"/>
        <s v="윤율"/>
        <s v="성청"/>
        <s v="bpjr"/>
        <s v="담배"/>
        <s v="명악"/>
        <s v="물리면아파요"/>
        <s v="뿌링크스"/>
        <s v="artruis"/>
        <s v="흑천"/>
        <s v="정난영"/>
        <s v="user_name"/>
      </sharedItems>
    </cacheField>
    <cacheField name="854" numFmtId="0">
      <sharedItems containsMixedTypes="1" containsNumber="1" containsInteger="1" minValue="219" maxValue="21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조정기" refreshedDate="45887.586026851852" createdVersion="8" refreshedVersion="8" minRefreshableVersion="3" recordCount="165" xr:uid="{9DE5922E-111F-4F99-8DF6-A86290339C57}">
  <cacheSource type="worksheet">
    <worksheetSource ref="A2:G167" sheet="400"/>
  </cacheSource>
  <cacheFields count="7">
    <cacheField name="stage_reached_400 (App)" numFmtId="0">
      <sharedItems/>
    </cacheField>
    <cacheField name="W:22_0A:20_0" numFmtId="0">
      <sharedItems count="18">
        <s v="W:22_0A:19_0"/>
        <s v="W:22_0A:20_0"/>
        <s v="W:23_0A:22_0"/>
        <s v="W:23_0A:20_0"/>
        <s v="W:21_0A:20_0"/>
        <s v="W:20_0A:19_0"/>
        <s v="W:23_0A:21_0"/>
        <s v="W:22_0A:21_0"/>
        <s v="W:23_0A:19_0"/>
        <s v="W:20_0A:20_0"/>
        <s v="W:22_0A:22_0"/>
        <s v="W:20_0A:22_0"/>
        <s v="W:23_0A:23_0"/>
        <s v="W:21_0A:19_0"/>
        <s v="W:20_0A:21_0"/>
        <s v="W:21_0A:22_0"/>
        <s v="W:22_0A:23_0"/>
        <s v="W:21_0A:21_0"/>
      </sharedItems>
    </cacheField>
    <cacheField name="13" numFmtId="0">
      <sharedItems containsSemiMixedTypes="0" containsString="0" containsNumber="1" containsInteger="1" minValue="3" maxValue="186" count="43">
        <n v="30"/>
        <n v="29"/>
        <n v="34"/>
        <n v="18"/>
        <n v="33"/>
        <n v="23"/>
        <n v="6"/>
        <n v="31"/>
        <n v="25"/>
        <n v="32"/>
        <n v="26"/>
        <n v="16"/>
        <n v="28"/>
        <n v="12"/>
        <n v="20"/>
        <n v="22"/>
        <n v="128"/>
        <n v="51"/>
        <n v="15"/>
        <n v="24"/>
        <n v="19"/>
        <n v="17"/>
        <n v="10"/>
        <n v="27"/>
        <n v="46"/>
        <n v="13"/>
        <n v="45"/>
        <n v="14"/>
        <n v="21"/>
        <n v="8"/>
        <n v="7"/>
        <n v="41"/>
        <n v="47"/>
        <n v="144"/>
        <n v="52"/>
        <n v="11"/>
        <n v="5"/>
        <n v="44"/>
        <n v="63"/>
        <n v="186"/>
        <n v="50"/>
        <n v="3"/>
        <n v="4"/>
      </sharedItems>
    </cacheField>
    <cacheField name="2025-08-05" numFmtId="14">
      <sharedItems containsSemiMixedTypes="0" containsNonDate="0" containsDate="1" containsString="0" minDate="2024-09-30T00:00:00" maxDate="2025-08-14T00:00:00"/>
    </cacheField>
    <cacheField name="537900" numFmtId="0">
      <sharedItems containsSemiMixedTypes="0" containsString="0" containsNumber="1" containsInteger="1" minValue="0" maxValue="1437700" count="137">
        <n v="121000"/>
        <n v="267300"/>
        <n v="29700"/>
        <n v="372900"/>
        <n v="144100"/>
        <n v="711700"/>
        <n v="1005400"/>
        <n v="44000"/>
        <n v="198000"/>
        <n v="23100"/>
        <n v="52800"/>
        <n v="292600"/>
        <n v="326700"/>
        <n v="58300"/>
        <n v="667700"/>
        <n v="125400"/>
        <n v="110000"/>
        <n v="117700"/>
        <n v="108900"/>
        <n v="825000"/>
        <n v="193600"/>
        <n v="139700"/>
        <n v="341000"/>
        <n v="529100"/>
        <n v="0"/>
        <n v="140800"/>
        <n v="833800"/>
        <n v="14300"/>
        <n v="297000"/>
        <n v="202400"/>
        <n v="156200"/>
        <n v="150700"/>
        <n v="515900"/>
        <n v="7700"/>
        <n v="33000"/>
        <n v="729300"/>
        <n v="810700"/>
        <n v="447700"/>
        <n v="524700"/>
        <n v="239800"/>
        <n v="838200"/>
        <n v="425700"/>
        <n v="642400"/>
        <n v="751300"/>
        <n v="374000"/>
        <n v="172700"/>
        <n v="506000"/>
        <n v="95700"/>
        <n v="872300"/>
        <n v="304700"/>
        <n v="435600"/>
        <n v="315700"/>
        <n v="211200"/>
        <n v="215600"/>
        <n v="303600"/>
        <n v="190300"/>
        <n v="369600"/>
        <n v="319000"/>
        <n v="185900"/>
        <n v="788700"/>
        <n v="346500"/>
        <n v="352000"/>
        <n v="11000"/>
        <n v="455400"/>
        <n v="324500"/>
        <n v="536800"/>
        <n v="124300"/>
        <n v="389400"/>
        <n v="262900"/>
        <n v="287100"/>
        <n v="359700"/>
        <n v="1037300"/>
        <n v="161700"/>
        <n v="480700"/>
        <n v="368500"/>
        <n v="730400"/>
        <n v="700700"/>
        <n v="842600"/>
        <n v="216700"/>
        <n v="20900"/>
        <n v="253000"/>
        <n v="683100"/>
        <n v="355300"/>
        <n v="416900"/>
        <n v="546700"/>
        <n v="113300"/>
        <n v="887700"/>
        <n v="612700"/>
        <n v="280500"/>
        <n v="512600"/>
        <n v="390500"/>
        <n v="16500"/>
        <n v="231000"/>
        <n v="784300"/>
        <n v="423500"/>
        <n v="610500"/>
        <n v="154000"/>
        <n v="364100"/>
        <n v="1107700"/>
        <n v="473000"/>
        <n v="594000"/>
        <n v="1076900"/>
        <n v="557700"/>
        <n v="678700"/>
        <n v="309100"/>
        <n v="452100"/>
        <n v="466400"/>
        <n v="1100000"/>
        <n v="442200"/>
        <n v="409200"/>
        <n v="302500"/>
        <n v="553300"/>
        <n v="745800"/>
        <n v="459800"/>
        <n v="645700"/>
        <n v="586300"/>
        <n v="545600"/>
        <n v="350900"/>
        <n v="1042800"/>
        <n v="617100"/>
        <n v="343200"/>
        <n v="666600"/>
        <n v="397100"/>
        <n v="630300"/>
        <n v="8800"/>
        <n v="565400"/>
        <n v="1106600"/>
        <n v="449900"/>
        <n v="164400"/>
        <n v="1063700"/>
        <n v="823900"/>
        <n v="456500"/>
        <n v="975700"/>
        <n v="1173700"/>
        <n v="996600"/>
        <n v="744700"/>
        <n v="1437700"/>
      </sharedItems>
    </cacheField>
    <cacheField name="zenz" numFmtId="0">
      <sharedItems containsMixedTypes="1" containsNumber="1" containsInteger="1" minValue="103" maxValue="103"/>
    </cacheField>
    <cacheField name="209" numFmtId="0">
      <sharedItems containsSemiMixedTypes="0" containsString="0" containsNumber="1" containsInteger="1" minValue="44" maxValue="10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조정기" refreshedDate="45887.586857986113" createdVersion="8" refreshedVersion="8" minRefreshableVersion="3" recordCount="717" xr:uid="{286C9198-2A7C-45FF-9F04-C28F56E86C5F}">
  <cacheSource type="worksheet">
    <worksheetSource ref="A1:G717" sheet="350"/>
  </cacheSource>
  <cacheFields count="7">
    <cacheField name="stage_reached_350 (App)" numFmtId="0">
      <sharedItems/>
    </cacheField>
    <cacheField name="W:22_0A:22_0" numFmtId="0">
      <sharedItems containsBlank="1" count="25">
        <s v="W:23_0A:22_0"/>
        <s v="W:22_0A:22_0"/>
        <s v="W:23_0A:21_0"/>
        <s v="W:22_0A:19_0"/>
        <s v="W:22_0A:20_0"/>
        <s v="W:23_0A:23_0"/>
        <s v="W:22_0A:23_0"/>
        <s v="W:21_0A:19_0"/>
        <s v="W:21_0A:22_0"/>
        <s v="W:20_0A:17_0"/>
        <s v="W:20_0A:19_0"/>
        <s v="W:23_0A:20_0"/>
        <s v="W:23_0A:19_0"/>
        <s v="W:22_0A:21_0"/>
        <s v="W:20_0A:20_0"/>
        <s v="W:21_0A:20_0"/>
        <s v="W:21_0A:23_0"/>
        <s v="W:21_0A:21_0"/>
        <s v="W:19_0A:19_0"/>
        <s v="W:20_0A:21_0"/>
        <s v="W:20_0A:6_0"/>
        <s v="W:22_0A:15_0"/>
        <s v="W:20_0A:23_0"/>
        <s v="W:20_0A:22_0"/>
        <m/>
      </sharedItems>
    </cacheField>
    <cacheField name="3" numFmtId="0">
      <sharedItems containsMixedTypes="1" containsNumber="1" containsInteger="1" minValue="4" maxValue="49" count="32"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49"/>
        <s v="{&quot;attendance_count&quot;"/>
      </sharedItems>
    </cacheField>
    <cacheField name="2025-08-06" numFmtId="0">
      <sharedItems containsDate="1" containsMixedTypes="1" minDate="2024-11-29T00:00:00" maxDate="2025-08-14T00:00:00"/>
    </cacheField>
    <cacheField name="770000" numFmtId="0">
      <sharedItems containsMixedTypes="1" containsNumber="1" containsInteger="1" minValue="0" maxValue="1305700" count="225">
        <n v="895400"/>
        <n v="667700"/>
        <n v="817300"/>
        <n v="856900"/>
        <n v="990000"/>
        <n v="631400"/>
        <n v="414700"/>
        <n v="605000"/>
        <n v="678700"/>
        <n v="459800"/>
        <n v="333300"/>
        <n v="601700"/>
        <n v="567600"/>
        <n v="777700"/>
        <n v="843700"/>
        <n v="383900"/>
        <n v="602800"/>
        <n v="557700"/>
        <n v="480700"/>
        <n v="425700"/>
        <n v="738100"/>
        <n v="568700"/>
        <n v="401500"/>
        <n v="301400"/>
        <n v="519200"/>
        <n v="447700"/>
        <n v="346500"/>
        <n v="352000"/>
        <n v="1305700"/>
        <n v="427900"/>
        <n v="271700"/>
        <n v="498300"/>
        <n v="524700"/>
        <n v="322300"/>
        <n v="579700"/>
        <n v="341000"/>
        <n v="192500"/>
        <n v="518100"/>
        <n v="331100"/>
        <n v="379500"/>
        <n v="300300"/>
        <n v="435600"/>
        <n v="305800"/>
        <n v="193600"/>
        <n v="304700"/>
        <n v="359700"/>
        <n v="152900"/>
        <n v="635800"/>
        <n v="328900"/>
        <n v="317900"/>
        <n v="700700"/>
        <n v="113300"/>
        <n v="810700"/>
        <n v="308000"/>
        <n v="262900"/>
        <n v="272800"/>
        <n v="209000"/>
        <n v="92400"/>
        <n v="227700"/>
        <n v="594000"/>
        <n v="150700"/>
        <n v="361900"/>
        <n v="554400"/>
        <n v="251900"/>
        <n v="190300"/>
        <n v="238700"/>
        <n v="436700"/>
        <n v="866800"/>
        <n v="176000"/>
        <n v="104500"/>
        <n v="112200"/>
        <n v="293700"/>
        <n v="517000"/>
        <n v="292600"/>
        <n v="264000"/>
        <n v="73700"/>
        <n v="108900"/>
        <n v="315700"/>
        <n v="18700"/>
        <n v="265100"/>
        <n v="269500"/>
        <n v="314600"/>
        <n v="133100"/>
        <n v="229900"/>
        <n v="155100"/>
        <n v="198000"/>
        <n v="84700"/>
        <n v="7700"/>
        <n v="121000"/>
        <n v="282700"/>
        <n v="172700"/>
        <n v="157300"/>
        <n v="55000"/>
        <n v="370700"/>
        <n v="281600"/>
        <n v="374000"/>
        <n v="185900"/>
        <n v="258500"/>
        <n v="350900"/>
        <n v="141900"/>
        <n v="286000"/>
        <n v="228800"/>
        <n v="250800"/>
        <n v="137500"/>
        <n v="99000"/>
        <n v="194700"/>
        <n v="297000"/>
        <n v="90200"/>
        <n v="117700"/>
        <n v="284900"/>
        <n v="29700"/>
        <n v="58300"/>
        <n v="254100"/>
        <n v="242000"/>
        <n v="33000"/>
        <n v="154000"/>
        <n v="234300"/>
        <n v="144100"/>
        <n v="62700"/>
        <n v="337700"/>
        <n v="123200"/>
        <n v="179300"/>
        <n v="465300"/>
        <n v="106700"/>
        <n v="156200"/>
        <n v="40700"/>
        <n v="23100"/>
        <n v="27500"/>
        <n v="103400"/>
        <n v="25300"/>
        <n v="135300"/>
        <n v="616000"/>
        <n v="212300"/>
        <n v="170500"/>
        <n v="266200"/>
        <n v="132000"/>
        <n v="295900"/>
        <n v="45100"/>
        <n v="458700"/>
        <n v="231000"/>
        <n v="89100"/>
        <n v="57200"/>
        <n v="205700"/>
        <n v="107800"/>
        <n v="42900"/>
        <n v="122100"/>
        <n v="201300"/>
        <n v="36300"/>
        <n v="79200"/>
        <n v="166100"/>
        <n v="44000"/>
        <n v="216700"/>
        <n v="235400"/>
        <n v="52800"/>
        <n v="72600"/>
        <n v="125400"/>
        <n v="180400"/>
        <n v="95700"/>
        <n v="260700"/>
        <n v="34100"/>
        <n v="200200"/>
        <n v="67100"/>
        <n v="202400"/>
        <n v="118800"/>
        <n v="80300"/>
        <n v="68200"/>
        <n v="287100"/>
        <n v="75900"/>
        <n v="139700"/>
        <n v="30800"/>
        <n v="41800"/>
        <n v="66000"/>
        <n v="60500"/>
        <n v="0"/>
        <n v="326700"/>
        <n v="128700"/>
        <n v="173800"/>
        <n v="51700"/>
        <n v="136400"/>
        <n v="12100"/>
        <n v="22000"/>
        <n v="249700"/>
        <n v="161700"/>
        <n v="86900"/>
        <n v="46200"/>
        <n v="61600"/>
        <n v="14300"/>
        <n v="17600"/>
        <n v="11000"/>
        <n v="110000"/>
        <n v="16500"/>
        <n v="111100"/>
        <n v="102300"/>
        <n v="69300"/>
        <n v="39600"/>
        <n v="35200"/>
        <n v="97900"/>
        <n v="119900"/>
        <n v="91300"/>
        <n v="15400"/>
        <n v="47300"/>
        <n v="124300"/>
        <n v="20900"/>
        <n v="19800"/>
        <n v="31900"/>
        <n v="140800"/>
        <n v="83600"/>
        <n v="28600"/>
        <n v="105600"/>
        <n v="13200"/>
        <n v="151800"/>
        <n v="8800"/>
        <n v="196900"/>
        <n v="71500"/>
        <n v="49500"/>
        <n v="38500"/>
        <n v="56100"/>
        <n v="256300"/>
        <n v="48400"/>
        <n v="93500"/>
        <n v="82500"/>
        <n v="53900"/>
        <n v="77000"/>
        <n v="64900"/>
        <s v="total_payment_amount"/>
      </sharedItems>
    </cacheField>
    <cacheField name="야촌" numFmtId="0">
      <sharedItems containsMixedTypes="1" containsNumber="1" containsInteger="1" minValue="13453" maxValue="13453"/>
    </cacheField>
    <cacheField name="245" numFmtId="0">
      <sharedItems containsMixedTypes="1" containsNumber="1" containsInteger="1" minValue="96" maxValue="16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조정기" refreshedDate="45887.589589467592" createdVersion="8" refreshedVersion="8" minRefreshableVersion="3" recordCount="65" xr:uid="{67193CB6-5C55-4341-AA04-29C7CEBA7F2D}">
  <cacheSource type="worksheet">
    <worksheetSource ref="A2:G67" sheet="450"/>
  </cacheSource>
  <cacheFields count="7">
    <cacheField name="stage_reached_450 (App)" numFmtId="0">
      <sharedItems/>
    </cacheField>
    <cacheField name="W:23_0A:20_0" numFmtId="0">
      <sharedItems count="13">
        <s v="W:23_0A:23_0"/>
        <s v="W:23_0A:22_0"/>
        <s v="W:23_0A:21_0"/>
        <s v="W:23_0A:19_0"/>
        <s v="W:22_0A:21_0"/>
        <s v="W:22_0A:22_0"/>
        <s v="W:23_0A:20_0"/>
        <s v="W:22_0A:20_0"/>
        <s v="W:21_0A:20_0"/>
        <s v="W:21_0A:19_0"/>
        <s v="W:20_0A:22_0"/>
        <s v="W:22_0A:23_0"/>
        <s v="W:14_0A:20_0"/>
      </sharedItems>
    </cacheField>
    <cacheField name="4" numFmtId="0">
      <sharedItems containsSemiMixedTypes="0" containsString="0" containsNumber="1" containsInteger="1" minValue="6" maxValue="151" count="26">
        <n v="6"/>
        <n v="7"/>
        <n v="8"/>
        <n v="9"/>
        <n v="11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9"/>
        <n v="30"/>
        <n v="31"/>
        <n v="32"/>
        <n v="57"/>
        <n v="80"/>
        <n v="151"/>
      </sharedItems>
    </cacheField>
    <cacheField name="2025-07-29" numFmtId="14">
      <sharedItems containsSemiMixedTypes="0" containsNonDate="0" containsDate="1" containsString="0" minDate="2024-11-27T00:00:00" maxDate="2025-08-05T00:00:00"/>
    </cacheField>
    <cacheField name="1657700" numFmtId="0">
      <sharedItems containsSemiMixedTypes="0" containsString="0" containsNumber="1" containsInteger="1" minValue="0" maxValue="1980000" count="61">
        <n v="1980000"/>
        <n v="1351900"/>
        <n v="1584000"/>
        <n v="1123100"/>
        <n v="1070300"/>
        <n v="906400"/>
        <n v="1063700"/>
        <n v="1257300"/>
        <n v="1140700"/>
        <n v="1007600"/>
        <n v="823900"/>
        <n v="825000"/>
        <n v="893200"/>
        <n v="1054900"/>
        <n v="865700"/>
        <n v="801900"/>
        <n v="647900"/>
        <n v="959200"/>
        <n v="770000"/>
        <n v="929500"/>
        <n v="657800"/>
        <n v="905300"/>
        <n v="876700"/>
        <n v="459800"/>
        <n v="507100"/>
        <n v="831600"/>
        <n v="569800"/>
        <n v="667700"/>
        <n v="563200"/>
        <n v="707300"/>
        <n v="650100"/>
        <n v="811800"/>
        <n v="400400"/>
        <n v="601700"/>
        <n v="590700"/>
        <n v="942700"/>
        <n v="1172600"/>
        <n v="575300"/>
        <n v="544500"/>
        <n v="1147300"/>
        <n v="482900"/>
        <n v="568700"/>
        <n v="452100"/>
        <n v="476300"/>
        <n v="468600"/>
        <n v="427900"/>
        <n v="975700"/>
        <n v="937200"/>
        <n v="403700"/>
        <n v="630300"/>
        <n v="365200"/>
        <n v="495000"/>
        <n v="231000"/>
        <n v="368500"/>
        <n v="198000"/>
        <n v="278300"/>
        <n v="1507000"/>
        <n v="280500"/>
        <n v="124300"/>
        <n v="7700"/>
        <n v="0"/>
      </sharedItems>
    </cacheField>
    <cacheField name="암부" numFmtId="0">
      <sharedItems/>
    </cacheField>
    <cacheField name="26" numFmtId="0">
      <sharedItems containsSemiMixedTypes="0" containsString="0" containsNumber="1" containsInteger="1" minValue="24" maxValue="7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7">
  <r>
    <s v="stage_reached_300 (App)"/>
    <x v="0"/>
    <x v="0"/>
    <d v="2025-08-04T00:00:00"/>
    <x v="0"/>
    <x v="0"/>
    <n v="619"/>
  </r>
  <r>
    <s v="stage_reached_300 (App)"/>
    <x v="1"/>
    <x v="1"/>
    <d v="2025-08-13T00:00:00"/>
    <x v="1"/>
    <x v="1"/>
    <n v="1831"/>
  </r>
  <r>
    <s v="stage_reached_300 (App)"/>
    <x v="2"/>
    <x v="1"/>
    <d v="2025-07-31T00:00:00"/>
    <x v="2"/>
    <x v="2"/>
    <n v="343"/>
  </r>
  <r>
    <s v="stage_reached_300 (App)"/>
    <x v="2"/>
    <x v="2"/>
    <d v="2025-08-01T00:00:00"/>
    <x v="3"/>
    <x v="3"/>
    <n v="703"/>
  </r>
  <r>
    <s v="stage_reached_300 (App)"/>
    <x v="3"/>
    <x v="2"/>
    <d v="2025-08-04T00:00:00"/>
    <x v="4"/>
    <x v="4"/>
    <n v="634"/>
  </r>
  <r>
    <s v="stage_reached_300 (App)"/>
    <x v="4"/>
    <x v="2"/>
    <d v="2025-08-14T00:00:00"/>
    <x v="5"/>
    <x v="5"/>
    <n v="1611"/>
  </r>
  <r>
    <s v="stage_reached_300 (App)"/>
    <x v="3"/>
    <x v="2"/>
    <d v="2025-08-03T00:00:00"/>
    <x v="6"/>
    <x v="6"/>
    <n v="594"/>
  </r>
  <r>
    <s v="stage_reached_300 (App)"/>
    <x v="3"/>
    <x v="2"/>
    <d v="2025-08-05T00:00:00"/>
    <x v="7"/>
    <x v="7"/>
    <n v="688"/>
  </r>
  <r>
    <s v="stage_reached_300 (App)"/>
    <x v="4"/>
    <x v="2"/>
    <d v="2025-08-03T00:00:00"/>
    <x v="8"/>
    <x v="8"/>
    <n v="631"/>
  </r>
  <r>
    <s v="stage_reached_300 (App)"/>
    <x v="5"/>
    <x v="2"/>
    <d v="2025-07-31T00:00:00"/>
    <x v="9"/>
    <x v="9"/>
    <n v="346"/>
  </r>
  <r>
    <s v="stage_reached_300 (App)"/>
    <x v="6"/>
    <x v="2"/>
    <d v="2025-07-30T00:00:00"/>
    <x v="10"/>
    <x v="10"/>
    <n v="307"/>
  </r>
  <r>
    <s v="stage_reached_300 (App)"/>
    <x v="2"/>
    <x v="2"/>
    <d v="2025-07-29T00:00:00"/>
    <x v="11"/>
    <x v="11"/>
    <n v="283"/>
  </r>
  <r>
    <s v="stage_reached_300 (App)"/>
    <x v="0"/>
    <x v="3"/>
    <d v="2025-07-17T00:00:00"/>
    <x v="12"/>
    <x v="12"/>
    <n v="268"/>
  </r>
  <r>
    <s v="stage_reached_300 (App)"/>
    <x v="4"/>
    <x v="3"/>
    <d v="2025-08-05T00:00:00"/>
    <x v="13"/>
    <x v="13"/>
    <n v="1063"/>
  </r>
  <r>
    <s v="stage_reached_300 (App)"/>
    <x v="4"/>
    <x v="4"/>
    <d v="2025-08-04T00:00:00"/>
    <x v="14"/>
    <x v="14"/>
    <n v="847"/>
  </r>
  <r>
    <s v="stage_reached_300 (App)"/>
    <x v="7"/>
    <x v="4"/>
    <d v="2025-08-02T00:00:00"/>
    <x v="9"/>
    <x v="15"/>
    <n v="597"/>
  </r>
  <r>
    <s v="stage_reached_300 (App)"/>
    <x v="3"/>
    <x v="4"/>
    <d v="2025-08-04T00:00:00"/>
    <x v="15"/>
    <x v="16"/>
    <n v="828"/>
  </r>
  <r>
    <s v="stage_reached_300 (App)"/>
    <x v="2"/>
    <x v="4"/>
    <d v="2025-08-01T00:00:00"/>
    <x v="16"/>
    <x v="17"/>
    <n v="938"/>
  </r>
  <r>
    <s v="stage_reached_300 (App)"/>
    <x v="4"/>
    <x v="4"/>
    <d v="2025-08-08T00:00:00"/>
    <x v="17"/>
    <x v="18"/>
    <n v="1175"/>
  </r>
  <r>
    <s v="stage_reached_300 (App)"/>
    <x v="8"/>
    <x v="4"/>
    <d v="2025-07-30T00:00:00"/>
    <x v="18"/>
    <x v="19"/>
    <n v="413"/>
  </r>
  <r>
    <s v="stage_reached_300 (App)"/>
    <x v="9"/>
    <x v="4"/>
    <d v="2025-08-06T00:00:00"/>
    <x v="19"/>
    <x v="20"/>
    <n v="1111"/>
  </r>
  <r>
    <s v="stage_reached_300 (App)"/>
    <x v="1"/>
    <x v="4"/>
    <d v="2025-08-04T00:00:00"/>
    <x v="20"/>
    <x v="21"/>
    <n v="723"/>
  </r>
  <r>
    <s v="stage_reached_300 (App)"/>
    <x v="4"/>
    <x v="4"/>
    <d v="2025-08-04T00:00:00"/>
    <x v="21"/>
    <x v="22"/>
    <n v="808"/>
  </r>
  <r>
    <s v="stage_reached_300 (App)"/>
    <x v="10"/>
    <x v="5"/>
    <d v="2025-07-27T00:00:00"/>
    <x v="22"/>
    <x v="23"/>
    <n v="430"/>
  </r>
  <r>
    <s v="stage_reached_300 (App)"/>
    <x v="2"/>
    <x v="5"/>
    <d v="2025-08-04T00:00:00"/>
    <x v="23"/>
    <x v="24"/>
    <n v="891"/>
  </r>
  <r>
    <s v="stage_reached_300 (App)"/>
    <x v="1"/>
    <x v="5"/>
    <d v="2025-08-05T00:00:00"/>
    <x v="24"/>
    <x v="25"/>
    <n v="1156"/>
  </r>
  <r>
    <s v="stage_reached_300 (App)"/>
    <x v="9"/>
    <x v="5"/>
    <d v="2025-07-29T00:00:00"/>
    <x v="25"/>
    <x v="26"/>
    <n v="391"/>
  </r>
  <r>
    <s v="stage_reached_300 (App)"/>
    <x v="9"/>
    <x v="5"/>
    <d v="2025-07-16T00:00:00"/>
    <x v="26"/>
    <x v="27"/>
    <n v="248"/>
  </r>
  <r>
    <s v="stage_reached_300 (App)"/>
    <x v="9"/>
    <x v="5"/>
    <d v="2025-08-09T00:00:00"/>
    <x v="27"/>
    <x v="28"/>
    <n v="1351"/>
  </r>
  <r>
    <s v="stage_reached_300 (App)"/>
    <x v="9"/>
    <x v="5"/>
    <d v="2025-08-02T00:00:00"/>
    <x v="27"/>
    <x v="29"/>
    <n v="689"/>
  </r>
  <r>
    <s v="stage_reached_300 (App)"/>
    <x v="0"/>
    <x v="5"/>
    <d v="2025-08-02T00:00:00"/>
    <x v="28"/>
    <x v="30"/>
    <n v="792"/>
  </r>
  <r>
    <s v="stage_reached_300 (App)"/>
    <x v="7"/>
    <x v="5"/>
    <d v="2025-07-29T00:00:00"/>
    <x v="28"/>
    <x v="31"/>
    <n v="389"/>
  </r>
  <r>
    <s v="stage_reached_300 (App)"/>
    <x v="9"/>
    <x v="5"/>
    <d v="2025-07-26T00:00:00"/>
    <x v="29"/>
    <x v="32"/>
    <n v="244"/>
  </r>
  <r>
    <s v="stage_reached_300 (App)"/>
    <x v="7"/>
    <x v="5"/>
    <d v="2025-08-04T00:00:00"/>
    <x v="30"/>
    <x v="33"/>
    <n v="877"/>
  </r>
  <r>
    <s v="stage_reached_300 (App)"/>
    <x v="11"/>
    <x v="5"/>
    <d v="2025-08-12T00:00:00"/>
    <x v="31"/>
    <x v="34"/>
    <n v="1616"/>
  </r>
  <r>
    <s v="stage_reached_300 (App)"/>
    <x v="9"/>
    <x v="6"/>
    <d v="2025-07-29T00:00:00"/>
    <x v="32"/>
    <x v="35"/>
    <n v="594"/>
  </r>
  <r>
    <s v="stage_reached_300 (App)"/>
    <x v="4"/>
    <x v="6"/>
    <d v="2025-07-30T00:00:00"/>
    <x v="33"/>
    <x v="36"/>
    <n v="572"/>
  </r>
  <r>
    <s v="stage_reached_300 (App)"/>
    <x v="0"/>
    <x v="6"/>
    <d v="2025-07-27T00:00:00"/>
    <x v="34"/>
    <x v="37"/>
    <n v="361"/>
  </r>
  <r>
    <s v="stage_reached_300 (App)"/>
    <x v="12"/>
    <x v="6"/>
    <d v="2025-07-30T00:00:00"/>
    <x v="35"/>
    <x v="38"/>
    <n v="746"/>
  </r>
  <r>
    <s v="stage_reached_300 (App)"/>
    <x v="13"/>
    <x v="6"/>
    <d v="2025-08-05T00:00:00"/>
    <x v="36"/>
    <x v="39"/>
    <n v="1117"/>
  </r>
  <r>
    <s v="stage_reached_300 (App)"/>
    <x v="0"/>
    <x v="6"/>
    <d v="2025-08-01T00:00:00"/>
    <x v="37"/>
    <x v="40"/>
    <n v="711"/>
  </r>
  <r>
    <s v="stage_reached_300 (App)"/>
    <x v="0"/>
    <x v="6"/>
    <d v="2025-08-01T00:00:00"/>
    <x v="38"/>
    <x v="41"/>
    <n v="803"/>
  </r>
  <r>
    <s v="stage_reached_300 (App)"/>
    <x v="11"/>
    <x v="6"/>
    <d v="2025-08-05T00:00:00"/>
    <x v="39"/>
    <x v="42"/>
    <n v="1266"/>
  </r>
  <r>
    <s v="stage_reached_300 (App)"/>
    <x v="1"/>
    <x v="6"/>
    <d v="2025-08-01T00:00:00"/>
    <x v="40"/>
    <x v="43"/>
    <n v="651"/>
  </r>
  <r>
    <s v="stage_reached_300 (App)"/>
    <x v="14"/>
    <x v="6"/>
    <d v="2025-08-04T00:00:00"/>
    <x v="41"/>
    <x v="44"/>
    <n v="921"/>
  </r>
  <r>
    <s v="stage_reached_300 (App)"/>
    <x v="1"/>
    <x v="7"/>
    <d v="2025-07-26T00:00:00"/>
    <x v="42"/>
    <x v="45"/>
    <n v="426"/>
  </r>
  <r>
    <s v="stage_reached_300 (App)"/>
    <x v="15"/>
    <x v="7"/>
    <d v="2025-07-26T00:00:00"/>
    <x v="43"/>
    <x v="46"/>
    <n v="696"/>
  </r>
  <r>
    <s v="stage_reached_300 (App)"/>
    <x v="14"/>
    <x v="7"/>
    <d v="2025-08-06T00:00:00"/>
    <x v="44"/>
    <x v="47"/>
    <n v="1274"/>
  </r>
  <r>
    <s v="stage_reached_300 (App)"/>
    <x v="2"/>
    <x v="7"/>
    <d v="2025-08-06T00:00:00"/>
    <x v="45"/>
    <x v="48"/>
    <n v="1319"/>
  </r>
  <r>
    <s v="stage_reached_300 (App)"/>
    <x v="14"/>
    <x v="7"/>
    <d v="2025-08-01T00:00:00"/>
    <x v="46"/>
    <x v="49"/>
    <n v="802"/>
  </r>
  <r>
    <s v="stage_reached_300 (App)"/>
    <x v="11"/>
    <x v="7"/>
    <d v="2025-07-30T00:00:00"/>
    <x v="47"/>
    <x v="50"/>
    <n v="738"/>
  </r>
  <r>
    <s v="stage_reached_300 (App)"/>
    <x v="4"/>
    <x v="8"/>
    <d v="2025-07-27T00:00:00"/>
    <x v="48"/>
    <x v="51"/>
    <n v="666"/>
  </r>
  <r>
    <s v="stage_reached_300 (App)"/>
    <x v="4"/>
    <x v="8"/>
    <d v="2025-07-28T00:00:00"/>
    <x v="49"/>
    <x v="52"/>
    <n v="552"/>
  </r>
  <r>
    <s v="stage_reached_300 (App)"/>
    <x v="16"/>
    <x v="8"/>
    <d v="2025-07-26T00:00:00"/>
    <x v="50"/>
    <x v="53"/>
    <n v="404"/>
  </r>
  <r>
    <s v="stage_reached_300 (App)"/>
    <x v="1"/>
    <x v="8"/>
    <d v="2025-07-31T00:00:00"/>
    <x v="51"/>
    <x v="54"/>
    <n v="943"/>
  </r>
  <r>
    <s v="stage_reached_300 (App)"/>
    <x v="2"/>
    <x v="8"/>
    <d v="2025-08-08T00:00:00"/>
    <x v="52"/>
    <x v="55"/>
    <n v="1572"/>
  </r>
  <r>
    <s v="stage_reached_300 (App)"/>
    <x v="9"/>
    <x v="8"/>
    <d v="2025-07-25T00:00:00"/>
    <x v="52"/>
    <x v="56"/>
    <n v="274"/>
  </r>
  <r>
    <s v="stage_reached_300 (App)"/>
    <x v="2"/>
    <x v="8"/>
    <d v="2025-07-29T00:00:00"/>
    <x v="53"/>
    <x v="57"/>
    <n v="626"/>
  </r>
  <r>
    <s v="stage_reached_300 (App)"/>
    <x v="0"/>
    <x v="8"/>
    <d v="2025-07-27T00:00:00"/>
    <x v="53"/>
    <x v="58"/>
    <n v="529"/>
  </r>
  <r>
    <s v="stage_reached_300 (App)"/>
    <x v="3"/>
    <x v="8"/>
    <d v="2025-07-25T00:00:00"/>
    <x v="54"/>
    <x v="59"/>
    <n v="382"/>
  </r>
  <r>
    <s v="stage_reached_300 (App)"/>
    <x v="0"/>
    <x v="8"/>
    <d v="2025-08-02T00:00:00"/>
    <x v="55"/>
    <x v="60"/>
    <n v="1005"/>
  </r>
  <r>
    <s v="stage_reached_300 (App)"/>
    <x v="9"/>
    <x v="8"/>
    <d v="2025-07-24T00:00:00"/>
    <x v="56"/>
    <x v="61"/>
    <n v="358"/>
  </r>
  <r>
    <s v="stage_reached_300 (App)"/>
    <x v="1"/>
    <x v="8"/>
    <d v="2025-07-27T00:00:00"/>
    <x v="57"/>
    <x v="62"/>
    <n v="432"/>
  </r>
  <r>
    <s v="stage_reached_300 (App)"/>
    <x v="7"/>
    <x v="8"/>
    <d v="2025-08-07T00:00:00"/>
    <x v="58"/>
    <x v="63"/>
    <n v="1415"/>
  </r>
  <r>
    <s v="stage_reached_300 (App)"/>
    <x v="0"/>
    <x v="8"/>
    <d v="2025-07-27T00:00:00"/>
    <x v="58"/>
    <x v="64"/>
    <n v="547"/>
  </r>
  <r>
    <s v="stage_reached_300 (App)"/>
    <x v="15"/>
    <x v="8"/>
    <d v="2025-08-03T00:00:00"/>
    <x v="59"/>
    <x v="65"/>
    <n v="1014"/>
  </r>
  <r>
    <s v="stage_reached_300 (App)"/>
    <x v="7"/>
    <x v="9"/>
    <d v="2025-07-22T00:00:00"/>
    <x v="60"/>
    <x v="66"/>
    <n v="329"/>
  </r>
  <r>
    <s v="stage_reached_300 (App)"/>
    <x v="11"/>
    <x v="9"/>
    <d v="2025-07-27T00:00:00"/>
    <x v="61"/>
    <x v="67"/>
    <n v="598"/>
  </r>
  <r>
    <s v="stage_reached_300 (App)"/>
    <x v="4"/>
    <x v="9"/>
    <d v="2025-07-24T00:00:00"/>
    <x v="62"/>
    <x v="68"/>
    <n v="435"/>
  </r>
  <r>
    <s v="stage_reached_300 (App)"/>
    <x v="3"/>
    <x v="9"/>
    <d v="2025-07-26T00:00:00"/>
    <x v="21"/>
    <x v="69"/>
    <n v="497"/>
  </r>
  <r>
    <s v="stage_reached_300 (App)"/>
    <x v="9"/>
    <x v="9"/>
    <d v="2025-07-31T00:00:00"/>
    <x v="63"/>
    <x v="70"/>
    <n v="866"/>
  </r>
  <r>
    <s v="stage_reached_300 (App)"/>
    <x v="13"/>
    <x v="9"/>
    <d v="2025-07-30T00:00:00"/>
    <x v="64"/>
    <x v="71"/>
    <n v="779"/>
  </r>
  <r>
    <s v="stage_reached_300 (App)"/>
    <x v="0"/>
    <x v="9"/>
    <d v="2025-07-31T00:00:00"/>
    <x v="65"/>
    <x v="72"/>
    <n v="1166"/>
  </r>
  <r>
    <s v="stage_reached_300 (App)"/>
    <x v="3"/>
    <x v="9"/>
    <d v="2025-07-30T00:00:00"/>
    <x v="65"/>
    <x v="73"/>
    <n v="853"/>
  </r>
  <r>
    <s v="stage_reached_300 (App)"/>
    <x v="14"/>
    <x v="9"/>
    <d v="2025-07-21T00:00:00"/>
    <x v="66"/>
    <x v="74"/>
    <n v="913"/>
  </r>
  <r>
    <s v="stage_reached_300 (App)"/>
    <x v="0"/>
    <x v="9"/>
    <d v="2025-07-30T00:00:00"/>
    <x v="67"/>
    <x v="75"/>
    <n v="785"/>
  </r>
  <r>
    <s v="stage_reached_300 (App)"/>
    <x v="9"/>
    <x v="9"/>
    <d v="2025-07-23T00:00:00"/>
    <x v="68"/>
    <x v="76"/>
    <n v="284"/>
  </r>
  <r>
    <s v="stage_reached_300 (App)"/>
    <x v="14"/>
    <x v="9"/>
    <d v="2025-07-26T00:00:00"/>
    <x v="69"/>
    <x v="77"/>
    <n v="478"/>
  </r>
  <r>
    <s v="stage_reached_300 (App)"/>
    <x v="9"/>
    <x v="9"/>
    <d v="2025-08-02T00:00:00"/>
    <x v="70"/>
    <x v="78"/>
    <n v="1036"/>
  </r>
  <r>
    <s v="stage_reached_300 (App)"/>
    <x v="9"/>
    <x v="9"/>
    <d v="2025-07-28T00:00:00"/>
    <x v="71"/>
    <x v="79"/>
    <n v="608"/>
  </r>
  <r>
    <s v="stage_reached_300 (App)"/>
    <x v="9"/>
    <x v="9"/>
    <d v="2025-07-21T00:00:00"/>
    <x v="72"/>
    <x v="80"/>
    <n v="234"/>
  </r>
  <r>
    <s v="stage_reached_300 (App)"/>
    <x v="7"/>
    <x v="9"/>
    <d v="2025-07-26T00:00:00"/>
    <x v="73"/>
    <x v="81"/>
    <n v="438"/>
  </r>
  <r>
    <s v="stage_reached_300 (App)"/>
    <x v="0"/>
    <x v="9"/>
    <d v="2025-07-25T00:00:00"/>
    <x v="74"/>
    <x v="82"/>
    <n v="385"/>
  </r>
  <r>
    <s v="stage_reached_300 (App)"/>
    <x v="17"/>
    <x v="10"/>
    <d v="2025-08-03T00:00:00"/>
    <x v="75"/>
    <x v="83"/>
    <n v="1302"/>
  </r>
  <r>
    <s v="stage_reached_300 (App)"/>
    <x v="18"/>
    <x v="10"/>
    <d v="2025-07-20T00:00:00"/>
    <x v="76"/>
    <x v="84"/>
    <n v="226"/>
  </r>
  <r>
    <s v="stage_reached_300 (App)"/>
    <x v="19"/>
    <x v="10"/>
    <d v="2025-07-26T00:00:00"/>
    <x v="77"/>
    <x v="85"/>
    <n v="567"/>
  </r>
  <r>
    <s v="stage_reached_300 (App)"/>
    <x v="9"/>
    <x v="10"/>
    <d v="2025-07-24T00:00:00"/>
    <x v="78"/>
    <x v="86"/>
    <n v="410"/>
  </r>
  <r>
    <s v="stage_reached_300 (App)"/>
    <x v="0"/>
    <x v="10"/>
    <d v="2025-08-04T00:00:00"/>
    <x v="79"/>
    <x v="87"/>
    <n v="1379"/>
  </r>
  <r>
    <s v="stage_reached_300 (App)"/>
    <x v="5"/>
    <x v="10"/>
    <d v="2025-08-03T00:00:00"/>
    <x v="80"/>
    <x v="88"/>
    <n v="1299"/>
  </r>
  <r>
    <s v="stage_reached_300 (App)"/>
    <x v="0"/>
    <x v="10"/>
    <d v="2025-08-04T00:00:00"/>
    <x v="81"/>
    <x v="89"/>
    <n v="1401"/>
  </r>
  <r>
    <s v="stage_reached_300 (App)"/>
    <x v="9"/>
    <x v="10"/>
    <d v="2025-08-04T00:00:00"/>
    <x v="65"/>
    <x v="90"/>
    <n v="1652"/>
  </r>
  <r>
    <s v="stage_reached_300 (App)"/>
    <x v="9"/>
    <x v="10"/>
    <d v="2025-07-20T00:00:00"/>
    <x v="65"/>
    <x v="91"/>
    <n v="254"/>
  </r>
  <r>
    <s v="stage_reached_300 (App)"/>
    <x v="2"/>
    <x v="10"/>
    <d v="2025-07-28T00:00:00"/>
    <x v="68"/>
    <x v="92"/>
    <n v="668"/>
  </r>
  <r>
    <s v="stage_reached_300 (App)"/>
    <x v="3"/>
    <x v="10"/>
    <d v="2025-07-22T00:00:00"/>
    <x v="70"/>
    <x v="93"/>
    <n v="322"/>
  </r>
  <r>
    <s v="stage_reached_300 (App)"/>
    <x v="0"/>
    <x v="10"/>
    <d v="2025-07-27T00:00:00"/>
    <x v="82"/>
    <x v="94"/>
    <n v="574"/>
  </r>
  <r>
    <s v="stage_reached_300 (App)"/>
    <x v="5"/>
    <x v="10"/>
    <d v="2025-08-01T00:00:00"/>
    <x v="83"/>
    <x v="95"/>
    <n v="1029"/>
  </r>
  <r>
    <s v="stage_reached_300 (App)"/>
    <x v="1"/>
    <x v="10"/>
    <d v="2025-08-02T00:00:00"/>
    <x v="84"/>
    <x v="96"/>
    <n v="1504"/>
  </r>
  <r>
    <s v="stage_reached_300 (App)"/>
    <x v="9"/>
    <x v="10"/>
    <d v="2025-07-23T00:00:00"/>
    <x v="85"/>
    <x v="97"/>
    <n v="399"/>
  </r>
  <r>
    <s v="stage_reached_300 (App)"/>
    <x v="14"/>
    <x v="10"/>
    <d v="2025-07-29T00:00:00"/>
    <x v="86"/>
    <x v="98"/>
    <n v="876"/>
  </r>
  <r>
    <s v="stage_reached_300 (App)"/>
    <x v="1"/>
    <x v="10"/>
    <d v="2025-07-30T00:00:00"/>
    <x v="87"/>
    <x v="99"/>
    <n v="845"/>
  </r>
  <r>
    <s v="stage_reached_300 (App)"/>
    <x v="7"/>
    <x v="10"/>
    <d v="2025-07-22T00:00:00"/>
    <x v="88"/>
    <x v="100"/>
    <n v="257"/>
  </r>
  <r>
    <s v="stage_reached_300 (App)"/>
    <x v="12"/>
    <x v="10"/>
    <d v="2025-07-31T00:00:00"/>
    <x v="89"/>
    <x v="101"/>
    <n v="1009"/>
  </r>
  <r>
    <s v="stage_reached_300 (App)"/>
    <x v="11"/>
    <x v="10"/>
    <d v="2025-08-03T00:00:00"/>
    <x v="47"/>
    <x v="102"/>
    <n v="1225"/>
  </r>
  <r>
    <s v="stage_reached_300 (App)"/>
    <x v="11"/>
    <x v="10"/>
    <d v="2025-07-28T00:00:00"/>
    <x v="47"/>
    <x v="103"/>
    <n v="773"/>
  </r>
  <r>
    <s v="stage_reached_300 (App)"/>
    <x v="11"/>
    <x v="10"/>
    <d v="2025-07-20T00:00:00"/>
    <x v="47"/>
    <x v="104"/>
    <n v="234"/>
  </r>
  <r>
    <s v="stage_reached_300 (App)"/>
    <x v="1"/>
    <x v="11"/>
    <d v="2025-07-25T00:00:00"/>
    <x v="90"/>
    <x v="105"/>
    <n v="545"/>
  </r>
  <r>
    <s v="stage_reached_300 (App)"/>
    <x v="17"/>
    <x v="11"/>
    <d v="2025-07-20T00:00:00"/>
    <x v="91"/>
    <x v="106"/>
    <n v="283"/>
  </r>
  <r>
    <s v="stage_reached_300 (App)"/>
    <x v="13"/>
    <x v="11"/>
    <d v="2025-07-22T00:00:00"/>
    <x v="77"/>
    <x v="107"/>
    <n v="423"/>
  </r>
  <r>
    <s v="stage_reached_300 (App)"/>
    <x v="18"/>
    <x v="11"/>
    <d v="2025-08-03T00:00:00"/>
    <x v="53"/>
    <x v="108"/>
    <n v="1356"/>
  </r>
  <r>
    <s v="stage_reached_300 (App)"/>
    <x v="3"/>
    <x v="11"/>
    <d v="2025-07-27T00:00:00"/>
    <x v="81"/>
    <x v="109"/>
    <n v="702"/>
  </r>
  <r>
    <s v="stage_reached_300 (App)"/>
    <x v="9"/>
    <x v="11"/>
    <d v="2025-07-26T00:00:00"/>
    <x v="66"/>
    <x v="110"/>
    <n v="592"/>
  </r>
  <r>
    <s v="stage_reached_300 (App)"/>
    <x v="0"/>
    <x v="11"/>
    <d v="2025-08-02T00:00:00"/>
    <x v="92"/>
    <x v="111"/>
    <n v="1232"/>
  </r>
  <r>
    <s v="stage_reached_300 (App)"/>
    <x v="13"/>
    <x v="11"/>
    <d v="2025-07-22T00:00:00"/>
    <x v="93"/>
    <x v="112"/>
    <n v="373"/>
  </r>
  <r>
    <s v="stage_reached_300 (App)"/>
    <x v="0"/>
    <x v="11"/>
    <d v="2025-07-28T00:00:00"/>
    <x v="94"/>
    <x v="113"/>
    <n v="1030"/>
  </r>
  <r>
    <s v="stage_reached_300 (App)"/>
    <x v="9"/>
    <x v="11"/>
    <d v="2025-07-28T00:00:00"/>
    <x v="94"/>
    <x v="114"/>
    <n v="822"/>
  </r>
  <r>
    <s v="stage_reached_300 (App)"/>
    <x v="1"/>
    <x v="11"/>
    <d v="2025-07-21T00:00:00"/>
    <x v="57"/>
    <x v="115"/>
    <n v="274"/>
  </r>
  <r>
    <s v="stage_reached_300 (App)"/>
    <x v="11"/>
    <x v="11"/>
    <d v="2025-07-21T00:00:00"/>
    <x v="95"/>
    <x v="116"/>
    <n v="266"/>
  </r>
  <r>
    <s v="stage_reached_300 (App)"/>
    <x v="9"/>
    <x v="11"/>
    <d v="2025-07-19T00:00:00"/>
    <x v="84"/>
    <x v="117"/>
    <n v="258"/>
  </r>
  <r>
    <s v="stage_reached_300 (App)"/>
    <x v="5"/>
    <x v="11"/>
    <d v="2025-07-26T00:00:00"/>
    <x v="96"/>
    <x v="118"/>
    <n v="655"/>
  </r>
  <r>
    <s v="stage_reached_300 (App)"/>
    <x v="19"/>
    <x v="11"/>
    <d v="2025-07-30T00:00:00"/>
    <x v="97"/>
    <x v="119"/>
    <n v="1029"/>
  </r>
  <r>
    <s v="stage_reached_300 (App)"/>
    <x v="3"/>
    <x v="11"/>
    <d v="2025-07-30T00:00:00"/>
    <x v="98"/>
    <x v="120"/>
    <n v="1045"/>
  </r>
  <r>
    <s v="stage_reached_300 (App)"/>
    <x v="1"/>
    <x v="11"/>
    <d v="2025-07-29T00:00:00"/>
    <x v="99"/>
    <x v="121"/>
    <n v="860"/>
  </r>
  <r>
    <s v="stage_reached_300 (App)"/>
    <x v="7"/>
    <x v="11"/>
    <d v="2025-07-31T00:00:00"/>
    <x v="100"/>
    <x v="122"/>
    <n v="1164"/>
  </r>
  <r>
    <s v="stage_reached_300 (App)"/>
    <x v="0"/>
    <x v="11"/>
    <d v="2025-07-23T00:00:00"/>
    <x v="101"/>
    <x v="123"/>
    <n v="425"/>
  </r>
  <r>
    <s v="stage_reached_300 (App)"/>
    <x v="0"/>
    <x v="11"/>
    <d v="2025-07-19T00:00:00"/>
    <x v="102"/>
    <x v="124"/>
    <n v="256"/>
  </r>
  <r>
    <s v="stage_reached_300 (App)"/>
    <x v="0"/>
    <x v="11"/>
    <d v="2025-07-29T00:00:00"/>
    <x v="103"/>
    <x v="125"/>
    <n v="867"/>
  </r>
  <r>
    <s v="stage_reached_300 (App)"/>
    <x v="0"/>
    <x v="11"/>
    <d v="2025-07-22T00:00:00"/>
    <x v="104"/>
    <x v="126"/>
    <n v="416"/>
  </r>
  <r>
    <s v="stage_reached_300 (App)"/>
    <x v="0"/>
    <x v="11"/>
    <d v="2025-07-20T00:00:00"/>
    <x v="105"/>
    <x v="127"/>
    <n v="237"/>
  </r>
  <r>
    <s v="stage_reached_300 (App)"/>
    <x v="1"/>
    <x v="11"/>
    <d v="2025-08-02T00:00:00"/>
    <x v="106"/>
    <x v="128"/>
    <n v="1252"/>
  </r>
  <r>
    <s v="stage_reached_300 (App)"/>
    <x v="11"/>
    <x v="11"/>
    <d v="2025-08-03T00:00:00"/>
    <x v="107"/>
    <x v="129"/>
    <n v="1330"/>
  </r>
  <r>
    <s v="stage_reached_300 (App)"/>
    <x v="0"/>
    <x v="11"/>
    <d v="2025-07-29T00:00:00"/>
    <x v="89"/>
    <x v="130"/>
    <n v="833"/>
  </r>
  <r>
    <s v="stage_reached_300 (App)"/>
    <x v="11"/>
    <x v="11"/>
    <d v="2025-08-03T00:00:00"/>
    <x v="47"/>
    <x v="131"/>
    <n v="1287"/>
  </r>
  <r>
    <s v="stage_reached_300 (App)"/>
    <x v="11"/>
    <x v="11"/>
    <d v="2025-08-02T00:00:00"/>
    <x v="47"/>
    <x v="132"/>
    <n v="1178"/>
  </r>
  <r>
    <s v="stage_reached_300 (App)"/>
    <x v="2"/>
    <x v="11"/>
    <d v="2025-07-26T00:00:00"/>
    <x v="47"/>
    <x v="133"/>
    <n v="708"/>
  </r>
  <r>
    <s v="stage_reached_300 (App)"/>
    <x v="2"/>
    <x v="11"/>
    <d v="2025-07-26T00:00:00"/>
    <x v="47"/>
    <x v="134"/>
    <n v="639"/>
  </r>
  <r>
    <s v="stage_reached_300 (App)"/>
    <x v="11"/>
    <x v="11"/>
    <d v="2025-07-23T00:00:00"/>
    <x v="47"/>
    <x v="135"/>
    <n v="428"/>
  </r>
  <r>
    <s v="stage_reached_300 (App)"/>
    <x v="14"/>
    <x v="11"/>
    <d v="2025-07-22T00:00:00"/>
    <x v="47"/>
    <x v="136"/>
    <n v="377"/>
  </r>
  <r>
    <s v="stage_reached_300 (App)"/>
    <x v="0"/>
    <x v="11"/>
    <d v="2025-07-19T00:00:00"/>
    <x v="47"/>
    <x v="137"/>
    <n v="397"/>
  </r>
  <r>
    <s v="stage_reached_300 (App)"/>
    <x v="11"/>
    <x v="11"/>
    <d v="2025-07-21T00:00:00"/>
    <x v="47"/>
    <x v="138"/>
    <n v="310"/>
  </r>
  <r>
    <s v="stage_reached_300 (App)"/>
    <x v="14"/>
    <x v="11"/>
    <d v="2025-07-20T00:00:00"/>
    <x v="47"/>
    <x v="139"/>
    <n v="231"/>
  </r>
  <r>
    <s v="stage_reached_300 (App)"/>
    <x v="3"/>
    <x v="12"/>
    <d v="2025-07-30T00:00:00"/>
    <x v="108"/>
    <x v="140"/>
    <n v="1015"/>
  </r>
  <r>
    <s v="stage_reached_300 (App)"/>
    <x v="11"/>
    <x v="12"/>
    <d v="2025-08-03T00:00:00"/>
    <x v="109"/>
    <x v="141"/>
    <n v="1430"/>
  </r>
  <r>
    <s v="stage_reached_300 (App)"/>
    <x v="0"/>
    <x v="12"/>
    <d v="2025-07-26T00:00:00"/>
    <x v="38"/>
    <x v="142"/>
    <n v="750"/>
  </r>
  <r>
    <s v="stage_reached_300 (App)"/>
    <x v="0"/>
    <x v="12"/>
    <d v="2025-07-20T00:00:00"/>
    <x v="68"/>
    <x v="143"/>
    <n v="273"/>
  </r>
  <r>
    <s v="stage_reached_300 (App)"/>
    <x v="0"/>
    <x v="12"/>
    <d v="2025-07-26T00:00:00"/>
    <x v="44"/>
    <x v="144"/>
    <n v="695"/>
  </r>
  <r>
    <s v="stage_reached_300 (App)"/>
    <x v="9"/>
    <x v="12"/>
    <d v="2025-07-25T00:00:00"/>
    <x v="110"/>
    <x v="145"/>
    <n v="593"/>
  </r>
  <r>
    <s v="stage_reached_300 (App)"/>
    <x v="13"/>
    <x v="12"/>
    <d v="2025-08-02T00:00:00"/>
    <x v="111"/>
    <x v="146"/>
    <n v="1390"/>
  </r>
  <r>
    <s v="stage_reached_300 (App)"/>
    <x v="14"/>
    <x v="12"/>
    <d v="2025-07-25T00:00:00"/>
    <x v="111"/>
    <x v="147"/>
    <n v="604"/>
  </r>
  <r>
    <s v="stage_reached_300 (App)"/>
    <x v="0"/>
    <x v="12"/>
    <d v="2025-07-24T00:00:00"/>
    <x v="111"/>
    <x v="148"/>
    <n v="983"/>
  </r>
  <r>
    <s v="stage_reached_300 (App)"/>
    <x v="0"/>
    <x v="12"/>
    <d v="2025-07-28T00:00:00"/>
    <x v="73"/>
    <x v="149"/>
    <n v="1186"/>
  </r>
  <r>
    <s v="stage_reached_300 (App)"/>
    <x v="9"/>
    <x v="12"/>
    <d v="2025-07-31T00:00:00"/>
    <x v="112"/>
    <x v="150"/>
    <n v="1108"/>
  </r>
  <r>
    <s v="stage_reached_300 (App)"/>
    <x v="0"/>
    <x v="12"/>
    <d v="2025-07-25T00:00:00"/>
    <x v="112"/>
    <x v="151"/>
    <n v="707"/>
  </r>
  <r>
    <s v="stage_reached_300 (App)"/>
    <x v="11"/>
    <x v="12"/>
    <d v="2025-07-19T00:00:00"/>
    <x v="113"/>
    <x v="152"/>
    <n v="230"/>
  </r>
  <r>
    <s v="stage_reached_300 (App)"/>
    <x v="9"/>
    <x v="12"/>
    <d v="2025-08-03T00:00:00"/>
    <x v="97"/>
    <x v="153"/>
    <n v="1413"/>
  </r>
  <r>
    <s v="stage_reached_300 (App)"/>
    <x v="9"/>
    <x v="12"/>
    <d v="2025-07-27T00:00:00"/>
    <x v="114"/>
    <x v="154"/>
    <n v="774"/>
  </r>
  <r>
    <s v="stage_reached_300 (App)"/>
    <x v="7"/>
    <x v="12"/>
    <d v="2025-07-23T00:00:00"/>
    <x v="115"/>
    <x v="155"/>
    <n v="484"/>
  </r>
  <r>
    <s v="stage_reached_300 (App)"/>
    <x v="9"/>
    <x v="12"/>
    <d v="2025-07-20T00:00:00"/>
    <x v="115"/>
    <x v="156"/>
    <n v="304"/>
  </r>
  <r>
    <s v="stage_reached_300 (App)"/>
    <x v="7"/>
    <x v="12"/>
    <d v="2025-07-31T00:00:00"/>
    <x v="98"/>
    <x v="157"/>
    <n v="1159"/>
  </r>
  <r>
    <s v="stage_reached_300 (App)"/>
    <x v="4"/>
    <x v="12"/>
    <d v="2025-07-22T00:00:00"/>
    <x v="116"/>
    <x v="158"/>
    <n v="490"/>
  </r>
  <r>
    <s v="stage_reached_300 (App)"/>
    <x v="11"/>
    <x v="12"/>
    <d v="2025-07-18T00:00:00"/>
    <x v="116"/>
    <x v="159"/>
    <n v="319"/>
  </r>
  <r>
    <s v="stage_reached_300 (App)"/>
    <x v="14"/>
    <x v="12"/>
    <d v="2025-07-19T00:00:00"/>
    <x v="117"/>
    <x v="160"/>
    <n v="222"/>
  </r>
  <r>
    <s v="stage_reached_300 (App)"/>
    <x v="4"/>
    <x v="12"/>
    <d v="2025-07-21T00:00:00"/>
    <x v="101"/>
    <x v="161"/>
    <n v="456"/>
  </r>
  <r>
    <s v="stage_reached_300 (App)"/>
    <x v="7"/>
    <x v="12"/>
    <d v="2025-07-30T00:00:00"/>
    <x v="102"/>
    <x v="162"/>
    <n v="1143"/>
  </r>
  <r>
    <s v="stage_reached_300 (App)"/>
    <x v="9"/>
    <x v="12"/>
    <d v="2025-07-22T00:00:00"/>
    <x v="102"/>
    <x v="163"/>
    <n v="418"/>
  </r>
  <r>
    <s v="stage_reached_300 (App)"/>
    <x v="9"/>
    <x v="12"/>
    <d v="2025-07-21T00:00:00"/>
    <x v="102"/>
    <x v="164"/>
    <n v="341"/>
  </r>
  <r>
    <s v="stage_reached_300 (App)"/>
    <x v="11"/>
    <x v="12"/>
    <d v="2025-07-22T00:00:00"/>
    <x v="104"/>
    <x v="165"/>
    <n v="893"/>
  </r>
  <r>
    <s v="stage_reached_300 (App)"/>
    <x v="11"/>
    <x v="12"/>
    <d v="2025-07-19T00:00:00"/>
    <x v="104"/>
    <x v="166"/>
    <n v="302"/>
  </r>
  <r>
    <s v="stage_reached_300 (App)"/>
    <x v="11"/>
    <x v="12"/>
    <d v="2025-07-19T00:00:00"/>
    <x v="105"/>
    <x v="167"/>
    <n v="241"/>
  </r>
  <r>
    <s v="stage_reached_300 (App)"/>
    <x v="4"/>
    <x v="12"/>
    <d v="2025-07-20T00:00:00"/>
    <x v="118"/>
    <x v="168"/>
    <n v="280"/>
  </r>
  <r>
    <s v="stage_reached_300 (App)"/>
    <x v="11"/>
    <x v="12"/>
    <d v="2025-07-26T00:00:00"/>
    <x v="47"/>
    <x v="169"/>
    <n v="737"/>
  </r>
  <r>
    <s v="stage_reached_300 (App)"/>
    <x v="14"/>
    <x v="12"/>
    <d v="2025-07-21T00:00:00"/>
    <x v="47"/>
    <x v="170"/>
    <n v="328"/>
  </r>
  <r>
    <s v="stage_reached_300 (App)"/>
    <x v="11"/>
    <x v="12"/>
    <d v="2025-07-20T00:00:00"/>
    <x v="47"/>
    <x v="171"/>
    <n v="302"/>
  </r>
  <r>
    <s v="stage_reached_300 (App)"/>
    <x v="0"/>
    <x v="12"/>
    <d v="2025-07-19T00:00:00"/>
    <x v="47"/>
    <x v="172"/>
    <n v="275"/>
  </r>
  <r>
    <s v="stage_reached_300 (App)"/>
    <x v="12"/>
    <x v="12"/>
    <d v="2025-08-02T00:00:00"/>
    <x v="119"/>
    <x v="173"/>
    <n v="1422"/>
  </r>
  <r>
    <s v="stage_reached_300 (App)"/>
    <x v="11"/>
    <x v="12"/>
    <d v="2025-07-21T00:00:00"/>
    <x v="120"/>
    <x v="174"/>
    <n v="383"/>
  </r>
  <r>
    <s v="stage_reached_300 (App)"/>
    <x v="11"/>
    <x v="13"/>
    <d v="2025-07-21T00:00:00"/>
    <x v="121"/>
    <x v="175"/>
    <n v="571"/>
  </r>
  <r>
    <s v="stage_reached_300 (App)"/>
    <x v="3"/>
    <x v="13"/>
    <d v="2025-07-23T00:00:00"/>
    <x v="18"/>
    <x v="176"/>
    <n v="536"/>
  </r>
  <r>
    <s v="stage_reached_300 (App)"/>
    <x v="4"/>
    <x v="13"/>
    <d v="2025-07-29T00:00:00"/>
    <x v="77"/>
    <x v="177"/>
    <n v="1300"/>
  </r>
  <r>
    <s v="stage_reached_300 (App)"/>
    <x v="15"/>
    <x v="13"/>
    <d v="2025-07-20T00:00:00"/>
    <x v="122"/>
    <x v="178"/>
    <n v="348"/>
  </r>
  <r>
    <s v="stage_reached_300 (App)"/>
    <x v="9"/>
    <x v="13"/>
    <d v="2025-07-17T00:00:00"/>
    <x v="81"/>
    <x v="179"/>
    <n v="1366"/>
  </r>
  <r>
    <s v="stage_reached_300 (App)"/>
    <x v="13"/>
    <x v="13"/>
    <d v="2025-07-19T00:00:00"/>
    <x v="65"/>
    <x v="180"/>
    <n v="286"/>
  </r>
  <r>
    <s v="stage_reached_300 (App)"/>
    <x v="2"/>
    <x v="13"/>
    <d v="2025-07-18T00:00:00"/>
    <x v="65"/>
    <x v="181"/>
    <n v="225"/>
  </r>
  <r>
    <s v="stage_reached_300 (App)"/>
    <x v="4"/>
    <x v="13"/>
    <d v="2025-07-18T00:00:00"/>
    <x v="67"/>
    <x v="182"/>
    <n v="269"/>
  </r>
  <r>
    <s v="stage_reached_300 (App)"/>
    <x v="9"/>
    <x v="13"/>
    <d v="2025-07-19T00:00:00"/>
    <x v="69"/>
    <x v="183"/>
    <n v="279"/>
  </r>
  <r>
    <s v="stage_reached_300 (App)"/>
    <x v="0"/>
    <x v="13"/>
    <d v="2025-07-19T00:00:00"/>
    <x v="56"/>
    <x v="184"/>
    <n v="315"/>
  </r>
  <r>
    <s v="stage_reached_300 (App)"/>
    <x v="0"/>
    <x v="13"/>
    <d v="2025-07-29T00:00:00"/>
    <x v="110"/>
    <x v="185"/>
    <n v="1032"/>
  </r>
  <r>
    <s v="stage_reached_300 (App)"/>
    <x v="0"/>
    <x v="13"/>
    <d v="2025-08-02T00:00:00"/>
    <x v="57"/>
    <x v="186"/>
    <n v="1342"/>
  </r>
  <r>
    <s v="stage_reached_300 (App)"/>
    <x v="9"/>
    <x v="13"/>
    <d v="2025-07-18T00:00:00"/>
    <x v="123"/>
    <x v="187"/>
    <n v="295"/>
  </r>
  <r>
    <s v="stage_reached_300 (App)"/>
    <x v="10"/>
    <x v="13"/>
    <d v="2025-07-31T00:00:00"/>
    <x v="124"/>
    <x v="188"/>
    <n v="1232"/>
  </r>
  <r>
    <s v="stage_reached_300 (App)"/>
    <x v="7"/>
    <x v="13"/>
    <d v="2025-07-25T00:00:00"/>
    <x v="58"/>
    <x v="189"/>
    <n v="681"/>
  </r>
  <r>
    <s v="stage_reached_300 (App)"/>
    <x v="1"/>
    <x v="13"/>
    <d v="2025-07-27T00:00:00"/>
    <x v="111"/>
    <x v="190"/>
    <n v="941"/>
  </r>
  <r>
    <s v="stage_reached_300 (App)"/>
    <x v="14"/>
    <x v="13"/>
    <d v="2025-07-24T00:00:00"/>
    <x v="111"/>
    <x v="191"/>
    <n v="609"/>
  </r>
  <r>
    <s v="stage_reached_300 (App)"/>
    <x v="2"/>
    <x v="13"/>
    <d v="2025-07-30T00:00:00"/>
    <x v="125"/>
    <x v="192"/>
    <n v="1290"/>
  </r>
  <r>
    <s v="stage_reached_300 (App)"/>
    <x v="0"/>
    <x v="13"/>
    <d v="2025-07-19T00:00:00"/>
    <x v="125"/>
    <x v="193"/>
    <n v="782"/>
  </r>
  <r>
    <s v="stage_reached_300 (App)"/>
    <x v="20"/>
    <x v="13"/>
    <d v="2025-07-20T00:00:00"/>
    <x v="84"/>
    <x v="194"/>
    <n v="344"/>
  </r>
  <r>
    <s v="stage_reached_300 (App)"/>
    <x v="4"/>
    <x v="13"/>
    <d v="2025-07-23T00:00:00"/>
    <x v="96"/>
    <x v="195"/>
    <n v="579"/>
  </r>
  <r>
    <s v="stage_reached_300 (App)"/>
    <x v="9"/>
    <x v="13"/>
    <d v="2025-08-04T00:00:00"/>
    <x v="126"/>
    <x v="196"/>
    <n v="1527"/>
  </r>
  <r>
    <s v="stage_reached_300 (App)"/>
    <x v="0"/>
    <x v="13"/>
    <d v="2025-07-23T00:00:00"/>
    <x v="73"/>
    <x v="197"/>
    <n v="506"/>
  </r>
  <r>
    <s v="stage_reached_300 (App)"/>
    <x v="9"/>
    <x v="13"/>
    <d v="2025-07-22T00:00:00"/>
    <x v="73"/>
    <x v="198"/>
    <n v="486"/>
  </r>
  <r>
    <s v="stage_reached_300 (App)"/>
    <x v="0"/>
    <x v="13"/>
    <d v="2025-07-18T00:00:00"/>
    <x v="73"/>
    <x v="199"/>
    <n v="299"/>
  </r>
  <r>
    <s v="stage_reached_300 (App)"/>
    <x v="19"/>
    <x v="13"/>
    <d v="2025-07-19T00:00:00"/>
    <x v="73"/>
    <x v="200"/>
    <n v="279"/>
  </r>
  <r>
    <s v="stage_reached_300 (App)"/>
    <x v="4"/>
    <x v="13"/>
    <d v="2025-07-20T00:00:00"/>
    <x v="112"/>
    <x v="201"/>
    <n v="327"/>
  </r>
  <r>
    <s v="stage_reached_300 (App)"/>
    <x v="5"/>
    <x v="13"/>
    <d v="2025-07-18T00:00:00"/>
    <x v="112"/>
    <x v="202"/>
    <n v="253"/>
  </r>
  <r>
    <s v="stage_reached_300 (App)"/>
    <x v="0"/>
    <x v="13"/>
    <d v="2025-07-18T00:00:00"/>
    <x v="127"/>
    <x v="203"/>
    <n v="259"/>
  </r>
  <r>
    <s v="stage_reached_300 (App)"/>
    <x v="13"/>
    <x v="13"/>
    <d v="2025-07-19T00:00:00"/>
    <x v="128"/>
    <x v="204"/>
    <n v="324"/>
  </r>
  <r>
    <s v="stage_reached_300 (App)"/>
    <x v="13"/>
    <x v="13"/>
    <d v="2025-08-02T00:00:00"/>
    <x v="129"/>
    <x v="205"/>
    <n v="1596"/>
  </r>
  <r>
    <s v="stage_reached_300 (App)"/>
    <x v="9"/>
    <x v="13"/>
    <d v="2025-07-23T00:00:00"/>
    <x v="87"/>
    <x v="206"/>
    <n v="604"/>
  </r>
  <r>
    <s v="stage_reached_300 (App)"/>
    <x v="9"/>
    <x v="13"/>
    <d v="2025-07-20T00:00:00"/>
    <x v="130"/>
    <x v="207"/>
    <n v="317"/>
  </r>
  <r>
    <s v="stage_reached_300 (App)"/>
    <x v="9"/>
    <x v="13"/>
    <d v="2025-07-31T00:00:00"/>
    <x v="131"/>
    <x v="208"/>
    <n v="1276"/>
  </r>
  <r>
    <s v="stage_reached_300 (App)"/>
    <x v="9"/>
    <x v="13"/>
    <d v="2025-07-23T00:00:00"/>
    <x v="131"/>
    <x v="209"/>
    <n v="621"/>
  </r>
  <r>
    <s v="stage_reached_300 (App)"/>
    <x v="9"/>
    <x v="13"/>
    <d v="2025-07-22T00:00:00"/>
    <x v="131"/>
    <x v="210"/>
    <n v="536"/>
  </r>
  <r>
    <s v="stage_reached_300 (App)"/>
    <x v="9"/>
    <x v="13"/>
    <d v="2025-07-20T00:00:00"/>
    <x v="131"/>
    <x v="211"/>
    <n v="318"/>
  </r>
  <r>
    <s v="stage_reached_300 (App)"/>
    <x v="7"/>
    <x v="13"/>
    <d v="2025-07-18T00:00:00"/>
    <x v="116"/>
    <x v="212"/>
    <n v="260"/>
  </r>
  <r>
    <s v="stage_reached_300 (App)"/>
    <x v="11"/>
    <x v="13"/>
    <d v="2025-08-01T00:00:00"/>
    <x v="74"/>
    <x v="213"/>
    <n v="1436"/>
  </r>
  <r>
    <s v="stage_reached_300 (App)"/>
    <x v="4"/>
    <x v="13"/>
    <d v="2025-07-23T00:00:00"/>
    <x v="100"/>
    <x v="214"/>
    <n v="602"/>
  </r>
  <r>
    <s v="stage_reached_300 (App)"/>
    <x v="11"/>
    <x v="13"/>
    <d v="2025-07-19T00:00:00"/>
    <x v="132"/>
    <x v="215"/>
    <n v="280"/>
  </r>
  <r>
    <s v="stage_reached_300 (App)"/>
    <x v="14"/>
    <x v="13"/>
    <d v="2025-07-18T00:00:00"/>
    <x v="132"/>
    <x v="216"/>
    <n v="256"/>
  </r>
  <r>
    <s v="stage_reached_300 (App)"/>
    <x v="7"/>
    <x v="13"/>
    <d v="2025-07-18T00:00:00"/>
    <x v="133"/>
    <x v="217"/>
    <n v="247"/>
  </r>
  <r>
    <s v="stage_reached_300 (App)"/>
    <x v="9"/>
    <x v="13"/>
    <d v="2025-07-26T00:00:00"/>
    <x v="134"/>
    <x v="218"/>
    <n v="846"/>
  </r>
  <r>
    <s v="stage_reached_300 (App)"/>
    <x v="0"/>
    <x v="13"/>
    <d v="2025-07-20T00:00:00"/>
    <x v="134"/>
    <x v="219"/>
    <n v="319"/>
  </r>
  <r>
    <s v="stage_reached_300 (App)"/>
    <x v="9"/>
    <x v="13"/>
    <d v="2025-07-23T00:00:00"/>
    <x v="135"/>
    <x v="220"/>
    <n v="603"/>
  </r>
  <r>
    <s v="stage_reached_300 (App)"/>
    <x v="0"/>
    <x v="13"/>
    <d v="2025-07-26T00:00:00"/>
    <x v="136"/>
    <x v="221"/>
    <n v="727"/>
  </r>
  <r>
    <s v="stage_reached_300 (App)"/>
    <x v="9"/>
    <x v="13"/>
    <d v="2025-07-23T00:00:00"/>
    <x v="136"/>
    <x v="222"/>
    <n v="558"/>
  </r>
  <r>
    <s v="stage_reached_300 (App)"/>
    <x v="9"/>
    <x v="13"/>
    <d v="2025-07-20T00:00:00"/>
    <x v="136"/>
    <x v="223"/>
    <n v="349"/>
  </r>
  <r>
    <s v="stage_reached_300 (App)"/>
    <x v="11"/>
    <x v="13"/>
    <d v="2025-07-19T00:00:00"/>
    <x v="136"/>
    <x v="224"/>
    <n v="321"/>
  </r>
  <r>
    <s v="stage_reached_300 (App)"/>
    <x v="0"/>
    <x v="13"/>
    <d v="2025-07-26T00:00:00"/>
    <x v="137"/>
    <x v="225"/>
    <n v="728"/>
  </r>
  <r>
    <s v="stage_reached_300 (App)"/>
    <x v="9"/>
    <x v="13"/>
    <d v="2025-07-19T00:00:00"/>
    <x v="137"/>
    <x v="226"/>
    <n v="300"/>
  </r>
  <r>
    <s v="stage_reached_300 (App)"/>
    <x v="11"/>
    <x v="13"/>
    <d v="2025-07-20T00:00:00"/>
    <x v="138"/>
    <x v="227"/>
    <n v="329"/>
  </r>
  <r>
    <s v="stage_reached_300 (App)"/>
    <x v="0"/>
    <x v="13"/>
    <d v="2025-07-28T00:00:00"/>
    <x v="139"/>
    <x v="228"/>
    <n v="932"/>
  </r>
  <r>
    <s v="stage_reached_300 (App)"/>
    <x v="1"/>
    <x v="13"/>
    <d v="2025-07-19T00:00:00"/>
    <x v="104"/>
    <x v="229"/>
    <n v="283"/>
  </r>
  <r>
    <s v="stage_reached_300 (App)"/>
    <x v="14"/>
    <x v="13"/>
    <d v="2025-07-21T00:00:00"/>
    <x v="140"/>
    <x v="230"/>
    <n v="1010"/>
  </r>
  <r>
    <s v="stage_reached_300 (App)"/>
    <x v="14"/>
    <x v="13"/>
    <d v="2025-07-24T00:00:00"/>
    <x v="141"/>
    <x v="231"/>
    <n v="674"/>
  </r>
  <r>
    <s v="stage_reached_300 (App)"/>
    <x v="7"/>
    <x v="13"/>
    <d v="2025-07-29T00:00:00"/>
    <x v="142"/>
    <x v="232"/>
    <n v="1017"/>
  </r>
  <r>
    <s v="stage_reached_300 (App)"/>
    <x v="0"/>
    <x v="13"/>
    <d v="2025-08-02T00:00:00"/>
    <x v="106"/>
    <x v="233"/>
    <n v="1395"/>
  </r>
  <r>
    <s v="stage_reached_300 (App)"/>
    <x v="11"/>
    <x v="13"/>
    <d v="2025-07-23T00:00:00"/>
    <x v="106"/>
    <x v="234"/>
    <n v="728"/>
  </r>
  <r>
    <s v="stage_reached_300 (App)"/>
    <x v="4"/>
    <x v="13"/>
    <d v="2025-07-21T00:00:00"/>
    <x v="143"/>
    <x v="235"/>
    <n v="473"/>
  </r>
  <r>
    <s v="stage_reached_300 (App)"/>
    <x v="7"/>
    <x v="13"/>
    <d v="2025-07-19T00:00:00"/>
    <x v="144"/>
    <x v="236"/>
    <n v="300"/>
  </r>
  <r>
    <s v="stage_reached_300 (App)"/>
    <x v="0"/>
    <x v="13"/>
    <d v="2025-08-03T00:00:00"/>
    <x v="47"/>
    <x v="237"/>
    <n v="1595"/>
  </r>
  <r>
    <s v="stage_reached_300 (App)"/>
    <x v="0"/>
    <x v="13"/>
    <d v="2025-08-02T00:00:00"/>
    <x v="47"/>
    <x v="238"/>
    <n v="1450"/>
  </r>
  <r>
    <s v="stage_reached_300 (App)"/>
    <x v="14"/>
    <x v="13"/>
    <d v="2025-08-01T00:00:00"/>
    <x v="47"/>
    <x v="239"/>
    <n v="1316"/>
  </r>
  <r>
    <s v="stage_reached_300 (App)"/>
    <x v="11"/>
    <x v="13"/>
    <d v="2025-07-30T00:00:00"/>
    <x v="47"/>
    <x v="240"/>
    <n v="1252"/>
  </r>
  <r>
    <s v="stage_reached_300 (App)"/>
    <x v="7"/>
    <x v="13"/>
    <d v="2025-07-31T00:00:00"/>
    <x v="47"/>
    <x v="241"/>
    <n v="1209"/>
  </r>
  <r>
    <s v="stage_reached_300 (App)"/>
    <x v="11"/>
    <x v="13"/>
    <d v="2025-07-26T00:00:00"/>
    <x v="47"/>
    <x v="242"/>
    <n v="892"/>
  </r>
  <r>
    <s v="stage_reached_300 (App)"/>
    <x v="11"/>
    <x v="13"/>
    <d v="2025-07-26T00:00:00"/>
    <x v="47"/>
    <x v="243"/>
    <n v="742"/>
  </r>
  <r>
    <s v="stage_reached_300 (App)"/>
    <x v="3"/>
    <x v="13"/>
    <d v="2025-07-25T00:00:00"/>
    <x v="47"/>
    <x v="244"/>
    <n v="767"/>
  </r>
  <r>
    <s v="stage_reached_300 (App)"/>
    <x v="15"/>
    <x v="13"/>
    <d v="2025-07-25T00:00:00"/>
    <x v="47"/>
    <x v="245"/>
    <n v="688"/>
  </r>
  <r>
    <s v="stage_reached_300 (App)"/>
    <x v="0"/>
    <x v="13"/>
    <d v="2025-07-21T00:00:00"/>
    <x v="47"/>
    <x v="246"/>
    <n v="385"/>
  </r>
  <r>
    <s v="stage_reached_300 (App)"/>
    <x v="0"/>
    <x v="13"/>
    <d v="2025-07-19T00:00:00"/>
    <x v="47"/>
    <x v="247"/>
    <n v="344"/>
  </r>
  <r>
    <s v="stage_reached_300 (App)"/>
    <x v="9"/>
    <x v="13"/>
    <d v="2025-07-18T00:00:00"/>
    <x v="47"/>
    <x v="248"/>
    <n v="300"/>
  </r>
  <r>
    <s v="stage_reached_300 (App)"/>
    <x v="0"/>
    <x v="13"/>
    <d v="2025-07-18T00:00:00"/>
    <x v="47"/>
    <x v="249"/>
    <n v="307"/>
  </r>
  <r>
    <s v="stage_reached_300 (App)"/>
    <x v="9"/>
    <x v="13"/>
    <d v="2025-07-18T00:00:00"/>
    <x v="47"/>
    <x v="250"/>
    <n v="271"/>
  </r>
  <r>
    <s v="stage_reached_300 (App)"/>
    <x v="11"/>
    <x v="13"/>
    <d v="2025-07-18T00:00:00"/>
    <x v="47"/>
    <x v="251"/>
    <n v="241"/>
  </r>
  <r>
    <s v="stage_reached_300 (App)"/>
    <x v="3"/>
    <x v="13"/>
    <d v="2025-07-19T00:00:00"/>
    <x v="120"/>
    <x v="252"/>
    <n v="307"/>
  </r>
  <r>
    <s v="stage_reached_300 (App)"/>
    <x v="1"/>
    <x v="14"/>
    <d v="2025-07-26T00:00:00"/>
    <x v="75"/>
    <x v="253"/>
    <n v="1008"/>
  </r>
  <r>
    <s v="stage_reached_300 (App)"/>
    <x v="3"/>
    <x v="14"/>
    <d v="2025-08-01T00:00:00"/>
    <x v="18"/>
    <x v="254"/>
    <n v="1391"/>
  </r>
  <r>
    <s v="stage_reached_300 (App)"/>
    <x v="9"/>
    <x v="14"/>
    <d v="2025-07-21T00:00:00"/>
    <x v="145"/>
    <x v="255"/>
    <n v="434"/>
  </r>
  <r>
    <s v="stage_reached_300 (App)"/>
    <x v="0"/>
    <x v="14"/>
    <d v="2025-07-17T00:00:00"/>
    <x v="146"/>
    <x v="256"/>
    <n v="583"/>
  </r>
  <r>
    <s v="stage_reached_300 (App)"/>
    <x v="0"/>
    <x v="14"/>
    <d v="2025-07-18T00:00:00"/>
    <x v="147"/>
    <x v="257"/>
    <n v="1719"/>
  </r>
  <r>
    <s v="stage_reached_300 (App)"/>
    <x v="9"/>
    <x v="14"/>
    <d v="2025-07-18T00:00:00"/>
    <x v="147"/>
    <x v="258"/>
    <n v="261"/>
  </r>
  <r>
    <s v="stage_reached_300 (App)"/>
    <x v="4"/>
    <x v="14"/>
    <d v="2025-07-16T00:00:00"/>
    <x v="44"/>
    <x v="259"/>
    <n v="228"/>
  </r>
  <r>
    <s v="stage_reached_300 (App)"/>
    <x v="19"/>
    <x v="14"/>
    <d v="2025-07-27T00:00:00"/>
    <x v="110"/>
    <x v="260"/>
    <n v="1047"/>
  </r>
  <r>
    <s v="stage_reached_300 (App)"/>
    <x v="18"/>
    <x v="14"/>
    <d v="2025-07-21T00:00:00"/>
    <x v="110"/>
    <x v="261"/>
    <n v="455"/>
  </r>
  <r>
    <s v="stage_reached_300 (App)"/>
    <x v="7"/>
    <x v="14"/>
    <d v="2025-07-17T00:00:00"/>
    <x v="148"/>
    <x v="262"/>
    <n v="235"/>
  </r>
  <r>
    <s v="stage_reached_300 (App)"/>
    <x v="15"/>
    <x v="14"/>
    <d v="2025-07-19T00:00:00"/>
    <x v="149"/>
    <x v="263"/>
    <n v="431"/>
  </r>
  <r>
    <s v="stage_reached_300 (App)"/>
    <x v="4"/>
    <x v="14"/>
    <d v="2025-07-24T00:00:00"/>
    <x v="57"/>
    <x v="264"/>
    <n v="721"/>
  </r>
  <r>
    <s v="stage_reached_300 (App)"/>
    <x v="4"/>
    <x v="14"/>
    <d v="2025-07-17T00:00:00"/>
    <x v="95"/>
    <x v="265"/>
    <n v="254"/>
  </r>
  <r>
    <s v="stage_reached_300 (App)"/>
    <x v="0"/>
    <x v="14"/>
    <d v="2025-07-24T00:00:00"/>
    <x v="125"/>
    <x v="266"/>
    <n v="671"/>
  </r>
  <r>
    <s v="stage_reached_300 (App)"/>
    <x v="4"/>
    <x v="14"/>
    <d v="2025-08-02T00:00:00"/>
    <x v="46"/>
    <x v="267"/>
    <n v="1442"/>
  </r>
  <r>
    <s v="stage_reached_300 (App)"/>
    <x v="0"/>
    <x v="14"/>
    <d v="2025-07-22T00:00:00"/>
    <x v="73"/>
    <x v="268"/>
    <n v="725"/>
  </r>
  <r>
    <s v="stage_reached_300 (App)"/>
    <x v="9"/>
    <x v="14"/>
    <d v="2025-07-19T00:00:00"/>
    <x v="150"/>
    <x v="269"/>
    <n v="391"/>
  </r>
  <r>
    <s v="stage_reached_300 (App)"/>
    <x v="9"/>
    <x v="14"/>
    <d v="2025-08-03T00:00:00"/>
    <x v="112"/>
    <x v="270"/>
    <n v="1540"/>
  </r>
  <r>
    <s v="stage_reached_300 (App)"/>
    <x v="9"/>
    <x v="14"/>
    <d v="2025-07-18T00:00:00"/>
    <x v="112"/>
    <x v="271"/>
    <n v="280"/>
  </r>
  <r>
    <s v="stage_reached_300 (App)"/>
    <x v="17"/>
    <x v="14"/>
    <d v="2025-07-25T00:00:00"/>
    <x v="151"/>
    <x v="272"/>
    <n v="890"/>
  </r>
  <r>
    <s v="stage_reached_300 (App)"/>
    <x v="0"/>
    <x v="14"/>
    <d v="2025-07-26T00:00:00"/>
    <x v="152"/>
    <x v="273"/>
    <n v="831"/>
  </r>
  <r>
    <s v="stage_reached_300 (App)"/>
    <x v="9"/>
    <x v="14"/>
    <d v="2025-07-17T00:00:00"/>
    <x v="153"/>
    <x v="274"/>
    <n v="268"/>
  </r>
  <r>
    <s v="stage_reached_300 (App)"/>
    <x v="7"/>
    <x v="14"/>
    <d v="2025-07-18T00:00:00"/>
    <x v="154"/>
    <x v="275"/>
    <n v="386"/>
  </r>
  <r>
    <s v="stage_reached_300 (App)"/>
    <x v="3"/>
    <x v="14"/>
    <d v="2025-07-17T00:00:00"/>
    <x v="130"/>
    <x v="276"/>
    <n v="247"/>
  </r>
  <r>
    <s v="stage_reached_300 (App)"/>
    <x v="3"/>
    <x v="14"/>
    <d v="2025-07-19T00:00:00"/>
    <x v="98"/>
    <x v="277"/>
    <n v="375"/>
  </r>
  <r>
    <s v="stage_reached_300 (App)"/>
    <x v="9"/>
    <x v="14"/>
    <d v="2025-07-29T00:00:00"/>
    <x v="131"/>
    <x v="278"/>
    <n v="1208"/>
  </r>
  <r>
    <s v="stage_reached_300 (App)"/>
    <x v="9"/>
    <x v="14"/>
    <d v="2025-07-20T00:00:00"/>
    <x v="131"/>
    <x v="279"/>
    <n v="432"/>
  </r>
  <r>
    <s v="stage_reached_300 (App)"/>
    <x v="0"/>
    <x v="14"/>
    <d v="2025-07-21T00:00:00"/>
    <x v="155"/>
    <x v="280"/>
    <n v="512"/>
  </r>
  <r>
    <s v="stage_reached_300 (App)"/>
    <x v="9"/>
    <x v="14"/>
    <d v="2025-07-19T00:00:00"/>
    <x v="155"/>
    <x v="281"/>
    <n v="312"/>
  </r>
  <r>
    <s v="stage_reached_300 (App)"/>
    <x v="19"/>
    <x v="14"/>
    <d v="2025-08-01T00:00:00"/>
    <x v="156"/>
    <x v="282"/>
    <n v="1473"/>
  </r>
  <r>
    <s v="stage_reached_300 (App)"/>
    <x v="9"/>
    <x v="14"/>
    <d v="2025-07-20T00:00:00"/>
    <x v="116"/>
    <x v="283"/>
    <n v="378"/>
  </r>
  <r>
    <s v="stage_reached_300 (App)"/>
    <x v="9"/>
    <x v="14"/>
    <d v="2025-07-17T00:00:00"/>
    <x v="99"/>
    <x v="284"/>
    <n v="258"/>
  </r>
  <r>
    <s v="stage_reached_300 (App)"/>
    <x v="9"/>
    <x v="14"/>
    <d v="2025-07-16T00:00:00"/>
    <x v="157"/>
    <x v="285"/>
    <n v="260"/>
  </r>
  <r>
    <s v="stage_reached_300 (App)"/>
    <x v="21"/>
    <x v="14"/>
    <d v="2025-07-31T00:00:00"/>
    <x v="74"/>
    <x v="286"/>
    <n v="1370"/>
  </r>
  <r>
    <s v="stage_reached_300 (App)"/>
    <x v="11"/>
    <x v="14"/>
    <d v="2025-07-19T00:00:00"/>
    <x v="100"/>
    <x v="287"/>
    <n v="347"/>
  </r>
  <r>
    <s v="stage_reached_300 (App)"/>
    <x v="0"/>
    <x v="14"/>
    <d v="2025-07-19T00:00:00"/>
    <x v="132"/>
    <x v="288"/>
    <n v="326"/>
  </r>
  <r>
    <s v="stage_reached_300 (App)"/>
    <x v="9"/>
    <x v="14"/>
    <d v="2025-07-20T00:00:00"/>
    <x v="135"/>
    <x v="289"/>
    <n v="489"/>
  </r>
  <r>
    <s v="stage_reached_300 (App)"/>
    <x v="9"/>
    <x v="14"/>
    <d v="2025-08-02T00:00:00"/>
    <x v="136"/>
    <x v="290"/>
    <n v="1433"/>
  </r>
  <r>
    <s v="stage_reached_300 (App)"/>
    <x v="4"/>
    <x v="14"/>
    <d v="2025-07-30T00:00:00"/>
    <x v="136"/>
    <x v="291"/>
    <n v="1308"/>
  </r>
  <r>
    <s v="stage_reached_300 (App)"/>
    <x v="7"/>
    <x v="14"/>
    <d v="2025-07-30T00:00:00"/>
    <x v="136"/>
    <x v="292"/>
    <n v="1215"/>
  </r>
  <r>
    <s v="stage_reached_300 (App)"/>
    <x v="7"/>
    <x v="14"/>
    <d v="2025-07-29T00:00:00"/>
    <x v="136"/>
    <x v="293"/>
    <n v="1142"/>
  </r>
  <r>
    <s v="stage_reached_300 (App)"/>
    <x v="2"/>
    <x v="14"/>
    <d v="2025-07-24T00:00:00"/>
    <x v="136"/>
    <x v="294"/>
    <n v="685"/>
  </r>
  <r>
    <s v="stage_reached_300 (App)"/>
    <x v="9"/>
    <x v="14"/>
    <d v="2025-07-19T00:00:00"/>
    <x v="136"/>
    <x v="295"/>
    <n v="420"/>
  </r>
  <r>
    <s v="stage_reached_300 (App)"/>
    <x v="9"/>
    <x v="14"/>
    <d v="2025-07-26T00:00:00"/>
    <x v="158"/>
    <x v="296"/>
    <n v="854"/>
  </r>
  <r>
    <s v="stage_reached_300 (App)"/>
    <x v="9"/>
    <x v="14"/>
    <d v="2025-08-02T00:00:00"/>
    <x v="137"/>
    <x v="297"/>
    <n v="1519"/>
  </r>
  <r>
    <s v="stage_reached_300 (App)"/>
    <x v="13"/>
    <x v="14"/>
    <d v="2025-07-25T00:00:00"/>
    <x v="137"/>
    <x v="298"/>
    <n v="773"/>
  </r>
  <r>
    <s v="stage_reached_300 (App)"/>
    <x v="7"/>
    <x v="14"/>
    <d v="2025-07-17T00:00:00"/>
    <x v="137"/>
    <x v="299"/>
    <n v="741"/>
  </r>
  <r>
    <s v="stage_reached_300 (App)"/>
    <x v="9"/>
    <x v="14"/>
    <d v="2025-08-02T00:00:00"/>
    <x v="104"/>
    <x v="300"/>
    <n v="1470"/>
  </r>
  <r>
    <s v="stage_reached_300 (App)"/>
    <x v="3"/>
    <x v="14"/>
    <d v="2025-07-21T00:00:00"/>
    <x v="104"/>
    <x v="301"/>
    <n v="505"/>
  </r>
  <r>
    <s v="stage_reached_300 (App)"/>
    <x v="0"/>
    <x v="14"/>
    <d v="2025-07-21T00:00:00"/>
    <x v="104"/>
    <x v="302"/>
    <n v="472"/>
  </r>
  <r>
    <s v="stage_reached_300 (App)"/>
    <x v="7"/>
    <x v="14"/>
    <d v="2025-07-18T00:00:00"/>
    <x v="140"/>
    <x v="303"/>
    <n v="348"/>
  </r>
  <r>
    <s v="stage_reached_300 (App)"/>
    <x v="9"/>
    <x v="14"/>
    <d v="2025-08-02T00:00:00"/>
    <x v="105"/>
    <x v="304"/>
    <n v="1445"/>
  </r>
  <r>
    <s v="stage_reached_300 (App)"/>
    <x v="9"/>
    <x v="14"/>
    <d v="2025-07-29T00:00:00"/>
    <x v="105"/>
    <x v="305"/>
    <n v="1175"/>
  </r>
  <r>
    <s v="stage_reached_300 (App)"/>
    <x v="9"/>
    <x v="14"/>
    <d v="2025-07-26T00:00:00"/>
    <x v="105"/>
    <x v="306"/>
    <n v="818"/>
  </r>
  <r>
    <s v="stage_reached_300 (App)"/>
    <x v="11"/>
    <x v="14"/>
    <d v="2025-07-18T00:00:00"/>
    <x v="105"/>
    <x v="307"/>
    <n v="588"/>
  </r>
  <r>
    <s v="stage_reached_300 (App)"/>
    <x v="9"/>
    <x v="14"/>
    <d v="2025-07-24T00:00:00"/>
    <x v="159"/>
    <x v="308"/>
    <n v="662"/>
  </r>
  <r>
    <s v="stage_reached_300 (App)"/>
    <x v="9"/>
    <x v="14"/>
    <d v="2025-07-29T00:00:00"/>
    <x v="141"/>
    <x v="309"/>
    <n v="1161"/>
  </r>
  <r>
    <s v="stage_reached_300 (App)"/>
    <x v="1"/>
    <x v="14"/>
    <d v="2025-07-19T00:00:00"/>
    <x v="141"/>
    <x v="310"/>
    <n v="519"/>
  </r>
  <r>
    <s v="stage_reached_300 (App)"/>
    <x v="9"/>
    <x v="14"/>
    <d v="2025-07-17T00:00:00"/>
    <x v="106"/>
    <x v="311"/>
    <n v="316"/>
  </r>
  <r>
    <s v="stage_reached_300 (App)"/>
    <x v="9"/>
    <x v="14"/>
    <d v="2025-07-26T00:00:00"/>
    <x v="160"/>
    <x v="312"/>
    <n v="996"/>
  </r>
  <r>
    <s v="stage_reached_300 (App)"/>
    <x v="4"/>
    <x v="14"/>
    <d v="2025-07-19T00:00:00"/>
    <x v="161"/>
    <x v="313"/>
    <n v="423"/>
  </r>
  <r>
    <s v="stage_reached_300 (App)"/>
    <x v="9"/>
    <x v="14"/>
    <d v="2025-08-02T00:00:00"/>
    <x v="47"/>
    <x v="314"/>
    <n v="1456"/>
  </r>
  <r>
    <s v="stage_reached_300 (App)"/>
    <x v="10"/>
    <x v="14"/>
    <d v="2025-07-30T00:00:00"/>
    <x v="47"/>
    <x v="315"/>
    <n v="1330"/>
  </r>
  <r>
    <s v="stage_reached_300 (App)"/>
    <x v="9"/>
    <x v="14"/>
    <d v="2025-07-31T00:00:00"/>
    <x v="47"/>
    <x v="316"/>
    <n v="1311"/>
  </r>
  <r>
    <s v="stage_reached_300 (App)"/>
    <x v="11"/>
    <x v="14"/>
    <d v="2025-07-26T00:00:00"/>
    <x v="47"/>
    <x v="317"/>
    <n v="1069"/>
  </r>
  <r>
    <s v="stage_reached_300 (App)"/>
    <x v="9"/>
    <x v="14"/>
    <d v="2025-07-27T00:00:00"/>
    <x v="47"/>
    <x v="318"/>
    <n v="944"/>
  </r>
  <r>
    <s v="stage_reached_300 (App)"/>
    <x v="0"/>
    <x v="14"/>
    <d v="2025-07-23T00:00:00"/>
    <x v="47"/>
    <x v="319"/>
    <n v="668"/>
  </r>
  <r>
    <s v="stage_reached_300 (App)"/>
    <x v="9"/>
    <x v="14"/>
    <d v="2025-07-22T00:00:00"/>
    <x v="47"/>
    <x v="320"/>
    <n v="533"/>
  </r>
  <r>
    <s v="stage_reached_300 (App)"/>
    <x v="1"/>
    <x v="14"/>
    <d v="2025-07-22T00:00:00"/>
    <x v="47"/>
    <x v="321"/>
    <n v="541"/>
  </r>
  <r>
    <s v="stage_reached_300 (App)"/>
    <x v="0"/>
    <x v="14"/>
    <d v="2025-07-22T00:00:00"/>
    <x v="47"/>
    <x v="322"/>
    <n v="530"/>
  </r>
  <r>
    <s v="stage_reached_300 (App)"/>
    <x v="7"/>
    <x v="14"/>
    <d v="2025-07-20T00:00:00"/>
    <x v="47"/>
    <x v="323"/>
    <n v="452"/>
  </r>
  <r>
    <s v="stage_reached_300 (App)"/>
    <x v="0"/>
    <x v="14"/>
    <d v="2025-07-19T00:00:00"/>
    <x v="47"/>
    <x v="324"/>
    <n v="428"/>
  </r>
  <r>
    <s v="stage_reached_300 (App)"/>
    <x v="11"/>
    <x v="14"/>
    <d v="2025-07-19T00:00:00"/>
    <x v="47"/>
    <x v="325"/>
    <n v="365"/>
  </r>
  <r>
    <s v="stage_reached_300 (App)"/>
    <x v="0"/>
    <x v="14"/>
    <d v="2025-07-19T00:00:00"/>
    <x v="47"/>
    <x v="326"/>
    <n v="356"/>
  </r>
  <r>
    <s v="stage_reached_300 (App)"/>
    <x v="18"/>
    <x v="14"/>
    <d v="2025-07-19T00:00:00"/>
    <x v="47"/>
    <x v="327"/>
    <n v="357"/>
  </r>
  <r>
    <s v="stage_reached_300 (App)"/>
    <x v="0"/>
    <x v="14"/>
    <d v="2025-07-18T00:00:00"/>
    <x v="47"/>
    <x v="328"/>
    <n v="328"/>
  </r>
  <r>
    <s v="stage_reached_300 (App)"/>
    <x v="9"/>
    <x v="14"/>
    <d v="2025-07-17T00:00:00"/>
    <x v="47"/>
    <x v="329"/>
    <n v="329"/>
  </r>
  <r>
    <s v="stage_reached_300 (App)"/>
    <x v="11"/>
    <x v="14"/>
    <d v="2025-07-18T00:00:00"/>
    <x v="47"/>
    <x v="330"/>
    <n v="295"/>
  </r>
  <r>
    <s v="stage_reached_300 (App)"/>
    <x v="2"/>
    <x v="14"/>
    <d v="2025-07-18T00:00:00"/>
    <x v="47"/>
    <x v="331"/>
    <n v="272"/>
  </r>
  <r>
    <s v="stage_reached_300 (App)"/>
    <x v="3"/>
    <x v="14"/>
    <d v="2025-07-17T00:00:00"/>
    <x v="47"/>
    <x v="332"/>
    <n v="264"/>
  </r>
  <r>
    <s v="stage_reached_300 (App)"/>
    <x v="0"/>
    <x v="14"/>
    <d v="2025-07-17T00:00:00"/>
    <x v="47"/>
    <x v="333"/>
    <n v="242"/>
  </r>
  <r>
    <s v="stage_reached_300 (App)"/>
    <x v="0"/>
    <x v="14"/>
    <d v="2025-07-17T00:00:00"/>
    <x v="47"/>
    <x v="334"/>
    <n v="220"/>
  </r>
  <r>
    <s v="stage_reached_300 (App)"/>
    <x v="9"/>
    <x v="14"/>
    <d v="2025-07-17T00:00:00"/>
    <x v="47"/>
    <x v="335"/>
    <n v="219"/>
  </r>
  <r>
    <s v="stage_reached_300 (App)"/>
    <x v="7"/>
    <x v="15"/>
    <d v="2025-07-28T00:00:00"/>
    <x v="162"/>
    <x v="336"/>
    <n v="1242"/>
  </r>
  <r>
    <s v="stage_reached_300 (App)"/>
    <x v="0"/>
    <x v="15"/>
    <d v="2025-07-23T00:00:00"/>
    <x v="44"/>
    <x v="337"/>
    <n v="864"/>
  </r>
  <r>
    <s v="stage_reached_300 (App)"/>
    <x v="9"/>
    <x v="15"/>
    <d v="2025-07-22T00:00:00"/>
    <x v="149"/>
    <x v="338"/>
    <n v="641"/>
  </r>
  <r>
    <s v="stage_reached_300 (App)"/>
    <x v="9"/>
    <x v="15"/>
    <d v="2025-07-21T00:00:00"/>
    <x v="123"/>
    <x v="339"/>
    <n v="502"/>
  </r>
  <r>
    <s v="stage_reached_300 (App)"/>
    <x v="7"/>
    <x v="15"/>
    <d v="2025-07-27T00:00:00"/>
    <x v="163"/>
    <x v="340"/>
    <n v="933"/>
  </r>
  <r>
    <s v="stage_reached_300 (App)"/>
    <x v="19"/>
    <x v="15"/>
    <d v="2025-07-16T00:00:00"/>
    <x v="125"/>
    <x v="341"/>
    <n v="271"/>
  </r>
  <r>
    <s v="stage_reached_300 (App)"/>
    <x v="1"/>
    <x v="15"/>
    <d v="2025-07-22T00:00:00"/>
    <x v="96"/>
    <x v="342"/>
    <n v="644"/>
  </r>
  <r>
    <s v="stage_reached_300 (App)"/>
    <x v="11"/>
    <x v="15"/>
    <d v="2025-07-26T00:00:00"/>
    <x v="85"/>
    <x v="343"/>
    <n v="1526"/>
  </r>
  <r>
    <s v="stage_reached_300 (App)"/>
    <x v="9"/>
    <x v="15"/>
    <d v="2025-07-18T00:00:00"/>
    <x v="112"/>
    <x v="344"/>
    <n v="326"/>
  </r>
  <r>
    <s v="stage_reached_300 (App)"/>
    <x v="19"/>
    <x v="15"/>
    <d v="2025-07-24T00:00:00"/>
    <x v="164"/>
    <x v="345"/>
    <n v="744"/>
  </r>
  <r>
    <s v="stage_reached_300 (App)"/>
    <x v="9"/>
    <x v="15"/>
    <d v="2025-07-23T00:00:00"/>
    <x v="87"/>
    <x v="346"/>
    <n v="829"/>
  </r>
  <r>
    <s v="stage_reached_300 (App)"/>
    <x v="0"/>
    <x v="15"/>
    <d v="2025-07-24T00:00:00"/>
    <x v="87"/>
    <x v="347"/>
    <n v="770"/>
  </r>
  <r>
    <s v="stage_reached_300 (App)"/>
    <x v="7"/>
    <x v="15"/>
    <d v="2025-07-18T00:00:00"/>
    <x v="152"/>
    <x v="348"/>
    <n v="383"/>
  </r>
  <r>
    <s v="stage_reached_300 (App)"/>
    <x v="19"/>
    <x v="15"/>
    <d v="2025-07-20T00:00:00"/>
    <x v="165"/>
    <x v="349"/>
    <n v="516"/>
  </r>
  <r>
    <s v="stage_reached_300 (App)"/>
    <x v="9"/>
    <x v="15"/>
    <d v="2025-08-02T00:00:00"/>
    <x v="153"/>
    <x v="350"/>
    <n v="1731"/>
  </r>
  <r>
    <s v="stage_reached_300 (App)"/>
    <x v="9"/>
    <x v="15"/>
    <d v="2025-07-31T00:00:00"/>
    <x v="113"/>
    <x v="351"/>
    <n v="1648"/>
  </r>
  <r>
    <s v="stage_reached_300 (App)"/>
    <x v="12"/>
    <x v="15"/>
    <d v="2025-07-29T00:00:00"/>
    <x v="130"/>
    <x v="352"/>
    <n v="1339"/>
  </r>
  <r>
    <s v="stage_reached_300 (App)"/>
    <x v="9"/>
    <x v="15"/>
    <d v="2025-08-01T00:00:00"/>
    <x v="114"/>
    <x v="353"/>
    <n v="1433"/>
  </r>
  <r>
    <s v="stage_reached_300 (App)"/>
    <x v="9"/>
    <x v="15"/>
    <d v="2025-07-19T00:00:00"/>
    <x v="115"/>
    <x v="354"/>
    <n v="467"/>
  </r>
  <r>
    <s v="stage_reached_300 (App)"/>
    <x v="9"/>
    <x v="15"/>
    <d v="2025-07-26T00:00:00"/>
    <x v="131"/>
    <x v="355"/>
    <n v="926"/>
  </r>
  <r>
    <s v="stage_reached_300 (App)"/>
    <x v="9"/>
    <x v="15"/>
    <d v="2025-07-23T00:00:00"/>
    <x v="131"/>
    <x v="356"/>
    <n v="767"/>
  </r>
  <r>
    <s v="stage_reached_300 (App)"/>
    <x v="4"/>
    <x v="15"/>
    <d v="2025-07-19T00:00:00"/>
    <x v="131"/>
    <x v="357"/>
    <n v="429"/>
  </r>
  <r>
    <s v="stage_reached_300 (App)"/>
    <x v="7"/>
    <x v="15"/>
    <d v="2025-07-19T00:00:00"/>
    <x v="131"/>
    <x v="358"/>
    <n v="385"/>
  </r>
  <r>
    <s v="stage_reached_300 (App)"/>
    <x v="0"/>
    <x v="15"/>
    <d v="2025-07-20T00:00:00"/>
    <x v="156"/>
    <x v="359"/>
    <n v="673"/>
  </r>
  <r>
    <s v="stage_reached_300 (App)"/>
    <x v="15"/>
    <x v="15"/>
    <d v="2025-07-25T00:00:00"/>
    <x v="166"/>
    <x v="360"/>
    <n v="897"/>
  </r>
  <r>
    <s v="stage_reached_300 (App)"/>
    <x v="9"/>
    <x v="15"/>
    <d v="2025-07-27T00:00:00"/>
    <x v="132"/>
    <x v="361"/>
    <n v="1061"/>
  </r>
  <r>
    <s v="stage_reached_300 (App)"/>
    <x v="9"/>
    <x v="15"/>
    <d v="2025-07-26T00:00:00"/>
    <x v="136"/>
    <x v="362"/>
    <n v="1178"/>
  </r>
  <r>
    <s v="stage_reached_300 (App)"/>
    <x v="9"/>
    <x v="15"/>
    <d v="2025-07-22T00:00:00"/>
    <x v="136"/>
    <x v="363"/>
    <n v="712"/>
  </r>
  <r>
    <s v="stage_reached_300 (App)"/>
    <x v="9"/>
    <x v="15"/>
    <d v="2025-07-22T00:00:00"/>
    <x v="136"/>
    <x v="364"/>
    <n v="555"/>
  </r>
  <r>
    <s v="stage_reached_300 (App)"/>
    <x v="9"/>
    <x v="15"/>
    <d v="2025-07-16T00:00:00"/>
    <x v="136"/>
    <x v="365"/>
    <n v="388"/>
  </r>
  <r>
    <s v="stage_reached_300 (App)"/>
    <x v="0"/>
    <x v="15"/>
    <d v="2025-07-17T00:00:00"/>
    <x v="136"/>
    <x v="366"/>
    <n v="281"/>
  </r>
  <r>
    <s v="stage_reached_300 (App)"/>
    <x v="9"/>
    <x v="15"/>
    <d v="2025-07-18T00:00:00"/>
    <x v="167"/>
    <x v="367"/>
    <n v="362"/>
  </r>
  <r>
    <s v="stage_reached_300 (App)"/>
    <x v="7"/>
    <x v="15"/>
    <d v="2025-07-25T00:00:00"/>
    <x v="168"/>
    <x v="368"/>
    <n v="825"/>
  </r>
  <r>
    <s v="stage_reached_300 (App)"/>
    <x v="4"/>
    <x v="15"/>
    <d v="2025-07-23T00:00:00"/>
    <x v="102"/>
    <x v="369"/>
    <n v="711"/>
  </r>
  <r>
    <s v="stage_reached_300 (App)"/>
    <x v="9"/>
    <x v="15"/>
    <d v="2025-07-28T00:00:00"/>
    <x v="137"/>
    <x v="370"/>
    <n v="1241"/>
  </r>
  <r>
    <s v="stage_reached_300 (App)"/>
    <x v="19"/>
    <x v="15"/>
    <d v="2025-07-20T00:00:00"/>
    <x v="137"/>
    <x v="371"/>
    <n v="452"/>
  </r>
  <r>
    <s v="stage_reached_300 (App)"/>
    <x v="4"/>
    <x v="15"/>
    <d v="2025-08-01T00:00:00"/>
    <x v="104"/>
    <x v="372"/>
    <n v="1464"/>
  </r>
  <r>
    <s v="stage_reached_300 (App)"/>
    <x v="3"/>
    <x v="15"/>
    <d v="2025-07-27T00:00:00"/>
    <x v="104"/>
    <x v="373"/>
    <n v="1142"/>
  </r>
  <r>
    <s v="stage_reached_300 (App)"/>
    <x v="9"/>
    <x v="15"/>
    <d v="2025-07-23T00:00:00"/>
    <x v="104"/>
    <x v="374"/>
    <n v="650"/>
  </r>
  <r>
    <s v="stage_reached_300 (App)"/>
    <x v="9"/>
    <x v="15"/>
    <d v="2025-07-16T00:00:00"/>
    <x v="104"/>
    <x v="375"/>
    <n v="249"/>
  </r>
  <r>
    <s v="stage_reached_300 (App)"/>
    <x v="9"/>
    <x v="15"/>
    <d v="2025-07-23T00:00:00"/>
    <x v="105"/>
    <x v="376"/>
    <n v="718"/>
  </r>
  <r>
    <s v="stage_reached_300 (App)"/>
    <x v="7"/>
    <x v="15"/>
    <d v="2025-07-19T00:00:00"/>
    <x v="159"/>
    <x v="377"/>
    <n v="498"/>
  </r>
  <r>
    <s v="stage_reached_300 (App)"/>
    <x v="7"/>
    <x v="15"/>
    <d v="2025-07-29T00:00:00"/>
    <x v="169"/>
    <x v="378"/>
    <n v="1309"/>
  </r>
  <r>
    <s v="stage_reached_300 (App)"/>
    <x v="0"/>
    <x v="15"/>
    <d v="2025-07-28T00:00:00"/>
    <x v="169"/>
    <x v="379"/>
    <n v="1161"/>
  </r>
  <r>
    <s v="stage_reached_300 (App)"/>
    <x v="0"/>
    <x v="15"/>
    <d v="2025-07-26T00:00:00"/>
    <x v="107"/>
    <x v="380"/>
    <n v="966"/>
  </r>
  <r>
    <s v="stage_reached_300 (App)"/>
    <x v="4"/>
    <x v="15"/>
    <d v="2025-07-19T00:00:00"/>
    <x v="144"/>
    <x v="381"/>
    <n v="433"/>
  </r>
  <r>
    <s v="stage_reached_300 (App)"/>
    <x v="14"/>
    <x v="15"/>
    <d v="2025-07-30T00:00:00"/>
    <x v="89"/>
    <x v="382"/>
    <n v="1256"/>
  </r>
  <r>
    <s v="stage_reached_300 (App)"/>
    <x v="9"/>
    <x v="15"/>
    <d v="2025-07-25T00:00:00"/>
    <x v="89"/>
    <x v="383"/>
    <n v="976"/>
  </r>
  <r>
    <s v="stage_reached_300 (App)"/>
    <x v="7"/>
    <x v="15"/>
    <d v="2025-07-19T00:00:00"/>
    <x v="89"/>
    <x v="384"/>
    <n v="478"/>
  </r>
  <r>
    <s v="stage_reached_300 (App)"/>
    <x v="0"/>
    <x v="15"/>
    <d v="2025-07-17T00:00:00"/>
    <x v="89"/>
    <x v="385"/>
    <n v="310"/>
  </r>
  <r>
    <s v="stage_reached_300 (App)"/>
    <x v="9"/>
    <x v="15"/>
    <d v="2025-07-31T00:00:00"/>
    <x v="160"/>
    <x v="386"/>
    <n v="1393"/>
  </r>
  <r>
    <s v="stage_reached_300 (App)"/>
    <x v="14"/>
    <x v="15"/>
    <d v="2025-07-30T00:00:00"/>
    <x v="160"/>
    <x v="387"/>
    <n v="1308"/>
  </r>
  <r>
    <s v="stage_reached_300 (App)"/>
    <x v="9"/>
    <x v="15"/>
    <d v="2025-07-18T00:00:00"/>
    <x v="160"/>
    <x v="388"/>
    <n v="412"/>
  </r>
  <r>
    <s v="stage_reached_300 (App)"/>
    <x v="0"/>
    <x v="15"/>
    <d v="2025-07-17T00:00:00"/>
    <x v="160"/>
    <x v="389"/>
    <n v="346"/>
  </r>
  <r>
    <s v="stage_reached_300 (App)"/>
    <x v="0"/>
    <x v="15"/>
    <d v="2025-07-15T00:00:00"/>
    <x v="160"/>
    <x v="390"/>
    <n v="259"/>
  </r>
  <r>
    <s v="stage_reached_300 (App)"/>
    <x v="9"/>
    <x v="15"/>
    <d v="2025-08-02T00:00:00"/>
    <x v="47"/>
    <x v="391"/>
    <n v="1501"/>
  </r>
  <r>
    <s v="stage_reached_300 (App)"/>
    <x v="4"/>
    <x v="15"/>
    <d v="2025-08-01T00:00:00"/>
    <x v="47"/>
    <x v="392"/>
    <n v="1524"/>
  </r>
  <r>
    <s v="stage_reached_300 (App)"/>
    <x v="3"/>
    <x v="15"/>
    <d v="2025-08-01T00:00:00"/>
    <x v="47"/>
    <x v="393"/>
    <n v="1498"/>
  </r>
  <r>
    <s v="stage_reached_300 (App)"/>
    <x v="4"/>
    <x v="15"/>
    <d v="2025-07-29T00:00:00"/>
    <x v="47"/>
    <x v="394"/>
    <n v="1262"/>
  </r>
  <r>
    <s v="stage_reached_300 (App)"/>
    <x v="9"/>
    <x v="15"/>
    <d v="2025-07-29T00:00:00"/>
    <x v="47"/>
    <x v="395"/>
    <n v="1203"/>
  </r>
  <r>
    <s v="stage_reached_300 (App)"/>
    <x v="1"/>
    <x v="15"/>
    <d v="2025-07-27T00:00:00"/>
    <x v="47"/>
    <x v="396"/>
    <n v="1133"/>
  </r>
  <r>
    <s v="stage_reached_300 (App)"/>
    <x v="9"/>
    <x v="15"/>
    <d v="2025-07-27T00:00:00"/>
    <x v="47"/>
    <x v="397"/>
    <n v="1062"/>
  </r>
  <r>
    <s v="stage_reached_300 (App)"/>
    <x v="12"/>
    <x v="15"/>
    <d v="2025-07-26T00:00:00"/>
    <x v="47"/>
    <x v="398"/>
    <n v="1072"/>
  </r>
  <r>
    <s v="stage_reached_300 (App)"/>
    <x v="19"/>
    <x v="15"/>
    <d v="2025-07-25T00:00:00"/>
    <x v="47"/>
    <x v="399"/>
    <n v="856"/>
  </r>
  <r>
    <s v="stage_reached_300 (App)"/>
    <x v="7"/>
    <x v="15"/>
    <d v="2025-07-25T00:00:00"/>
    <x v="47"/>
    <x v="400"/>
    <n v="836"/>
  </r>
  <r>
    <s v="stage_reached_300 (App)"/>
    <x v="9"/>
    <x v="15"/>
    <d v="2025-07-24T00:00:00"/>
    <x v="47"/>
    <x v="401"/>
    <n v="778"/>
  </r>
  <r>
    <s v="stage_reached_300 (App)"/>
    <x v="9"/>
    <x v="15"/>
    <d v="2025-07-24T00:00:00"/>
    <x v="47"/>
    <x v="402"/>
    <n v="741"/>
  </r>
  <r>
    <s v="stage_reached_300 (App)"/>
    <x v="1"/>
    <x v="15"/>
    <d v="2025-07-23T00:00:00"/>
    <x v="47"/>
    <x v="403"/>
    <n v="707"/>
  </r>
  <r>
    <s v="stage_reached_300 (App)"/>
    <x v="11"/>
    <x v="15"/>
    <d v="2025-07-23T00:00:00"/>
    <x v="47"/>
    <x v="404"/>
    <n v="708"/>
  </r>
  <r>
    <s v="stage_reached_300 (App)"/>
    <x v="4"/>
    <x v="15"/>
    <d v="2025-07-23T00:00:00"/>
    <x v="47"/>
    <x v="405"/>
    <n v="675"/>
  </r>
  <r>
    <s v="stage_reached_300 (App)"/>
    <x v="4"/>
    <x v="15"/>
    <d v="2025-07-22T00:00:00"/>
    <x v="47"/>
    <x v="406"/>
    <n v="642"/>
  </r>
  <r>
    <s v="stage_reached_300 (App)"/>
    <x v="4"/>
    <x v="15"/>
    <d v="2025-07-22T00:00:00"/>
    <x v="47"/>
    <x v="407"/>
    <n v="631"/>
  </r>
  <r>
    <s v="stage_reached_300 (App)"/>
    <x v="7"/>
    <x v="15"/>
    <d v="2025-07-19T00:00:00"/>
    <x v="47"/>
    <x v="408"/>
    <n v="725"/>
  </r>
  <r>
    <s v="stage_reached_300 (App)"/>
    <x v="0"/>
    <x v="15"/>
    <d v="2025-07-21T00:00:00"/>
    <x v="47"/>
    <x v="409"/>
    <n v="544"/>
  </r>
  <r>
    <s v="stage_reached_300 (App)"/>
    <x v="2"/>
    <x v="15"/>
    <d v="2025-07-21T00:00:00"/>
    <x v="47"/>
    <x v="410"/>
    <n v="1087"/>
  </r>
  <r>
    <s v="stage_reached_300 (App)"/>
    <x v="0"/>
    <x v="15"/>
    <d v="2025-07-20T00:00:00"/>
    <x v="47"/>
    <x v="411"/>
    <n v="518"/>
  </r>
  <r>
    <s v="stage_reached_300 (App)"/>
    <x v="11"/>
    <x v="15"/>
    <d v="2025-07-20T00:00:00"/>
    <x v="47"/>
    <x v="412"/>
    <n v="634"/>
  </r>
  <r>
    <s v="stage_reached_300 (App)"/>
    <x v="3"/>
    <x v="15"/>
    <d v="2025-07-20T00:00:00"/>
    <x v="47"/>
    <x v="413"/>
    <n v="482"/>
  </r>
  <r>
    <s v="stage_reached_300 (App)"/>
    <x v="0"/>
    <x v="15"/>
    <d v="2025-07-19T00:00:00"/>
    <x v="47"/>
    <x v="414"/>
    <n v="463"/>
  </r>
  <r>
    <s v="stage_reached_300 (App)"/>
    <x v="10"/>
    <x v="15"/>
    <d v="2025-07-19T00:00:00"/>
    <x v="47"/>
    <x v="415"/>
    <n v="419"/>
  </r>
  <r>
    <s v="stage_reached_300 (App)"/>
    <x v="0"/>
    <x v="15"/>
    <d v="2025-07-19T00:00:00"/>
    <x v="47"/>
    <x v="416"/>
    <n v="423"/>
  </r>
  <r>
    <s v="stage_reached_300 (App)"/>
    <x v="0"/>
    <x v="15"/>
    <d v="2025-07-19T00:00:00"/>
    <x v="47"/>
    <x v="417"/>
    <n v="387"/>
  </r>
  <r>
    <s v="stage_reached_300 (App)"/>
    <x v="14"/>
    <x v="15"/>
    <d v="2025-07-18T00:00:00"/>
    <x v="47"/>
    <x v="418"/>
    <n v="398"/>
  </r>
  <r>
    <s v="stage_reached_300 (App)"/>
    <x v="7"/>
    <x v="15"/>
    <d v="2025-07-17T00:00:00"/>
    <x v="47"/>
    <x v="419"/>
    <n v="381"/>
  </r>
  <r>
    <s v="stage_reached_300 (App)"/>
    <x v="0"/>
    <x v="15"/>
    <d v="2025-07-18T00:00:00"/>
    <x v="47"/>
    <x v="420"/>
    <n v="343"/>
  </r>
  <r>
    <s v="stage_reached_300 (App)"/>
    <x v="9"/>
    <x v="15"/>
    <d v="2025-07-18T00:00:00"/>
    <x v="47"/>
    <x v="421"/>
    <n v="373"/>
  </r>
  <r>
    <s v="stage_reached_300 (App)"/>
    <x v="9"/>
    <x v="15"/>
    <d v="2025-07-18T00:00:00"/>
    <x v="47"/>
    <x v="422"/>
    <n v="337"/>
  </r>
  <r>
    <s v="stage_reached_300 (App)"/>
    <x v="9"/>
    <x v="15"/>
    <d v="2025-07-18T00:00:00"/>
    <x v="47"/>
    <x v="423"/>
    <n v="354"/>
  </r>
  <r>
    <s v="stage_reached_300 (App)"/>
    <x v="11"/>
    <x v="15"/>
    <d v="2025-07-17T00:00:00"/>
    <x v="47"/>
    <x v="424"/>
    <n v="323"/>
  </r>
  <r>
    <s v="stage_reached_300 (App)"/>
    <x v="9"/>
    <x v="15"/>
    <d v="2025-07-16T00:00:00"/>
    <x v="47"/>
    <x v="425"/>
    <n v="308"/>
  </r>
  <r>
    <s v="stage_reached_300 (App)"/>
    <x v="7"/>
    <x v="15"/>
    <d v="2025-07-17T00:00:00"/>
    <x v="47"/>
    <x v="426"/>
    <n v="290"/>
  </r>
  <r>
    <s v="stage_reached_300 (App)"/>
    <x v="9"/>
    <x v="15"/>
    <d v="2025-07-16T00:00:00"/>
    <x v="47"/>
    <x v="427"/>
    <n v="242"/>
  </r>
  <r>
    <s v="stage_reached_300 (App)"/>
    <x v="22"/>
    <x v="15"/>
    <d v="2025-07-16T00:00:00"/>
    <x v="47"/>
    <x v="428"/>
    <n v="224"/>
  </r>
  <r>
    <s v="stage_reached_300 (App)"/>
    <x v="4"/>
    <x v="15"/>
    <d v="2025-07-18T00:00:00"/>
    <x v="120"/>
    <x v="429"/>
    <n v="401"/>
  </r>
  <r>
    <s v="stage_reached_300 (App)"/>
    <x v="7"/>
    <x v="15"/>
    <d v="2025-07-16T00:00:00"/>
    <x v="120"/>
    <x v="430"/>
    <n v="225"/>
  </r>
  <r>
    <s v="stage_reached_300 (App)"/>
    <x v="9"/>
    <x v="16"/>
    <d v="2025-07-17T00:00:00"/>
    <x v="170"/>
    <x v="431"/>
    <n v="470"/>
  </r>
  <r>
    <s v="stage_reached_300 (App)"/>
    <x v="15"/>
    <x v="16"/>
    <d v="2025-07-17T00:00:00"/>
    <x v="53"/>
    <x v="432"/>
    <n v="344"/>
  </r>
  <r>
    <s v="stage_reached_300 (App)"/>
    <x v="0"/>
    <x v="16"/>
    <d v="2025-07-19T00:00:00"/>
    <x v="129"/>
    <x v="433"/>
    <n v="521"/>
  </r>
  <r>
    <s v="stage_reached_300 (App)"/>
    <x v="13"/>
    <x v="16"/>
    <d v="2025-07-22T00:00:00"/>
    <x v="171"/>
    <x v="434"/>
    <n v="754"/>
  </r>
  <r>
    <s v="stage_reached_300 (App)"/>
    <x v="0"/>
    <x v="16"/>
    <d v="2025-07-26T00:00:00"/>
    <x v="113"/>
    <x v="435"/>
    <n v="1179"/>
  </r>
  <r>
    <s v="stage_reached_300 (App)"/>
    <x v="9"/>
    <x v="16"/>
    <d v="2025-07-21T00:00:00"/>
    <x v="113"/>
    <x v="436"/>
    <n v="598"/>
  </r>
  <r>
    <s v="stage_reached_300 (App)"/>
    <x v="9"/>
    <x v="16"/>
    <d v="2025-07-17T00:00:00"/>
    <x v="113"/>
    <x v="437"/>
    <n v="377"/>
  </r>
  <r>
    <s v="stage_reached_300 (App)"/>
    <x v="7"/>
    <x v="16"/>
    <d v="2025-07-20T00:00:00"/>
    <x v="130"/>
    <x v="438"/>
    <n v="504"/>
  </r>
  <r>
    <s v="stage_reached_300 (App)"/>
    <x v="9"/>
    <x v="16"/>
    <d v="2025-07-17T00:00:00"/>
    <x v="172"/>
    <x v="439"/>
    <n v="402"/>
  </r>
  <r>
    <s v="stage_reached_300 (App)"/>
    <x v="9"/>
    <x v="16"/>
    <d v="2025-07-31T00:00:00"/>
    <x v="131"/>
    <x v="440"/>
    <n v="1548"/>
  </r>
  <r>
    <s v="stage_reached_300 (App)"/>
    <x v="9"/>
    <x v="16"/>
    <d v="2025-07-18T00:00:00"/>
    <x v="131"/>
    <x v="441"/>
    <n v="387"/>
  </r>
  <r>
    <s v="stage_reached_300 (App)"/>
    <x v="7"/>
    <x v="16"/>
    <d v="2025-07-19T00:00:00"/>
    <x v="116"/>
    <x v="442"/>
    <n v="536"/>
  </r>
  <r>
    <s v="stage_reached_300 (App)"/>
    <x v="9"/>
    <x v="16"/>
    <d v="2025-07-21T00:00:00"/>
    <x v="99"/>
    <x v="443"/>
    <n v="643"/>
  </r>
  <r>
    <s v="stage_reached_300 (App)"/>
    <x v="23"/>
    <x v="16"/>
    <d v="2025-07-25T00:00:00"/>
    <x v="117"/>
    <x v="444"/>
    <n v="1053"/>
  </r>
  <r>
    <s v="stage_reached_300 (App)"/>
    <x v="0"/>
    <x v="16"/>
    <d v="2025-07-24T00:00:00"/>
    <x v="117"/>
    <x v="445"/>
    <n v="977"/>
  </r>
  <r>
    <s v="stage_reached_300 (App)"/>
    <x v="7"/>
    <x v="16"/>
    <d v="2025-07-17T00:00:00"/>
    <x v="117"/>
    <x v="446"/>
    <n v="391"/>
  </r>
  <r>
    <s v="stage_reached_300 (App)"/>
    <x v="15"/>
    <x v="16"/>
    <d v="2025-07-25T00:00:00"/>
    <x v="100"/>
    <x v="447"/>
    <n v="908"/>
  </r>
  <r>
    <s v="stage_reached_300 (App)"/>
    <x v="9"/>
    <x v="16"/>
    <d v="2025-07-24T00:00:00"/>
    <x v="100"/>
    <x v="448"/>
    <n v="879"/>
  </r>
  <r>
    <s v="stage_reached_300 (App)"/>
    <x v="19"/>
    <x v="16"/>
    <d v="2025-07-25T00:00:00"/>
    <x v="132"/>
    <x v="449"/>
    <n v="990"/>
  </r>
  <r>
    <s v="stage_reached_300 (App)"/>
    <x v="0"/>
    <x v="16"/>
    <d v="2025-07-29T00:00:00"/>
    <x v="133"/>
    <x v="450"/>
    <n v="1515"/>
  </r>
  <r>
    <s v="stage_reached_300 (App)"/>
    <x v="14"/>
    <x v="16"/>
    <d v="2025-07-29T00:00:00"/>
    <x v="101"/>
    <x v="451"/>
    <n v="1259"/>
  </r>
  <r>
    <s v="stage_reached_300 (App)"/>
    <x v="13"/>
    <x v="16"/>
    <d v="2025-07-25T00:00:00"/>
    <x v="135"/>
    <x v="452"/>
    <n v="1168"/>
  </r>
  <r>
    <s v="stage_reached_300 (App)"/>
    <x v="9"/>
    <x v="16"/>
    <d v="2025-07-18T00:00:00"/>
    <x v="136"/>
    <x v="453"/>
    <n v="429"/>
  </r>
  <r>
    <s v="stage_reached_300 (App)"/>
    <x v="19"/>
    <x v="16"/>
    <d v="2025-07-17T00:00:00"/>
    <x v="136"/>
    <x v="454"/>
    <n v="395"/>
  </r>
  <r>
    <s v="stage_reached_300 (App)"/>
    <x v="9"/>
    <x v="16"/>
    <d v="2025-07-17T00:00:00"/>
    <x v="167"/>
    <x v="455"/>
    <n v="342"/>
  </r>
  <r>
    <s v="stage_reached_300 (App)"/>
    <x v="9"/>
    <x v="16"/>
    <d v="2025-07-19T00:00:00"/>
    <x v="173"/>
    <x v="456"/>
    <n v="457"/>
  </r>
  <r>
    <s v="stage_reached_300 (App)"/>
    <x v="9"/>
    <x v="16"/>
    <d v="2025-07-21T00:00:00"/>
    <x v="102"/>
    <x v="457"/>
    <n v="646"/>
  </r>
  <r>
    <s v="stage_reached_300 (App)"/>
    <x v="7"/>
    <x v="16"/>
    <d v="2025-07-19T00:00:00"/>
    <x v="158"/>
    <x v="458"/>
    <n v="480"/>
  </r>
  <r>
    <s v="stage_reached_300 (App)"/>
    <x v="9"/>
    <x v="16"/>
    <d v="2025-07-30T00:00:00"/>
    <x v="103"/>
    <x v="459"/>
    <n v="1431"/>
  </r>
  <r>
    <s v="stage_reached_300 (App)"/>
    <x v="9"/>
    <x v="16"/>
    <d v="2025-07-21T00:00:00"/>
    <x v="104"/>
    <x v="460"/>
    <n v="743"/>
  </r>
  <r>
    <s v="stage_reached_300 (App)"/>
    <x v="7"/>
    <x v="16"/>
    <d v="2025-07-20T00:00:00"/>
    <x v="104"/>
    <x v="461"/>
    <n v="586"/>
  </r>
  <r>
    <s v="stage_reached_300 (App)"/>
    <x v="1"/>
    <x v="16"/>
    <d v="2025-07-19T00:00:00"/>
    <x v="104"/>
    <x v="462"/>
    <n v="1056"/>
  </r>
  <r>
    <s v="stage_reached_300 (App)"/>
    <x v="9"/>
    <x v="16"/>
    <d v="2025-07-18T00:00:00"/>
    <x v="104"/>
    <x v="463"/>
    <n v="387"/>
  </r>
  <r>
    <s v="stage_reached_300 (App)"/>
    <x v="19"/>
    <x v="16"/>
    <d v="2025-08-01T00:00:00"/>
    <x v="105"/>
    <x v="464"/>
    <n v="1530"/>
  </r>
  <r>
    <s v="stage_reached_300 (App)"/>
    <x v="7"/>
    <x v="16"/>
    <d v="2025-07-26T00:00:00"/>
    <x v="105"/>
    <x v="465"/>
    <n v="1487"/>
  </r>
  <r>
    <s v="stage_reached_300 (App)"/>
    <x v="9"/>
    <x v="16"/>
    <d v="2025-07-25T00:00:00"/>
    <x v="105"/>
    <x v="466"/>
    <n v="954"/>
  </r>
  <r>
    <s v="stage_reached_300 (App)"/>
    <x v="9"/>
    <x v="16"/>
    <d v="2025-07-16T00:00:00"/>
    <x v="105"/>
    <x v="467"/>
    <n v="287"/>
  </r>
  <r>
    <s v="stage_reached_300 (App)"/>
    <x v="9"/>
    <x v="16"/>
    <d v="2025-07-16T00:00:00"/>
    <x v="174"/>
    <x v="468"/>
    <n v="319"/>
  </r>
  <r>
    <s v="stage_reached_300 (App)"/>
    <x v="9"/>
    <x v="16"/>
    <d v="2025-07-26T00:00:00"/>
    <x v="159"/>
    <x v="469"/>
    <n v="1029"/>
  </r>
  <r>
    <s v="stage_reached_300 (App)"/>
    <x v="9"/>
    <x v="16"/>
    <d v="2025-07-16T00:00:00"/>
    <x v="159"/>
    <x v="470"/>
    <n v="295"/>
  </r>
  <r>
    <s v="stage_reached_300 (App)"/>
    <x v="0"/>
    <x v="16"/>
    <d v="2025-07-31T00:00:00"/>
    <x v="141"/>
    <x v="471"/>
    <n v="1449"/>
  </r>
  <r>
    <s v="stage_reached_300 (App)"/>
    <x v="19"/>
    <x v="16"/>
    <d v="2025-07-24T00:00:00"/>
    <x v="142"/>
    <x v="472"/>
    <n v="885"/>
  </r>
  <r>
    <s v="stage_reached_300 (App)"/>
    <x v="10"/>
    <x v="16"/>
    <d v="2025-07-30T00:00:00"/>
    <x v="106"/>
    <x v="473"/>
    <n v="1456"/>
  </r>
  <r>
    <s v="stage_reached_300 (App)"/>
    <x v="0"/>
    <x v="16"/>
    <d v="2025-07-27T00:00:00"/>
    <x v="106"/>
    <x v="474"/>
    <n v="1117"/>
  </r>
  <r>
    <s v="stage_reached_300 (App)"/>
    <x v="19"/>
    <x v="16"/>
    <d v="2025-07-18T00:00:00"/>
    <x v="143"/>
    <x v="475"/>
    <n v="420"/>
  </r>
  <r>
    <s v="stage_reached_300 (App)"/>
    <x v="0"/>
    <x v="16"/>
    <d v="2025-07-27T00:00:00"/>
    <x v="89"/>
    <x v="476"/>
    <n v="1136"/>
  </r>
  <r>
    <s v="stage_reached_300 (App)"/>
    <x v="9"/>
    <x v="16"/>
    <d v="2025-07-23T00:00:00"/>
    <x v="89"/>
    <x v="477"/>
    <n v="803"/>
  </r>
  <r>
    <s v="stage_reached_300 (App)"/>
    <x v="4"/>
    <x v="16"/>
    <d v="2025-07-16T00:00:00"/>
    <x v="89"/>
    <x v="478"/>
    <n v="577"/>
  </r>
  <r>
    <s v="stage_reached_300 (App)"/>
    <x v="4"/>
    <x v="16"/>
    <d v="2025-07-17T00:00:00"/>
    <x v="89"/>
    <x v="479"/>
    <n v="351"/>
  </r>
  <r>
    <s v="stage_reached_300 (App)"/>
    <x v="7"/>
    <x v="16"/>
    <d v="2025-07-18T00:00:00"/>
    <x v="175"/>
    <x v="480"/>
    <n v="399"/>
  </r>
  <r>
    <s v="stage_reached_300 (App)"/>
    <x v="0"/>
    <x v="16"/>
    <d v="2025-08-01T00:00:00"/>
    <x v="47"/>
    <x v="481"/>
    <n v="1784"/>
  </r>
  <r>
    <s v="stage_reached_300 (App)"/>
    <x v="9"/>
    <x v="16"/>
    <d v="2025-08-01T00:00:00"/>
    <x v="47"/>
    <x v="482"/>
    <n v="1498"/>
  </r>
  <r>
    <s v="stage_reached_300 (App)"/>
    <x v="9"/>
    <x v="16"/>
    <d v="2025-07-31T00:00:00"/>
    <x v="47"/>
    <x v="483"/>
    <n v="1428"/>
  </r>
  <r>
    <s v="stage_reached_300 (App)"/>
    <x v="9"/>
    <x v="16"/>
    <d v="2025-07-21T00:00:00"/>
    <x v="47"/>
    <x v="484"/>
    <n v="1348"/>
  </r>
  <r>
    <s v="stage_reached_300 (App)"/>
    <x v="9"/>
    <x v="16"/>
    <d v="2025-07-29T00:00:00"/>
    <x v="47"/>
    <x v="485"/>
    <n v="1308"/>
  </r>
  <r>
    <s v="stage_reached_300 (App)"/>
    <x v="0"/>
    <x v="16"/>
    <d v="2025-07-26T00:00:00"/>
    <x v="47"/>
    <x v="486"/>
    <n v="1102"/>
  </r>
  <r>
    <s v="stage_reached_300 (App)"/>
    <x v="9"/>
    <x v="16"/>
    <d v="2025-07-25T00:00:00"/>
    <x v="47"/>
    <x v="487"/>
    <n v="1073"/>
  </r>
  <r>
    <s v="stage_reached_300 (App)"/>
    <x v="0"/>
    <x v="16"/>
    <d v="2025-07-26T00:00:00"/>
    <x v="47"/>
    <x v="488"/>
    <n v="1339"/>
  </r>
  <r>
    <s v="stage_reached_300 (App)"/>
    <x v="0"/>
    <x v="16"/>
    <d v="2025-07-26T00:00:00"/>
    <x v="47"/>
    <x v="489"/>
    <n v="1103"/>
  </r>
  <r>
    <s v="stage_reached_300 (App)"/>
    <x v="0"/>
    <x v="16"/>
    <d v="2025-07-25T00:00:00"/>
    <x v="47"/>
    <x v="490"/>
    <n v="1299"/>
  </r>
  <r>
    <s v="stage_reached_300 (App)"/>
    <x v="0"/>
    <x v="16"/>
    <d v="2025-07-26T00:00:00"/>
    <x v="47"/>
    <x v="491"/>
    <n v="1036"/>
  </r>
  <r>
    <s v="stage_reached_300 (App)"/>
    <x v="9"/>
    <x v="16"/>
    <d v="2025-07-25T00:00:00"/>
    <x v="47"/>
    <x v="492"/>
    <n v="1074"/>
  </r>
  <r>
    <s v="stage_reached_300 (App)"/>
    <x v="0"/>
    <x v="16"/>
    <d v="2025-07-25T00:00:00"/>
    <x v="47"/>
    <x v="493"/>
    <n v="986"/>
  </r>
  <r>
    <s v="stage_reached_300 (App)"/>
    <x v="7"/>
    <x v="16"/>
    <d v="2025-07-24T00:00:00"/>
    <x v="47"/>
    <x v="494"/>
    <n v="979"/>
  </r>
  <r>
    <s v="stage_reached_300 (App)"/>
    <x v="0"/>
    <x v="16"/>
    <d v="2025-07-24T00:00:00"/>
    <x v="47"/>
    <x v="495"/>
    <n v="898"/>
  </r>
  <r>
    <s v="stage_reached_300 (App)"/>
    <x v="9"/>
    <x v="16"/>
    <d v="2025-07-24T00:00:00"/>
    <x v="47"/>
    <x v="496"/>
    <n v="967"/>
  </r>
  <r>
    <s v="stage_reached_300 (App)"/>
    <x v="7"/>
    <x v="16"/>
    <d v="2025-07-24T00:00:00"/>
    <x v="47"/>
    <x v="497"/>
    <n v="826"/>
  </r>
  <r>
    <s v="stage_reached_300 (App)"/>
    <x v="17"/>
    <x v="16"/>
    <d v="2025-07-23T00:00:00"/>
    <x v="47"/>
    <x v="498"/>
    <n v="816"/>
  </r>
  <r>
    <s v="stage_reached_300 (App)"/>
    <x v="0"/>
    <x v="16"/>
    <d v="2025-07-23T00:00:00"/>
    <x v="47"/>
    <x v="499"/>
    <n v="772"/>
  </r>
  <r>
    <s v="stage_reached_300 (App)"/>
    <x v="9"/>
    <x v="16"/>
    <d v="2025-07-23T00:00:00"/>
    <x v="47"/>
    <x v="500"/>
    <n v="745"/>
  </r>
  <r>
    <s v="stage_reached_300 (App)"/>
    <x v="7"/>
    <x v="16"/>
    <d v="2025-07-22T00:00:00"/>
    <x v="47"/>
    <x v="501"/>
    <n v="806"/>
  </r>
  <r>
    <s v="stage_reached_300 (App)"/>
    <x v="11"/>
    <x v="16"/>
    <d v="2025-07-20T00:00:00"/>
    <x v="47"/>
    <x v="502"/>
    <n v="723"/>
  </r>
  <r>
    <s v="stage_reached_300 (App)"/>
    <x v="9"/>
    <x v="16"/>
    <d v="2025-07-22T00:00:00"/>
    <x v="47"/>
    <x v="503"/>
    <n v="651"/>
  </r>
  <r>
    <s v="stage_reached_300 (App)"/>
    <x v="9"/>
    <x v="16"/>
    <d v="2025-07-19T00:00:00"/>
    <x v="47"/>
    <x v="504"/>
    <n v="628"/>
  </r>
  <r>
    <s v="stage_reached_300 (App)"/>
    <x v="9"/>
    <x v="16"/>
    <d v="2025-07-20T00:00:00"/>
    <x v="47"/>
    <x v="505"/>
    <n v="615"/>
  </r>
  <r>
    <s v="stage_reached_300 (App)"/>
    <x v="7"/>
    <x v="16"/>
    <d v="2025-07-20T00:00:00"/>
    <x v="47"/>
    <x v="506"/>
    <n v="580"/>
  </r>
  <r>
    <s v="stage_reached_300 (App)"/>
    <x v="7"/>
    <x v="16"/>
    <d v="2025-07-20T00:00:00"/>
    <x v="47"/>
    <x v="507"/>
    <n v="597"/>
  </r>
  <r>
    <s v="stage_reached_300 (App)"/>
    <x v="7"/>
    <x v="16"/>
    <d v="2025-07-21T00:00:00"/>
    <x v="47"/>
    <x v="508"/>
    <n v="597"/>
  </r>
  <r>
    <s v="stage_reached_300 (App)"/>
    <x v="0"/>
    <x v="16"/>
    <d v="2025-07-19T00:00:00"/>
    <x v="47"/>
    <x v="509"/>
    <n v="614"/>
  </r>
  <r>
    <s v="stage_reached_300 (App)"/>
    <x v="4"/>
    <x v="16"/>
    <d v="2025-07-20T00:00:00"/>
    <x v="47"/>
    <x v="510"/>
    <n v="546"/>
  </r>
  <r>
    <s v="stage_reached_300 (App)"/>
    <x v="0"/>
    <x v="16"/>
    <d v="2025-07-20T00:00:00"/>
    <x v="47"/>
    <x v="511"/>
    <n v="539"/>
  </r>
  <r>
    <s v="stage_reached_300 (App)"/>
    <x v="9"/>
    <x v="16"/>
    <d v="2025-07-20T00:00:00"/>
    <x v="47"/>
    <x v="512"/>
    <n v="515"/>
  </r>
  <r>
    <s v="stage_reached_300 (App)"/>
    <x v="7"/>
    <x v="16"/>
    <d v="2025-07-19T00:00:00"/>
    <x v="47"/>
    <x v="513"/>
    <n v="555"/>
  </r>
  <r>
    <s v="stage_reached_300 (App)"/>
    <x v="9"/>
    <x v="16"/>
    <d v="2025-07-18T00:00:00"/>
    <x v="47"/>
    <x v="514"/>
    <n v="478"/>
  </r>
  <r>
    <s v="stage_reached_300 (App)"/>
    <x v="2"/>
    <x v="16"/>
    <d v="2025-07-18T00:00:00"/>
    <x v="47"/>
    <x v="515"/>
    <n v="678"/>
  </r>
  <r>
    <s v="stage_reached_300 (App)"/>
    <x v="7"/>
    <x v="16"/>
    <d v="2025-07-19T00:00:00"/>
    <x v="47"/>
    <x v="516"/>
    <n v="476"/>
  </r>
  <r>
    <s v="stage_reached_300 (App)"/>
    <x v="0"/>
    <x v="16"/>
    <d v="2025-07-19T00:00:00"/>
    <x v="47"/>
    <x v="517"/>
    <n v="458"/>
  </r>
  <r>
    <s v="stage_reached_300 (App)"/>
    <x v="9"/>
    <x v="16"/>
    <d v="2025-07-19T00:00:00"/>
    <x v="47"/>
    <x v="518"/>
    <n v="460"/>
  </r>
  <r>
    <s v="stage_reached_300 (App)"/>
    <x v="0"/>
    <x v="16"/>
    <d v="2025-07-18T00:00:00"/>
    <x v="47"/>
    <x v="519"/>
    <n v="431"/>
  </r>
  <r>
    <s v="stage_reached_300 (App)"/>
    <x v="9"/>
    <x v="16"/>
    <d v="2025-07-18T00:00:00"/>
    <x v="47"/>
    <x v="520"/>
    <n v="425"/>
  </r>
  <r>
    <s v="stage_reached_300 (App)"/>
    <x v="0"/>
    <x v="16"/>
    <d v="2025-07-17T00:00:00"/>
    <x v="47"/>
    <x v="521"/>
    <n v="452"/>
  </r>
  <r>
    <s v="stage_reached_300 (App)"/>
    <x v="9"/>
    <x v="16"/>
    <d v="2025-07-18T00:00:00"/>
    <x v="47"/>
    <x v="522"/>
    <n v="407"/>
  </r>
  <r>
    <s v="stage_reached_300 (App)"/>
    <x v="7"/>
    <x v="16"/>
    <d v="2025-07-18T00:00:00"/>
    <x v="47"/>
    <x v="523"/>
    <n v="408"/>
  </r>
  <r>
    <s v="stage_reached_300 (App)"/>
    <x v="14"/>
    <x v="16"/>
    <d v="2025-07-17T00:00:00"/>
    <x v="47"/>
    <x v="524"/>
    <n v="378"/>
  </r>
  <r>
    <s v="stage_reached_300 (App)"/>
    <x v="9"/>
    <x v="16"/>
    <d v="2025-07-17T00:00:00"/>
    <x v="47"/>
    <x v="525"/>
    <n v="350"/>
  </r>
  <r>
    <s v="stage_reached_300 (App)"/>
    <x v="9"/>
    <x v="16"/>
    <d v="2025-07-16T00:00:00"/>
    <x v="47"/>
    <x v="526"/>
    <n v="323"/>
  </r>
  <r>
    <s v="stage_reached_300 (App)"/>
    <x v="4"/>
    <x v="16"/>
    <d v="2025-07-16T00:00:00"/>
    <x v="47"/>
    <x v="527"/>
    <n v="328"/>
  </r>
  <r>
    <s v="stage_reached_300 (App)"/>
    <x v="0"/>
    <x v="16"/>
    <d v="2025-07-16T00:00:00"/>
    <x v="47"/>
    <x v="528"/>
    <n v="300"/>
  </r>
  <r>
    <s v="stage_reached_300 (App)"/>
    <x v="9"/>
    <x v="16"/>
    <d v="2025-07-16T00:00:00"/>
    <x v="47"/>
    <x v="529"/>
    <n v="318"/>
  </r>
  <r>
    <s v="stage_reached_300 (App)"/>
    <x v="7"/>
    <x v="16"/>
    <d v="2025-07-15T00:00:00"/>
    <x v="47"/>
    <x v="530"/>
    <n v="272"/>
  </r>
  <r>
    <s v="stage_reached_300 (App)"/>
    <x v="7"/>
    <x v="16"/>
    <d v="2025-07-27T00:00:00"/>
    <x v="120"/>
    <x v="531"/>
    <n v="1109"/>
  </r>
  <r>
    <s v="stage_reached_300 (App)"/>
    <x v="9"/>
    <x v="16"/>
    <d v="2025-07-19T00:00:00"/>
    <x v="120"/>
    <x v="532"/>
    <n v="499"/>
  </r>
  <r>
    <s v="stage_reached_300 (App)"/>
    <x v="9"/>
    <x v="16"/>
    <d v="2025-07-19T00:00:00"/>
    <x v="120"/>
    <x v="533"/>
    <n v="435"/>
  </r>
  <r>
    <s v="stage_reached_300 (App)"/>
    <x v="3"/>
    <x v="17"/>
    <d v="2025-07-19T00:00:00"/>
    <x v="176"/>
    <x v="534"/>
    <n v="1148"/>
  </r>
  <r>
    <s v="stage_reached_300 (App)"/>
    <x v="4"/>
    <x v="17"/>
    <d v="2025-07-19T00:00:00"/>
    <x v="76"/>
    <x v="535"/>
    <n v="969"/>
  </r>
  <r>
    <s v="stage_reached_300 (App)"/>
    <x v="15"/>
    <x v="17"/>
    <d v="2025-07-20T00:00:00"/>
    <x v="11"/>
    <x v="536"/>
    <n v="617"/>
  </r>
  <r>
    <s v="stage_reached_300 (App)"/>
    <x v="13"/>
    <x v="17"/>
    <d v="2025-07-31T00:00:00"/>
    <x v="177"/>
    <x v="537"/>
    <n v="1483"/>
  </r>
  <r>
    <s v="stage_reached_300 (App)"/>
    <x v="9"/>
    <x v="17"/>
    <d v="2025-07-17T00:00:00"/>
    <x v="178"/>
    <x v="538"/>
    <n v="399"/>
  </r>
  <r>
    <s v="stage_reached_300 (App)"/>
    <x v="0"/>
    <x v="17"/>
    <d v="2025-07-24T00:00:00"/>
    <x v="179"/>
    <x v="539"/>
    <n v="1086"/>
  </r>
  <r>
    <s v="stage_reached_300 (App)"/>
    <x v="9"/>
    <x v="17"/>
    <d v="2025-07-22T00:00:00"/>
    <x v="126"/>
    <x v="540"/>
    <n v="887"/>
  </r>
  <r>
    <s v="stage_reached_300 (App)"/>
    <x v="3"/>
    <x v="17"/>
    <d v="2025-07-17T00:00:00"/>
    <x v="87"/>
    <x v="541"/>
    <n v="438"/>
  </r>
  <r>
    <s v="stage_reached_300 (App)"/>
    <x v="15"/>
    <x v="17"/>
    <d v="2025-07-24T00:00:00"/>
    <x v="113"/>
    <x v="542"/>
    <n v="949"/>
  </r>
  <r>
    <s v="stage_reached_300 (App)"/>
    <x v="0"/>
    <x v="17"/>
    <d v="2025-07-26T00:00:00"/>
    <x v="115"/>
    <x v="543"/>
    <n v="1272"/>
  </r>
  <r>
    <s v="stage_reached_300 (App)"/>
    <x v="0"/>
    <x v="17"/>
    <d v="2025-07-23T00:00:00"/>
    <x v="98"/>
    <x v="544"/>
    <n v="882"/>
  </r>
  <r>
    <s v="stage_reached_300 (App)"/>
    <x v="14"/>
    <x v="17"/>
    <d v="2025-07-16T00:00:00"/>
    <x v="98"/>
    <x v="545"/>
    <n v="436"/>
  </r>
  <r>
    <s v="stage_reached_300 (App)"/>
    <x v="4"/>
    <x v="17"/>
    <d v="2025-07-31T00:00:00"/>
    <x v="131"/>
    <x v="546"/>
    <n v="1596"/>
  </r>
  <r>
    <s v="stage_reached_300 (App)"/>
    <x v="9"/>
    <x v="17"/>
    <d v="2025-07-25T00:00:00"/>
    <x v="131"/>
    <x v="547"/>
    <n v="1070"/>
  </r>
  <r>
    <s v="stage_reached_300 (App)"/>
    <x v="13"/>
    <x v="17"/>
    <d v="2025-07-20T00:00:00"/>
    <x v="131"/>
    <x v="548"/>
    <n v="609"/>
  </r>
  <r>
    <s v="stage_reached_300 (App)"/>
    <x v="3"/>
    <x v="17"/>
    <d v="2025-07-17T00:00:00"/>
    <x v="157"/>
    <x v="549"/>
    <n v="445"/>
  </r>
  <r>
    <s v="stage_reached_300 (App)"/>
    <x v="9"/>
    <x v="17"/>
    <d v="2025-07-23T00:00:00"/>
    <x v="117"/>
    <x v="550"/>
    <n v="859"/>
  </r>
  <r>
    <s v="stage_reached_300 (App)"/>
    <x v="13"/>
    <x v="17"/>
    <d v="2025-07-21T00:00:00"/>
    <x v="166"/>
    <x v="551"/>
    <n v="723"/>
  </r>
  <r>
    <s v="stage_reached_300 (App)"/>
    <x v="9"/>
    <x v="17"/>
    <d v="2025-07-23T00:00:00"/>
    <x v="180"/>
    <x v="552"/>
    <n v="802"/>
  </r>
  <r>
    <s v="stage_reached_300 (App)"/>
    <x v="15"/>
    <x v="17"/>
    <d v="2025-07-26T00:00:00"/>
    <x v="135"/>
    <x v="553"/>
    <n v="1268"/>
  </r>
  <r>
    <s v="stage_reached_300 (App)"/>
    <x v="9"/>
    <x v="17"/>
    <d v="2025-07-26T00:00:00"/>
    <x v="136"/>
    <x v="554"/>
    <n v="1187"/>
  </r>
  <r>
    <s v="stage_reached_300 (App)"/>
    <x v="14"/>
    <x v="17"/>
    <d v="2025-07-23T00:00:00"/>
    <x v="136"/>
    <x v="555"/>
    <n v="885"/>
  </r>
  <r>
    <s v="stage_reached_300 (App)"/>
    <x v="9"/>
    <x v="17"/>
    <d v="2025-07-22T00:00:00"/>
    <x v="136"/>
    <x v="556"/>
    <n v="807"/>
  </r>
  <r>
    <s v="stage_reached_300 (App)"/>
    <x v="7"/>
    <x v="17"/>
    <d v="2025-07-19T00:00:00"/>
    <x v="136"/>
    <x v="557"/>
    <n v="592"/>
  </r>
  <r>
    <s v="stage_reached_300 (App)"/>
    <x v="0"/>
    <x v="17"/>
    <d v="2025-07-18T00:00:00"/>
    <x v="136"/>
    <x v="558"/>
    <n v="477"/>
  </r>
  <r>
    <s v="stage_reached_300 (App)"/>
    <x v="14"/>
    <x v="17"/>
    <d v="2025-07-16T00:00:00"/>
    <x v="136"/>
    <x v="559"/>
    <n v="365"/>
  </r>
  <r>
    <s v="stage_reached_300 (App)"/>
    <x v="20"/>
    <x v="17"/>
    <d v="2025-07-16T00:00:00"/>
    <x v="136"/>
    <x v="560"/>
    <n v="374"/>
  </r>
  <r>
    <s v="stage_reached_300 (App)"/>
    <x v="4"/>
    <x v="17"/>
    <d v="2025-07-19T00:00:00"/>
    <x v="102"/>
    <x v="561"/>
    <n v="605"/>
  </r>
  <r>
    <s v="stage_reached_300 (App)"/>
    <x v="9"/>
    <x v="17"/>
    <d v="2025-07-20T00:00:00"/>
    <x v="103"/>
    <x v="562"/>
    <n v="576"/>
  </r>
  <r>
    <s v="stage_reached_300 (App)"/>
    <x v="9"/>
    <x v="17"/>
    <d v="2025-07-18T00:00:00"/>
    <x v="137"/>
    <x v="563"/>
    <n v="490"/>
  </r>
  <r>
    <s v="stage_reached_300 (App)"/>
    <x v="18"/>
    <x v="17"/>
    <d v="2025-07-25T00:00:00"/>
    <x v="139"/>
    <x v="564"/>
    <n v="1031"/>
  </r>
  <r>
    <s v="stage_reached_300 (App)"/>
    <x v="0"/>
    <x v="17"/>
    <d v="2025-07-24T00:00:00"/>
    <x v="104"/>
    <x v="565"/>
    <n v="1134"/>
  </r>
  <r>
    <s v="stage_reached_300 (App)"/>
    <x v="4"/>
    <x v="17"/>
    <d v="2025-07-25T00:00:00"/>
    <x v="104"/>
    <x v="566"/>
    <n v="1212"/>
  </r>
  <r>
    <s v="stage_reached_300 (App)"/>
    <x v="4"/>
    <x v="17"/>
    <d v="2025-07-24T00:00:00"/>
    <x v="104"/>
    <x v="567"/>
    <n v="1027"/>
  </r>
  <r>
    <s v="stage_reached_300 (App)"/>
    <x v="9"/>
    <x v="17"/>
    <d v="2025-07-24T00:00:00"/>
    <x v="104"/>
    <x v="568"/>
    <n v="1002"/>
  </r>
  <r>
    <s v="stage_reached_300 (App)"/>
    <x v="9"/>
    <x v="17"/>
    <d v="2025-07-21T00:00:00"/>
    <x v="104"/>
    <x v="569"/>
    <n v="670"/>
  </r>
  <r>
    <s v="stage_reached_300 (App)"/>
    <x v="9"/>
    <x v="17"/>
    <d v="2025-07-19T00:00:00"/>
    <x v="104"/>
    <x v="570"/>
    <n v="536"/>
  </r>
  <r>
    <s v="stage_reached_300 (App)"/>
    <x v="7"/>
    <x v="17"/>
    <d v="2025-07-17T00:00:00"/>
    <x v="104"/>
    <x v="571"/>
    <n v="431"/>
  </r>
  <r>
    <s v="stage_reached_300 (App)"/>
    <x v="13"/>
    <x v="17"/>
    <d v="2025-07-16T00:00:00"/>
    <x v="140"/>
    <x v="572"/>
    <n v="328"/>
  </r>
  <r>
    <s v="stage_reached_300 (App)"/>
    <x v="9"/>
    <x v="17"/>
    <d v="2025-07-27T00:00:00"/>
    <x v="105"/>
    <x v="573"/>
    <n v="1308"/>
  </r>
  <r>
    <s v="stage_reached_300 (App)"/>
    <x v="4"/>
    <x v="17"/>
    <d v="2025-07-27T00:00:00"/>
    <x v="105"/>
    <x v="574"/>
    <n v="1218"/>
  </r>
  <r>
    <s v="stage_reached_300 (App)"/>
    <x v="9"/>
    <x v="17"/>
    <d v="2025-07-29T00:00:00"/>
    <x v="159"/>
    <x v="575"/>
    <n v="1430"/>
  </r>
  <r>
    <s v="stage_reached_300 (App)"/>
    <x v="5"/>
    <x v="17"/>
    <d v="2025-07-19T00:00:00"/>
    <x v="159"/>
    <x v="576"/>
    <n v="499"/>
  </r>
  <r>
    <s v="stage_reached_300 (App)"/>
    <x v="0"/>
    <x v="17"/>
    <d v="2025-07-25T00:00:00"/>
    <x v="169"/>
    <x v="577"/>
    <n v="1056"/>
  </r>
  <r>
    <s v="stage_reached_300 (App)"/>
    <x v="0"/>
    <x v="17"/>
    <d v="2025-07-19T00:00:00"/>
    <x v="169"/>
    <x v="578"/>
    <n v="597"/>
  </r>
  <r>
    <s v="stage_reached_300 (App)"/>
    <x v="11"/>
    <x v="17"/>
    <d v="2025-07-27T00:00:00"/>
    <x v="106"/>
    <x v="579"/>
    <n v="1320"/>
  </r>
  <r>
    <s v="stage_reached_300 (App)"/>
    <x v="0"/>
    <x v="17"/>
    <d v="2025-07-27T00:00:00"/>
    <x v="106"/>
    <x v="580"/>
    <n v="1294"/>
  </r>
  <r>
    <s v="stage_reached_300 (App)"/>
    <x v="0"/>
    <x v="17"/>
    <d v="2025-07-23T00:00:00"/>
    <x v="106"/>
    <x v="581"/>
    <n v="1054"/>
  </r>
  <r>
    <s v="stage_reached_300 (App)"/>
    <x v="21"/>
    <x v="17"/>
    <d v="2025-07-20T00:00:00"/>
    <x v="106"/>
    <x v="582"/>
    <n v="616"/>
  </r>
  <r>
    <s v="stage_reached_300 (App)"/>
    <x v="9"/>
    <x v="17"/>
    <d v="2025-07-29T00:00:00"/>
    <x v="89"/>
    <x v="583"/>
    <n v="1417"/>
  </r>
  <r>
    <s v="stage_reached_300 (App)"/>
    <x v="14"/>
    <x v="17"/>
    <d v="2025-07-20T00:00:00"/>
    <x v="89"/>
    <x v="584"/>
    <n v="693"/>
  </r>
  <r>
    <s v="stage_reached_300 (App)"/>
    <x v="9"/>
    <x v="17"/>
    <d v="2025-07-25T00:00:00"/>
    <x v="160"/>
    <x v="585"/>
    <n v="1040"/>
  </r>
  <r>
    <s v="stage_reached_300 (App)"/>
    <x v="9"/>
    <x v="17"/>
    <d v="2025-07-22T00:00:00"/>
    <x v="160"/>
    <x v="586"/>
    <n v="791"/>
  </r>
  <r>
    <s v="stage_reached_300 (App)"/>
    <x v="17"/>
    <x v="17"/>
    <d v="2025-07-16T00:00:00"/>
    <x v="160"/>
    <x v="587"/>
    <n v="655"/>
  </r>
  <r>
    <s v="stage_reached_300 (App)"/>
    <x v="9"/>
    <x v="17"/>
    <d v="2025-07-18T00:00:00"/>
    <x v="160"/>
    <x v="588"/>
    <n v="536"/>
  </r>
  <r>
    <s v="stage_reached_300 (App)"/>
    <x v="9"/>
    <x v="17"/>
    <d v="2025-07-18T00:00:00"/>
    <x v="160"/>
    <x v="589"/>
    <n v="456"/>
  </r>
  <r>
    <s v="stage_reached_300 (App)"/>
    <x v="4"/>
    <x v="17"/>
    <d v="2025-07-16T00:00:00"/>
    <x v="160"/>
    <x v="590"/>
    <n v="420"/>
  </r>
  <r>
    <s v="stage_reached_300 (App)"/>
    <x v="9"/>
    <x v="17"/>
    <d v="2025-07-30T00:00:00"/>
    <x v="47"/>
    <x v="591"/>
    <n v="1553"/>
  </r>
  <r>
    <s v="stage_reached_300 (App)"/>
    <x v="9"/>
    <x v="17"/>
    <d v="2025-07-31T00:00:00"/>
    <x v="47"/>
    <x v="592"/>
    <n v="1528"/>
  </r>
  <r>
    <s v="stage_reached_300 (App)"/>
    <x v="0"/>
    <x v="17"/>
    <d v="2025-07-30T00:00:00"/>
    <x v="47"/>
    <x v="593"/>
    <n v="1629"/>
  </r>
  <r>
    <s v="stage_reached_300 (App)"/>
    <x v="9"/>
    <x v="17"/>
    <d v="2025-07-30T00:00:00"/>
    <x v="47"/>
    <x v="594"/>
    <n v="1558"/>
  </r>
  <r>
    <s v="stage_reached_300 (App)"/>
    <x v="11"/>
    <x v="17"/>
    <d v="2025-07-31T00:00:00"/>
    <x v="47"/>
    <x v="595"/>
    <n v="1516"/>
  </r>
  <r>
    <s v="stage_reached_300 (App)"/>
    <x v="9"/>
    <x v="17"/>
    <d v="2025-07-31T00:00:00"/>
    <x v="47"/>
    <x v="596"/>
    <n v="1590"/>
  </r>
  <r>
    <s v="stage_reached_300 (App)"/>
    <x v="12"/>
    <x v="17"/>
    <d v="2025-07-26T00:00:00"/>
    <x v="47"/>
    <x v="597"/>
    <n v="1473"/>
  </r>
  <r>
    <s v="stage_reached_300 (App)"/>
    <x v="0"/>
    <x v="17"/>
    <d v="2025-07-28T00:00:00"/>
    <x v="47"/>
    <x v="598"/>
    <n v="1481"/>
  </r>
  <r>
    <s v="stage_reached_300 (App)"/>
    <x v="13"/>
    <x v="17"/>
    <d v="2025-07-28T00:00:00"/>
    <x v="47"/>
    <x v="599"/>
    <n v="1378"/>
  </r>
  <r>
    <s v="stage_reached_300 (App)"/>
    <x v="7"/>
    <x v="17"/>
    <d v="2025-07-29T00:00:00"/>
    <x v="47"/>
    <x v="600"/>
    <n v="1408"/>
  </r>
  <r>
    <s v="stage_reached_300 (App)"/>
    <x v="0"/>
    <x v="17"/>
    <d v="2025-07-28T00:00:00"/>
    <x v="47"/>
    <x v="601"/>
    <n v="1391"/>
  </r>
  <r>
    <s v="stage_reached_300 (App)"/>
    <x v="7"/>
    <x v="17"/>
    <d v="2025-07-28T00:00:00"/>
    <x v="47"/>
    <x v="602"/>
    <n v="1380"/>
  </r>
  <r>
    <s v="stage_reached_300 (App)"/>
    <x v="9"/>
    <x v="17"/>
    <d v="2025-07-26T00:00:00"/>
    <x v="47"/>
    <x v="603"/>
    <n v="1246"/>
  </r>
  <r>
    <s v="stage_reached_300 (App)"/>
    <x v="0"/>
    <x v="17"/>
    <d v="2025-07-27T00:00:00"/>
    <x v="47"/>
    <x v="604"/>
    <n v="1299"/>
  </r>
  <r>
    <s v="stage_reached_300 (App)"/>
    <x v="0"/>
    <x v="17"/>
    <d v="2025-07-27T00:00:00"/>
    <x v="47"/>
    <x v="605"/>
    <n v="1399"/>
  </r>
  <r>
    <s v="stage_reached_300 (App)"/>
    <x v="1"/>
    <x v="17"/>
    <d v="2025-07-25T00:00:00"/>
    <x v="47"/>
    <x v="606"/>
    <n v="1164"/>
  </r>
  <r>
    <s v="stage_reached_300 (App)"/>
    <x v="11"/>
    <x v="17"/>
    <d v="2025-07-26T00:00:00"/>
    <x v="47"/>
    <x v="607"/>
    <n v="1180"/>
  </r>
  <r>
    <s v="stage_reached_300 (App)"/>
    <x v="0"/>
    <x v="17"/>
    <d v="2025-07-25T00:00:00"/>
    <x v="47"/>
    <x v="608"/>
    <n v="1263"/>
  </r>
  <r>
    <s v="stage_reached_300 (App)"/>
    <x v="0"/>
    <x v="17"/>
    <d v="2025-07-25T00:00:00"/>
    <x v="47"/>
    <x v="609"/>
    <n v="1399"/>
  </r>
  <r>
    <s v="stage_reached_300 (App)"/>
    <x v="9"/>
    <x v="17"/>
    <d v="2025-07-25T00:00:00"/>
    <x v="47"/>
    <x v="610"/>
    <n v="1100"/>
  </r>
  <r>
    <s v="stage_reached_300 (App)"/>
    <x v="0"/>
    <x v="17"/>
    <d v="2025-07-25T00:00:00"/>
    <x v="47"/>
    <x v="611"/>
    <n v="1016"/>
  </r>
  <r>
    <s v="stage_reached_300 (App)"/>
    <x v="1"/>
    <x v="17"/>
    <d v="2025-07-24T00:00:00"/>
    <x v="47"/>
    <x v="612"/>
    <n v="1123"/>
  </r>
  <r>
    <s v="stage_reached_300 (App)"/>
    <x v="9"/>
    <x v="17"/>
    <d v="2025-07-24T00:00:00"/>
    <x v="47"/>
    <x v="613"/>
    <n v="924"/>
  </r>
  <r>
    <s v="stage_reached_300 (App)"/>
    <x v="9"/>
    <x v="17"/>
    <d v="2025-07-23T00:00:00"/>
    <x v="47"/>
    <x v="614"/>
    <n v="910"/>
  </r>
  <r>
    <s v="stage_reached_300 (App)"/>
    <x v="20"/>
    <x v="17"/>
    <d v="2025-07-23T00:00:00"/>
    <x v="47"/>
    <x v="615"/>
    <n v="799"/>
  </r>
  <r>
    <s v="stage_reached_300 (App)"/>
    <x v="9"/>
    <x v="17"/>
    <d v="2025-07-23T00:00:00"/>
    <x v="47"/>
    <x v="616"/>
    <n v="836"/>
  </r>
  <r>
    <s v="stage_reached_300 (App)"/>
    <x v="14"/>
    <x v="17"/>
    <d v="2025-07-23T00:00:00"/>
    <x v="47"/>
    <x v="617"/>
    <n v="830"/>
  </r>
  <r>
    <s v="stage_reached_300 (App)"/>
    <x v="0"/>
    <x v="17"/>
    <d v="2025-07-22T00:00:00"/>
    <x v="47"/>
    <x v="618"/>
    <n v="810"/>
  </r>
  <r>
    <s v="stage_reached_300 (App)"/>
    <x v="9"/>
    <x v="17"/>
    <d v="2025-07-21T00:00:00"/>
    <x v="47"/>
    <x v="619"/>
    <n v="768"/>
  </r>
  <r>
    <s v="stage_reached_300 (App)"/>
    <x v="0"/>
    <x v="17"/>
    <d v="2025-07-20T00:00:00"/>
    <x v="47"/>
    <x v="620"/>
    <n v="786"/>
  </r>
  <r>
    <s v="stage_reached_300 (App)"/>
    <x v="4"/>
    <x v="17"/>
    <d v="2025-07-20T00:00:00"/>
    <x v="47"/>
    <x v="621"/>
    <n v="746"/>
  </r>
  <r>
    <s v="stage_reached_300 (App)"/>
    <x v="9"/>
    <x v="17"/>
    <d v="2025-07-20T00:00:00"/>
    <x v="47"/>
    <x v="622"/>
    <n v="701"/>
  </r>
  <r>
    <s v="stage_reached_300 (App)"/>
    <x v="9"/>
    <x v="17"/>
    <d v="2025-07-21T00:00:00"/>
    <x v="47"/>
    <x v="623"/>
    <n v="684"/>
  </r>
  <r>
    <s v="stage_reached_300 (App)"/>
    <x v="9"/>
    <x v="17"/>
    <d v="2025-07-19T00:00:00"/>
    <x v="47"/>
    <x v="624"/>
    <n v="671"/>
  </r>
  <r>
    <s v="stage_reached_300 (App)"/>
    <x v="11"/>
    <x v="17"/>
    <d v="2025-07-20T00:00:00"/>
    <x v="47"/>
    <x v="625"/>
    <n v="677"/>
  </r>
  <r>
    <s v="stage_reached_300 (App)"/>
    <x v="7"/>
    <x v="17"/>
    <d v="2025-07-19T00:00:00"/>
    <x v="47"/>
    <x v="626"/>
    <n v="616"/>
  </r>
  <r>
    <s v="stage_reached_300 (App)"/>
    <x v="18"/>
    <x v="17"/>
    <d v="2025-07-20T00:00:00"/>
    <x v="47"/>
    <x v="627"/>
    <n v="616"/>
  </r>
  <r>
    <s v="stage_reached_300 (App)"/>
    <x v="7"/>
    <x v="17"/>
    <d v="2025-07-20T00:00:00"/>
    <x v="47"/>
    <x v="628"/>
    <n v="639"/>
  </r>
  <r>
    <s v="stage_reached_300 (App)"/>
    <x v="7"/>
    <x v="17"/>
    <d v="2025-07-20T00:00:00"/>
    <x v="47"/>
    <x v="629"/>
    <n v="563"/>
  </r>
  <r>
    <s v="stage_reached_300 (App)"/>
    <x v="1"/>
    <x v="17"/>
    <d v="2025-07-18T00:00:00"/>
    <x v="47"/>
    <x v="630"/>
    <n v="537"/>
  </r>
  <r>
    <s v="stage_reached_300 (App)"/>
    <x v="9"/>
    <x v="17"/>
    <d v="2025-07-19T00:00:00"/>
    <x v="47"/>
    <x v="631"/>
    <n v="533"/>
  </r>
  <r>
    <s v="stage_reached_300 (App)"/>
    <x v="11"/>
    <x v="17"/>
    <d v="2025-07-19T00:00:00"/>
    <x v="47"/>
    <x v="632"/>
    <n v="553"/>
  </r>
  <r>
    <s v="stage_reached_300 (App)"/>
    <x v="0"/>
    <x v="17"/>
    <d v="2025-07-18T00:00:00"/>
    <x v="47"/>
    <x v="633"/>
    <n v="506"/>
  </r>
  <r>
    <s v="stage_reached_300 (App)"/>
    <x v="7"/>
    <x v="17"/>
    <d v="2025-07-18T00:00:00"/>
    <x v="47"/>
    <x v="634"/>
    <n v="493"/>
  </r>
  <r>
    <s v="stage_reached_300 (App)"/>
    <x v="7"/>
    <x v="17"/>
    <d v="2025-07-18T00:00:00"/>
    <x v="47"/>
    <x v="635"/>
    <n v="501"/>
  </r>
  <r>
    <s v="stage_reached_300 (App)"/>
    <x v="4"/>
    <x v="17"/>
    <d v="2025-07-18T00:00:00"/>
    <x v="47"/>
    <x v="636"/>
    <n v="488"/>
  </r>
  <r>
    <s v="stage_reached_300 (App)"/>
    <x v="9"/>
    <x v="17"/>
    <d v="2025-07-18T00:00:00"/>
    <x v="47"/>
    <x v="637"/>
    <n v="495"/>
  </r>
  <r>
    <s v="stage_reached_300 (App)"/>
    <x v="7"/>
    <x v="17"/>
    <d v="2025-07-18T00:00:00"/>
    <x v="47"/>
    <x v="638"/>
    <n v="457"/>
  </r>
  <r>
    <s v="stage_reached_300 (App)"/>
    <x v="0"/>
    <x v="17"/>
    <d v="2025-07-18T00:00:00"/>
    <x v="47"/>
    <x v="639"/>
    <n v="472"/>
  </r>
  <r>
    <s v="stage_reached_300 (App)"/>
    <x v="9"/>
    <x v="17"/>
    <d v="2025-07-18T00:00:00"/>
    <x v="47"/>
    <x v="640"/>
    <n v="429"/>
  </r>
  <r>
    <s v="stage_reached_300 (App)"/>
    <x v="9"/>
    <x v="17"/>
    <d v="2025-07-17T00:00:00"/>
    <x v="47"/>
    <x v="641"/>
    <n v="419"/>
  </r>
  <r>
    <s v="stage_reached_300 (App)"/>
    <x v="9"/>
    <x v="17"/>
    <d v="2025-07-17T00:00:00"/>
    <x v="47"/>
    <x v="642"/>
    <n v="426"/>
  </r>
  <r>
    <s v="stage_reached_300 (App)"/>
    <x v="9"/>
    <x v="17"/>
    <d v="2025-07-16T00:00:00"/>
    <x v="47"/>
    <x v="643"/>
    <n v="350"/>
  </r>
  <r>
    <s v="stage_reached_300 (App)"/>
    <x v="19"/>
    <x v="17"/>
    <d v="2025-07-16T00:00:00"/>
    <x v="47"/>
    <x v="644"/>
    <n v="330"/>
  </r>
  <r>
    <s v="stage_reached_300 (App)"/>
    <x v="7"/>
    <x v="17"/>
    <d v="2025-07-19T00:00:00"/>
    <x v="120"/>
    <x v="645"/>
    <n v="620"/>
  </r>
  <r>
    <s v="stage_reached_300 (App)"/>
    <x v="12"/>
    <x v="17"/>
    <d v="2025-07-18T00:00:00"/>
    <x v="120"/>
    <x v="646"/>
    <n v="467"/>
  </r>
  <r>
    <s v="stage_reached_300 (App)"/>
    <x v="11"/>
    <x v="17"/>
    <d v="2025-07-16T00:00:00"/>
    <x v="120"/>
    <x v="647"/>
    <n v="377"/>
  </r>
  <r>
    <s v="stage_reached_300 (App)"/>
    <x v="0"/>
    <x v="18"/>
    <d v="2025-07-26T00:00:00"/>
    <x v="85"/>
    <x v="648"/>
    <n v="1264"/>
  </r>
  <r>
    <s v="stage_reached_300 (App)"/>
    <x v="7"/>
    <x v="18"/>
    <d v="2025-07-18T00:00:00"/>
    <x v="164"/>
    <x v="649"/>
    <n v="611"/>
  </r>
  <r>
    <s v="stage_reached_300 (App)"/>
    <x v="10"/>
    <x v="18"/>
    <d v="2025-07-24T00:00:00"/>
    <x v="87"/>
    <x v="650"/>
    <n v="1148"/>
  </r>
  <r>
    <s v="stage_reached_300 (App)"/>
    <x v="9"/>
    <x v="18"/>
    <d v="2025-07-19T00:00:00"/>
    <x v="171"/>
    <x v="651"/>
    <n v="1130"/>
  </r>
  <r>
    <s v="stage_reached_300 (App)"/>
    <x v="19"/>
    <x v="18"/>
    <d v="2025-07-17T00:00:00"/>
    <x v="115"/>
    <x v="652"/>
    <n v="524"/>
  </r>
  <r>
    <s v="stage_reached_300 (App)"/>
    <x v="4"/>
    <x v="18"/>
    <d v="2025-07-30T00:00:00"/>
    <x v="98"/>
    <x v="653"/>
    <n v="1553"/>
  </r>
  <r>
    <s v="stage_reached_300 (App)"/>
    <x v="2"/>
    <x v="18"/>
    <d v="2025-07-19T00:00:00"/>
    <x v="131"/>
    <x v="654"/>
    <n v="876"/>
  </r>
  <r>
    <s v="stage_reached_300 (App)"/>
    <x v="9"/>
    <x v="18"/>
    <d v="2025-07-18T00:00:00"/>
    <x v="116"/>
    <x v="655"/>
    <n v="696"/>
  </r>
  <r>
    <s v="stage_reached_300 (App)"/>
    <x v="13"/>
    <x v="18"/>
    <d v="2025-07-19T00:00:00"/>
    <x v="157"/>
    <x v="656"/>
    <n v="568"/>
  </r>
  <r>
    <s v="stage_reached_300 (App)"/>
    <x v="10"/>
    <x v="18"/>
    <d v="2025-07-23T00:00:00"/>
    <x v="100"/>
    <x v="657"/>
    <n v="960"/>
  </r>
  <r>
    <s v="stage_reached_300 (App)"/>
    <x v="7"/>
    <x v="18"/>
    <d v="2025-07-16T00:00:00"/>
    <x v="100"/>
    <x v="658"/>
    <n v="443"/>
  </r>
  <r>
    <s v="stage_reached_300 (App)"/>
    <x v="0"/>
    <x v="18"/>
    <d v="2025-07-27T00:00:00"/>
    <x v="132"/>
    <x v="659"/>
    <n v="1296"/>
  </r>
  <r>
    <s v="stage_reached_300 (App)"/>
    <x v="9"/>
    <x v="18"/>
    <d v="2025-07-20T00:00:00"/>
    <x v="101"/>
    <x v="660"/>
    <n v="758"/>
  </r>
  <r>
    <s v="stage_reached_300 (App)"/>
    <x v="13"/>
    <x v="18"/>
    <d v="2025-07-27T00:00:00"/>
    <x v="136"/>
    <x v="661"/>
    <n v="1348"/>
  </r>
  <r>
    <s v="stage_reached_300 (App)"/>
    <x v="9"/>
    <x v="18"/>
    <d v="2025-07-18T00:00:00"/>
    <x v="136"/>
    <x v="662"/>
    <n v="632"/>
  </r>
  <r>
    <s v="stage_reached_300 (App)"/>
    <x v="9"/>
    <x v="18"/>
    <d v="2025-07-16T00:00:00"/>
    <x v="136"/>
    <x v="663"/>
    <n v="432"/>
  </r>
  <r>
    <s v="stage_reached_300 (App)"/>
    <x v="9"/>
    <x v="18"/>
    <d v="2025-07-15T00:00:00"/>
    <x v="136"/>
    <x v="664"/>
    <n v="1834"/>
  </r>
  <r>
    <s v="stage_reached_300 (App)"/>
    <x v="9"/>
    <x v="18"/>
    <d v="2025-07-18T00:00:00"/>
    <x v="102"/>
    <x v="665"/>
    <n v="625"/>
  </r>
  <r>
    <s v="stage_reached_300 (App)"/>
    <x v="9"/>
    <x v="18"/>
    <d v="2025-07-16T00:00:00"/>
    <x v="137"/>
    <x v="666"/>
    <n v="451"/>
  </r>
  <r>
    <s v="stage_reached_300 (App)"/>
    <x v="9"/>
    <x v="18"/>
    <d v="2025-07-16T00:00:00"/>
    <x v="137"/>
    <x v="667"/>
    <n v="403"/>
  </r>
  <r>
    <s v="stage_reached_300 (App)"/>
    <x v="13"/>
    <x v="18"/>
    <d v="2025-07-19T00:00:00"/>
    <x v="138"/>
    <x v="668"/>
    <n v="610"/>
  </r>
  <r>
    <s v="stage_reached_300 (App)"/>
    <x v="9"/>
    <x v="18"/>
    <d v="2025-07-17T00:00:00"/>
    <x v="139"/>
    <x v="669"/>
    <n v="503"/>
  </r>
  <r>
    <s v="stage_reached_300 (App)"/>
    <x v="0"/>
    <x v="18"/>
    <d v="2025-07-27T00:00:00"/>
    <x v="104"/>
    <x v="670"/>
    <n v="1401"/>
  </r>
  <r>
    <s v="stage_reached_300 (App)"/>
    <x v="9"/>
    <x v="18"/>
    <d v="2025-07-22T00:00:00"/>
    <x v="104"/>
    <x v="671"/>
    <n v="914"/>
  </r>
  <r>
    <s v="stage_reached_300 (App)"/>
    <x v="9"/>
    <x v="18"/>
    <d v="2025-07-23T00:00:00"/>
    <x v="104"/>
    <x v="672"/>
    <n v="905"/>
  </r>
  <r>
    <s v="stage_reached_300 (App)"/>
    <x v="15"/>
    <x v="18"/>
    <d v="2025-07-18T00:00:00"/>
    <x v="104"/>
    <x v="673"/>
    <n v="709"/>
  </r>
  <r>
    <s v="stage_reached_300 (App)"/>
    <x v="14"/>
    <x v="18"/>
    <d v="2025-07-19T00:00:00"/>
    <x v="104"/>
    <x v="674"/>
    <n v="663"/>
  </r>
  <r>
    <s v="stage_reached_300 (App)"/>
    <x v="9"/>
    <x v="18"/>
    <d v="2025-07-18T00:00:00"/>
    <x v="104"/>
    <x v="675"/>
    <n v="529"/>
  </r>
  <r>
    <s v="stage_reached_300 (App)"/>
    <x v="11"/>
    <x v="18"/>
    <d v="2025-07-17T00:00:00"/>
    <x v="104"/>
    <x v="676"/>
    <n v="477"/>
  </r>
  <r>
    <s v="stage_reached_300 (App)"/>
    <x v="9"/>
    <x v="18"/>
    <d v="2025-07-15T00:00:00"/>
    <x v="104"/>
    <x v="677"/>
    <n v="1833"/>
  </r>
  <r>
    <s v="stage_reached_300 (App)"/>
    <x v="0"/>
    <x v="18"/>
    <d v="2025-07-27T00:00:00"/>
    <x v="140"/>
    <x v="678"/>
    <n v="1385"/>
  </r>
  <r>
    <s v="stage_reached_300 (App)"/>
    <x v="4"/>
    <x v="18"/>
    <d v="2025-07-22T00:00:00"/>
    <x v="105"/>
    <x v="679"/>
    <n v="1024"/>
  </r>
  <r>
    <s v="stage_reached_300 (App)"/>
    <x v="1"/>
    <x v="18"/>
    <d v="2025-07-17T00:00:00"/>
    <x v="105"/>
    <x v="680"/>
    <n v="429"/>
  </r>
  <r>
    <s v="stage_reached_300 (App)"/>
    <x v="9"/>
    <x v="18"/>
    <d v="2025-07-16T00:00:00"/>
    <x v="105"/>
    <x v="681"/>
    <n v="414"/>
  </r>
  <r>
    <s v="stage_reached_300 (App)"/>
    <x v="9"/>
    <x v="18"/>
    <d v="2025-07-21T00:00:00"/>
    <x v="174"/>
    <x v="682"/>
    <n v="770"/>
  </r>
  <r>
    <s v="stage_reached_300 (App)"/>
    <x v="4"/>
    <x v="18"/>
    <d v="2025-07-20T00:00:00"/>
    <x v="143"/>
    <x v="683"/>
    <n v="721"/>
  </r>
  <r>
    <s v="stage_reached_300 (App)"/>
    <x v="18"/>
    <x v="18"/>
    <d v="2025-07-23T00:00:00"/>
    <x v="89"/>
    <x v="684"/>
    <n v="879"/>
  </r>
  <r>
    <s v="stage_reached_300 (App)"/>
    <x v="9"/>
    <x v="18"/>
    <d v="2025-07-19T00:00:00"/>
    <x v="175"/>
    <x v="685"/>
    <n v="610"/>
  </r>
  <r>
    <s v="stage_reached_300 (App)"/>
    <x v="9"/>
    <x v="18"/>
    <d v="2025-07-16T00:00:00"/>
    <x v="118"/>
    <x v="686"/>
    <n v="410"/>
  </r>
  <r>
    <s v="stage_reached_300 (App)"/>
    <x v="4"/>
    <x v="18"/>
    <d v="2025-07-23T00:00:00"/>
    <x v="160"/>
    <x v="687"/>
    <n v="921"/>
  </r>
  <r>
    <s v="stage_reached_300 (App)"/>
    <x v="9"/>
    <x v="18"/>
    <d v="2025-07-19T00:00:00"/>
    <x v="160"/>
    <x v="688"/>
    <n v="592"/>
  </r>
  <r>
    <s v="stage_reached_300 (App)"/>
    <x v="9"/>
    <x v="18"/>
    <d v="2025-07-18T00:00:00"/>
    <x v="160"/>
    <x v="689"/>
    <n v="593"/>
  </r>
  <r>
    <s v="stage_reached_300 (App)"/>
    <x v="9"/>
    <x v="18"/>
    <d v="2025-07-16T00:00:00"/>
    <x v="160"/>
    <x v="690"/>
    <n v="413"/>
  </r>
  <r>
    <s v="stage_reached_300 (App)"/>
    <x v="0"/>
    <x v="18"/>
    <d v="2025-07-23T00:00:00"/>
    <x v="161"/>
    <x v="691"/>
    <n v="1008"/>
  </r>
  <r>
    <s v="stage_reached_300 (App)"/>
    <x v="4"/>
    <x v="18"/>
    <d v="2025-07-17T00:00:00"/>
    <x v="161"/>
    <x v="692"/>
    <n v="562"/>
  </r>
  <r>
    <s v="stage_reached_300 (App)"/>
    <x v="0"/>
    <x v="18"/>
    <d v="2025-07-30T00:00:00"/>
    <x v="47"/>
    <x v="693"/>
    <n v="1528"/>
  </r>
  <r>
    <s v="stage_reached_300 (App)"/>
    <x v="0"/>
    <x v="18"/>
    <d v="2025-07-29T00:00:00"/>
    <x v="47"/>
    <x v="694"/>
    <n v="1695"/>
  </r>
  <r>
    <s v="stage_reached_300 (App)"/>
    <x v="0"/>
    <x v="18"/>
    <d v="2025-07-29T00:00:00"/>
    <x v="47"/>
    <x v="695"/>
    <n v="1518"/>
  </r>
  <r>
    <s v="stage_reached_300 (App)"/>
    <x v="0"/>
    <x v="18"/>
    <d v="2025-07-30T00:00:00"/>
    <x v="47"/>
    <x v="696"/>
    <n v="1593"/>
  </r>
  <r>
    <s v="stage_reached_300 (App)"/>
    <x v="0"/>
    <x v="18"/>
    <d v="2025-07-29T00:00:00"/>
    <x v="47"/>
    <x v="697"/>
    <n v="1528"/>
  </r>
  <r>
    <s v="stage_reached_300 (App)"/>
    <x v="0"/>
    <x v="18"/>
    <d v="2025-07-29T00:00:00"/>
    <x v="47"/>
    <x v="698"/>
    <n v="1481"/>
  </r>
  <r>
    <s v="stage_reached_300 (App)"/>
    <x v="9"/>
    <x v="18"/>
    <d v="2025-07-29T00:00:00"/>
    <x v="47"/>
    <x v="699"/>
    <n v="1503"/>
  </r>
  <r>
    <s v="stage_reached_300 (App)"/>
    <x v="0"/>
    <x v="18"/>
    <d v="2025-07-28T00:00:00"/>
    <x v="47"/>
    <x v="700"/>
    <n v="1497"/>
  </r>
  <r>
    <s v="stage_reached_300 (App)"/>
    <x v="0"/>
    <x v="18"/>
    <d v="2025-07-27T00:00:00"/>
    <x v="47"/>
    <x v="701"/>
    <n v="1478"/>
  </r>
  <r>
    <s v="stage_reached_300 (App)"/>
    <x v="0"/>
    <x v="18"/>
    <d v="2025-07-28T00:00:00"/>
    <x v="47"/>
    <x v="702"/>
    <n v="1440"/>
  </r>
  <r>
    <s v="stage_reached_300 (App)"/>
    <x v="14"/>
    <x v="18"/>
    <d v="2025-07-28T00:00:00"/>
    <x v="47"/>
    <x v="703"/>
    <n v="1402"/>
  </r>
  <r>
    <s v="stage_reached_300 (App)"/>
    <x v="7"/>
    <x v="18"/>
    <d v="2025-07-28T00:00:00"/>
    <x v="47"/>
    <x v="704"/>
    <n v="1389"/>
  </r>
  <r>
    <s v="stage_reached_300 (App)"/>
    <x v="0"/>
    <x v="18"/>
    <d v="2025-07-28T00:00:00"/>
    <x v="47"/>
    <x v="705"/>
    <n v="1399"/>
  </r>
  <r>
    <s v="stage_reached_300 (App)"/>
    <x v="0"/>
    <x v="18"/>
    <d v="2025-07-28T00:00:00"/>
    <x v="47"/>
    <x v="706"/>
    <n v="1373"/>
  </r>
  <r>
    <s v="stage_reached_300 (App)"/>
    <x v="9"/>
    <x v="18"/>
    <d v="2025-07-25T00:00:00"/>
    <x v="47"/>
    <x v="707"/>
    <n v="1373"/>
  </r>
  <r>
    <s v="stage_reached_300 (App)"/>
    <x v="0"/>
    <x v="18"/>
    <d v="2025-07-26T00:00:00"/>
    <x v="47"/>
    <x v="708"/>
    <n v="1356"/>
  </r>
  <r>
    <s v="stage_reached_300 (App)"/>
    <x v="3"/>
    <x v="18"/>
    <d v="2025-07-27T00:00:00"/>
    <x v="47"/>
    <x v="709"/>
    <n v="1340"/>
  </r>
  <r>
    <s v="stage_reached_300 (App)"/>
    <x v="9"/>
    <x v="18"/>
    <d v="2025-07-26T00:00:00"/>
    <x v="47"/>
    <x v="710"/>
    <n v="1345"/>
  </r>
  <r>
    <s v="stage_reached_300 (App)"/>
    <x v="11"/>
    <x v="18"/>
    <d v="2025-07-26T00:00:00"/>
    <x v="47"/>
    <x v="711"/>
    <n v="1314"/>
  </r>
  <r>
    <s v="stage_reached_300 (App)"/>
    <x v="11"/>
    <x v="18"/>
    <d v="2025-07-27T00:00:00"/>
    <x v="47"/>
    <x v="712"/>
    <n v="1308"/>
  </r>
  <r>
    <s v="stage_reached_300 (App)"/>
    <x v="0"/>
    <x v="18"/>
    <d v="2025-07-26T00:00:00"/>
    <x v="47"/>
    <x v="713"/>
    <n v="1349"/>
  </r>
  <r>
    <s v="stage_reached_300 (App)"/>
    <x v="0"/>
    <x v="18"/>
    <d v="2025-07-26T00:00:00"/>
    <x v="47"/>
    <x v="714"/>
    <n v="1301"/>
  </r>
  <r>
    <s v="stage_reached_300 (App)"/>
    <x v="0"/>
    <x v="18"/>
    <d v="2025-07-27T00:00:00"/>
    <x v="47"/>
    <x v="715"/>
    <n v="1485"/>
  </r>
  <r>
    <s v="stage_reached_300 (App)"/>
    <x v="0"/>
    <x v="18"/>
    <d v="2025-07-27T00:00:00"/>
    <x v="47"/>
    <x v="716"/>
    <n v="1307"/>
  </r>
  <r>
    <s v="stage_reached_300 (App)"/>
    <x v="0"/>
    <x v="18"/>
    <d v="2025-07-26T00:00:00"/>
    <x v="47"/>
    <x v="717"/>
    <n v="1363"/>
  </r>
  <r>
    <s v="stage_reached_300 (App)"/>
    <x v="4"/>
    <x v="18"/>
    <d v="2025-07-26T00:00:00"/>
    <x v="47"/>
    <x v="718"/>
    <n v="1281"/>
  </r>
  <r>
    <s v="stage_reached_300 (App)"/>
    <x v="0"/>
    <x v="18"/>
    <d v="2025-07-25T00:00:00"/>
    <x v="47"/>
    <x v="719"/>
    <n v="1169"/>
  </r>
  <r>
    <s v="stage_reached_300 (App)"/>
    <x v="9"/>
    <x v="18"/>
    <d v="2025-07-25T00:00:00"/>
    <x v="47"/>
    <x v="720"/>
    <n v="1163"/>
  </r>
  <r>
    <s v="stage_reached_300 (App)"/>
    <x v="9"/>
    <x v="18"/>
    <d v="2025-07-25T00:00:00"/>
    <x v="47"/>
    <x v="721"/>
    <n v="1127"/>
  </r>
  <r>
    <s v="stage_reached_300 (App)"/>
    <x v="0"/>
    <x v="18"/>
    <d v="2025-07-23T00:00:00"/>
    <x v="47"/>
    <x v="722"/>
    <n v="1257"/>
  </r>
  <r>
    <s v="stage_reached_300 (App)"/>
    <x v="4"/>
    <x v="18"/>
    <d v="2025-07-25T00:00:00"/>
    <x v="47"/>
    <x v="723"/>
    <n v="1146"/>
  </r>
  <r>
    <s v="stage_reached_300 (App)"/>
    <x v="7"/>
    <x v="18"/>
    <d v="2025-07-25T00:00:00"/>
    <x v="47"/>
    <x v="724"/>
    <n v="1287"/>
  </r>
  <r>
    <s v="stage_reached_300 (App)"/>
    <x v="0"/>
    <x v="18"/>
    <d v="2025-07-23T00:00:00"/>
    <x v="47"/>
    <x v="725"/>
    <n v="1100"/>
  </r>
  <r>
    <s v="stage_reached_300 (App)"/>
    <x v="0"/>
    <x v="18"/>
    <d v="2025-07-23T00:00:00"/>
    <x v="47"/>
    <x v="726"/>
    <n v="1104"/>
  </r>
  <r>
    <s v="stage_reached_300 (App)"/>
    <x v="10"/>
    <x v="18"/>
    <d v="2025-07-24T00:00:00"/>
    <x v="47"/>
    <x v="727"/>
    <n v="1211"/>
  </r>
  <r>
    <s v="stage_reached_300 (App)"/>
    <x v="0"/>
    <x v="18"/>
    <d v="2025-07-23T00:00:00"/>
    <x v="47"/>
    <x v="728"/>
    <n v="1024"/>
  </r>
  <r>
    <s v="stage_reached_300 (App)"/>
    <x v="9"/>
    <x v="18"/>
    <d v="2025-07-23T00:00:00"/>
    <x v="47"/>
    <x v="729"/>
    <n v="997"/>
  </r>
  <r>
    <s v="stage_reached_300 (App)"/>
    <x v="9"/>
    <x v="18"/>
    <d v="2025-07-23T00:00:00"/>
    <x v="47"/>
    <x v="730"/>
    <n v="985"/>
  </r>
  <r>
    <s v="stage_reached_300 (App)"/>
    <x v="9"/>
    <x v="18"/>
    <d v="2025-07-24T00:00:00"/>
    <x v="47"/>
    <x v="731"/>
    <n v="980"/>
  </r>
  <r>
    <s v="stage_reached_300 (App)"/>
    <x v="11"/>
    <x v="18"/>
    <d v="2025-07-23T00:00:00"/>
    <x v="47"/>
    <x v="732"/>
    <n v="934"/>
  </r>
  <r>
    <s v="stage_reached_300 (App)"/>
    <x v="11"/>
    <x v="18"/>
    <d v="2025-07-23T00:00:00"/>
    <x v="47"/>
    <x v="733"/>
    <n v="905"/>
  </r>
  <r>
    <s v="stage_reached_300 (App)"/>
    <x v="0"/>
    <x v="18"/>
    <d v="2025-07-23T00:00:00"/>
    <x v="47"/>
    <x v="734"/>
    <n v="992"/>
  </r>
  <r>
    <s v="stage_reached_300 (App)"/>
    <x v="9"/>
    <x v="18"/>
    <d v="2025-07-21T00:00:00"/>
    <x v="47"/>
    <x v="735"/>
    <n v="870"/>
  </r>
  <r>
    <s v="stage_reached_300 (App)"/>
    <x v="9"/>
    <x v="18"/>
    <d v="2025-07-22T00:00:00"/>
    <x v="47"/>
    <x v="736"/>
    <n v="874"/>
  </r>
  <r>
    <s v="stage_reached_300 (App)"/>
    <x v="1"/>
    <x v="18"/>
    <d v="2025-07-22T00:00:00"/>
    <x v="47"/>
    <x v="737"/>
    <n v="886"/>
  </r>
  <r>
    <s v="stage_reached_300 (App)"/>
    <x v="13"/>
    <x v="18"/>
    <d v="2025-07-21T00:00:00"/>
    <x v="47"/>
    <x v="738"/>
    <n v="846"/>
  </r>
  <r>
    <s v="stage_reached_300 (App)"/>
    <x v="0"/>
    <x v="18"/>
    <d v="2025-07-20T00:00:00"/>
    <x v="47"/>
    <x v="739"/>
    <n v="801"/>
  </r>
  <r>
    <s v="stage_reached_300 (App)"/>
    <x v="9"/>
    <x v="18"/>
    <d v="2025-07-21T00:00:00"/>
    <x v="47"/>
    <x v="740"/>
    <n v="793"/>
  </r>
  <r>
    <s v="stage_reached_300 (App)"/>
    <x v="9"/>
    <x v="18"/>
    <d v="2025-07-21T00:00:00"/>
    <x v="47"/>
    <x v="741"/>
    <n v="771"/>
  </r>
  <r>
    <s v="stage_reached_300 (App)"/>
    <x v="7"/>
    <x v="18"/>
    <d v="2025-07-21T00:00:00"/>
    <x v="47"/>
    <x v="742"/>
    <n v="792"/>
  </r>
  <r>
    <s v="stage_reached_300 (App)"/>
    <x v="21"/>
    <x v="18"/>
    <d v="2025-07-20T00:00:00"/>
    <x v="47"/>
    <x v="743"/>
    <n v="811"/>
  </r>
  <r>
    <s v="stage_reached_300 (App)"/>
    <x v="17"/>
    <x v="18"/>
    <d v="2025-07-20T00:00:00"/>
    <x v="47"/>
    <x v="744"/>
    <n v="808"/>
  </r>
  <r>
    <s v="stage_reached_300 (App)"/>
    <x v="9"/>
    <x v="18"/>
    <d v="2025-07-20T00:00:00"/>
    <x v="47"/>
    <x v="745"/>
    <n v="786"/>
  </r>
  <r>
    <s v="stage_reached_300 (App)"/>
    <x v="14"/>
    <x v="18"/>
    <d v="2025-07-18T00:00:00"/>
    <x v="47"/>
    <x v="746"/>
    <n v="756"/>
  </r>
  <r>
    <s v="stage_reached_300 (App)"/>
    <x v="7"/>
    <x v="18"/>
    <d v="2025-07-19T00:00:00"/>
    <x v="47"/>
    <x v="747"/>
    <n v="714"/>
  </r>
  <r>
    <s v="stage_reached_300 (App)"/>
    <x v="9"/>
    <x v="18"/>
    <d v="2025-07-19T00:00:00"/>
    <x v="47"/>
    <x v="748"/>
    <n v="754"/>
  </r>
  <r>
    <s v="stage_reached_300 (App)"/>
    <x v="9"/>
    <x v="18"/>
    <d v="2025-07-20T00:00:00"/>
    <x v="47"/>
    <x v="749"/>
    <n v="727"/>
  </r>
  <r>
    <s v="stage_reached_300 (App)"/>
    <x v="11"/>
    <x v="18"/>
    <d v="2025-07-16T00:00:00"/>
    <x v="47"/>
    <x v="750"/>
    <n v="692"/>
  </r>
  <r>
    <s v="stage_reached_300 (App)"/>
    <x v="13"/>
    <x v="18"/>
    <d v="2025-07-19T00:00:00"/>
    <x v="47"/>
    <x v="751"/>
    <n v="745"/>
  </r>
  <r>
    <s v="stage_reached_300 (App)"/>
    <x v="9"/>
    <x v="18"/>
    <d v="2025-07-19T00:00:00"/>
    <x v="47"/>
    <x v="752"/>
    <n v="711"/>
  </r>
  <r>
    <s v="stage_reached_300 (App)"/>
    <x v="9"/>
    <x v="18"/>
    <d v="2025-07-19T00:00:00"/>
    <x v="47"/>
    <x v="753"/>
    <n v="704"/>
  </r>
  <r>
    <s v="stage_reached_300 (App)"/>
    <x v="9"/>
    <x v="18"/>
    <d v="2025-07-20T00:00:00"/>
    <x v="47"/>
    <x v="754"/>
    <n v="699"/>
  </r>
  <r>
    <s v="stage_reached_300 (App)"/>
    <x v="9"/>
    <x v="18"/>
    <d v="2025-07-20T00:00:00"/>
    <x v="47"/>
    <x v="755"/>
    <n v="660"/>
  </r>
  <r>
    <s v="stage_reached_300 (App)"/>
    <x v="18"/>
    <x v="18"/>
    <d v="2025-07-18T00:00:00"/>
    <x v="47"/>
    <x v="756"/>
    <n v="687"/>
  </r>
  <r>
    <s v="stage_reached_300 (App)"/>
    <x v="13"/>
    <x v="18"/>
    <d v="2025-07-19T00:00:00"/>
    <x v="47"/>
    <x v="757"/>
    <n v="586"/>
  </r>
  <r>
    <s v="stage_reached_300 (App)"/>
    <x v="9"/>
    <x v="18"/>
    <d v="2025-07-19T00:00:00"/>
    <x v="47"/>
    <x v="758"/>
    <n v="607"/>
  </r>
  <r>
    <s v="stage_reached_300 (App)"/>
    <x v="9"/>
    <x v="18"/>
    <d v="2025-07-18T00:00:00"/>
    <x v="47"/>
    <x v="759"/>
    <n v="587"/>
  </r>
  <r>
    <s v="stage_reached_300 (App)"/>
    <x v="9"/>
    <x v="18"/>
    <d v="2025-07-19T00:00:00"/>
    <x v="47"/>
    <x v="760"/>
    <n v="643"/>
  </r>
  <r>
    <s v="stage_reached_300 (App)"/>
    <x v="7"/>
    <x v="18"/>
    <d v="2025-07-16T00:00:00"/>
    <x v="47"/>
    <x v="761"/>
    <n v="585"/>
  </r>
  <r>
    <s v="stage_reached_300 (App)"/>
    <x v="9"/>
    <x v="18"/>
    <d v="2025-07-18T00:00:00"/>
    <x v="47"/>
    <x v="762"/>
    <n v="559"/>
  </r>
  <r>
    <s v="stage_reached_300 (App)"/>
    <x v="7"/>
    <x v="18"/>
    <d v="2025-07-18T00:00:00"/>
    <x v="47"/>
    <x v="763"/>
    <n v="537"/>
  </r>
  <r>
    <s v="stage_reached_300 (App)"/>
    <x v="10"/>
    <x v="18"/>
    <d v="2025-07-18T00:00:00"/>
    <x v="47"/>
    <x v="764"/>
    <n v="541"/>
  </r>
  <r>
    <s v="stage_reached_300 (App)"/>
    <x v="7"/>
    <x v="18"/>
    <d v="2025-07-18T00:00:00"/>
    <x v="47"/>
    <x v="765"/>
    <n v="521"/>
  </r>
  <r>
    <s v="stage_reached_300 (App)"/>
    <x v="13"/>
    <x v="18"/>
    <d v="2025-07-18T00:00:00"/>
    <x v="47"/>
    <x v="766"/>
    <n v="512"/>
  </r>
  <r>
    <s v="stage_reached_300 (App)"/>
    <x v="9"/>
    <x v="18"/>
    <d v="2025-07-18T00:00:00"/>
    <x v="47"/>
    <x v="767"/>
    <n v="536"/>
  </r>
  <r>
    <s v="stage_reached_300 (App)"/>
    <x v="9"/>
    <x v="18"/>
    <d v="2025-07-17T00:00:00"/>
    <x v="47"/>
    <x v="768"/>
    <n v="517"/>
  </r>
  <r>
    <s v="stage_reached_300 (App)"/>
    <x v="9"/>
    <x v="18"/>
    <d v="2025-07-17T00:00:00"/>
    <x v="47"/>
    <x v="769"/>
    <n v="476"/>
  </r>
  <r>
    <s v="stage_reached_300 (App)"/>
    <x v="0"/>
    <x v="18"/>
    <d v="2025-07-17T00:00:00"/>
    <x v="47"/>
    <x v="770"/>
    <n v="462"/>
  </r>
  <r>
    <s v="stage_reached_300 (App)"/>
    <x v="9"/>
    <x v="18"/>
    <d v="2025-07-16T00:00:00"/>
    <x v="47"/>
    <x v="771"/>
    <n v="443"/>
  </r>
  <r>
    <s v="stage_reached_300 (App)"/>
    <x v="0"/>
    <x v="18"/>
    <d v="2025-07-16T00:00:00"/>
    <x v="47"/>
    <x v="772"/>
    <n v="407"/>
  </r>
  <r>
    <s v="stage_reached_300 (App)"/>
    <x v="0"/>
    <x v="18"/>
    <d v="2025-07-16T00:00:00"/>
    <x v="47"/>
    <x v="773"/>
    <n v="468"/>
  </r>
  <r>
    <s v="stage_reached_300 (App)"/>
    <x v="7"/>
    <x v="18"/>
    <d v="2025-07-16T00:00:00"/>
    <x v="47"/>
    <x v="774"/>
    <n v="387"/>
  </r>
  <r>
    <s v="stage_reached_300 (App)"/>
    <x v="9"/>
    <x v="18"/>
    <d v="2025-07-16T00:00:00"/>
    <x v="47"/>
    <x v="775"/>
    <n v="391"/>
  </r>
  <r>
    <s v="stage_reached_300 (App)"/>
    <x v="19"/>
    <x v="18"/>
    <d v="2025-07-16T00:00:00"/>
    <x v="47"/>
    <x v="776"/>
    <n v="383"/>
  </r>
  <r>
    <s v="stage_reached_300 (App)"/>
    <x v="19"/>
    <x v="18"/>
    <d v="2025-07-15T00:00:00"/>
    <x v="47"/>
    <x v="777"/>
    <n v="1888"/>
  </r>
  <r>
    <s v="stage_reached_300 (App)"/>
    <x v="4"/>
    <x v="18"/>
    <d v="2025-07-27T00:00:00"/>
    <x v="120"/>
    <x v="778"/>
    <n v="1334"/>
  </r>
  <r>
    <s v="stage_reached_300 (App)"/>
    <x v="0"/>
    <x v="18"/>
    <d v="2025-07-23T00:00:00"/>
    <x v="120"/>
    <x v="779"/>
    <n v="974"/>
  </r>
  <r>
    <s v="stage_reached_300 (App)"/>
    <x v="17"/>
    <x v="18"/>
    <d v="2025-07-20T00:00:00"/>
    <x v="120"/>
    <x v="780"/>
    <n v="673"/>
  </r>
  <r>
    <s v="stage_reached_300 (App)"/>
    <x v="21"/>
    <x v="18"/>
    <d v="2025-07-19T00:00:00"/>
    <x v="120"/>
    <x v="781"/>
    <n v="569"/>
  </r>
  <r>
    <s v="stage_reached_300 (App)"/>
    <x v="14"/>
    <x v="18"/>
    <d v="2025-07-18T00:00:00"/>
    <x v="120"/>
    <x v="782"/>
    <n v="544"/>
  </r>
  <r>
    <s v="stage_reached_300 (App)"/>
    <x v="9"/>
    <x v="18"/>
    <d v="2025-07-17T00:00:00"/>
    <x v="120"/>
    <x v="783"/>
    <n v="452"/>
  </r>
  <r>
    <s v="stage_reached_300 (App)"/>
    <x v="9"/>
    <x v="18"/>
    <d v="2025-07-17T00:00:00"/>
    <x v="120"/>
    <x v="784"/>
    <n v="438"/>
  </r>
  <r>
    <s v="stage_reached_300 (App)"/>
    <x v="1"/>
    <x v="19"/>
    <d v="2025-07-17T00:00:00"/>
    <x v="77"/>
    <x v="785"/>
    <n v="547"/>
  </r>
  <r>
    <s v="stage_reached_300 (App)"/>
    <x v="3"/>
    <x v="19"/>
    <d v="2025-07-24T00:00:00"/>
    <x v="181"/>
    <x v="786"/>
    <n v="1273"/>
  </r>
  <r>
    <s v="stage_reached_300 (App)"/>
    <x v="15"/>
    <x v="19"/>
    <d v="2025-07-24T00:00:00"/>
    <x v="57"/>
    <x v="787"/>
    <n v="1180"/>
  </r>
  <r>
    <s v="stage_reached_300 (App)"/>
    <x v="0"/>
    <x v="19"/>
    <d v="2025-07-27T00:00:00"/>
    <x v="113"/>
    <x v="788"/>
    <n v="1534"/>
  </r>
  <r>
    <s v="stage_reached_300 (App)"/>
    <x v="19"/>
    <x v="19"/>
    <d v="2025-07-16T00:00:00"/>
    <x v="97"/>
    <x v="789"/>
    <n v="484"/>
  </r>
  <r>
    <s v="stage_reached_300 (App)"/>
    <x v="9"/>
    <x v="19"/>
    <d v="2025-07-26T00:00:00"/>
    <x v="115"/>
    <x v="790"/>
    <n v="1323"/>
  </r>
  <r>
    <s v="stage_reached_300 (App)"/>
    <x v="9"/>
    <x v="19"/>
    <d v="2025-07-19T00:00:00"/>
    <x v="115"/>
    <x v="791"/>
    <n v="660"/>
  </r>
  <r>
    <s v="stage_reached_300 (App)"/>
    <x v="11"/>
    <x v="19"/>
    <d v="2025-07-19T00:00:00"/>
    <x v="131"/>
    <x v="792"/>
    <n v="1037"/>
  </r>
  <r>
    <s v="stage_reached_300 (App)"/>
    <x v="9"/>
    <x v="19"/>
    <d v="2025-07-23T00:00:00"/>
    <x v="156"/>
    <x v="793"/>
    <n v="1142"/>
  </r>
  <r>
    <s v="stage_reached_300 (App)"/>
    <x v="0"/>
    <x v="19"/>
    <d v="2025-07-22T00:00:00"/>
    <x v="182"/>
    <x v="794"/>
    <n v="1324"/>
  </r>
  <r>
    <s v="stage_reached_300 (App)"/>
    <x v="0"/>
    <x v="19"/>
    <d v="2025-07-20T00:00:00"/>
    <x v="88"/>
    <x v="795"/>
    <n v="1645"/>
  </r>
  <r>
    <s v="stage_reached_300 (App)"/>
    <x v="9"/>
    <x v="19"/>
    <d v="2025-07-18T00:00:00"/>
    <x v="100"/>
    <x v="796"/>
    <n v="740"/>
  </r>
  <r>
    <s v="stage_reached_300 (App)"/>
    <x v="9"/>
    <x v="19"/>
    <d v="2025-07-24T00:00:00"/>
    <x v="134"/>
    <x v="797"/>
    <n v="1151"/>
  </r>
  <r>
    <s v="stage_reached_300 (App)"/>
    <x v="0"/>
    <x v="19"/>
    <d v="2025-07-18T00:00:00"/>
    <x v="135"/>
    <x v="798"/>
    <n v="704"/>
  </r>
  <r>
    <s v="stage_reached_300 (App)"/>
    <x v="0"/>
    <x v="19"/>
    <d v="2025-07-19T00:00:00"/>
    <x v="136"/>
    <x v="799"/>
    <n v="1025"/>
  </r>
  <r>
    <s v="stage_reached_300 (App)"/>
    <x v="0"/>
    <x v="19"/>
    <d v="2025-07-19T00:00:00"/>
    <x v="136"/>
    <x v="800"/>
    <n v="692"/>
  </r>
  <r>
    <s v="stage_reached_300 (App)"/>
    <x v="19"/>
    <x v="19"/>
    <d v="2025-07-18T00:00:00"/>
    <x v="136"/>
    <x v="801"/>
    <n v="637"/>
  </r>
  <r>
    <s v="stage_reached_300 (App)"/>
    <x v="0"/>
    <x v="19"/>
    <d v="2025-07-21T00:00:00"/>
    <x v="168"/>
    <x v="802"/>
    <n v="1159"/>
  </r>
  <r>
    <s v="stage_reached_300 (App)"/>
    <x v="9"/>
    <x v="19"/>
    <d v="2025-07-18T00:00:00"/>
    <x v="137"/>
    <x v="803"/>
    <n v="610"/>
  </r>
  <r>
    <s v="stage_reached_300 (App)"/>
    <x v="4"/>
    <x v="19"/>
    <d v="2025-07-25T00:00:00"/>
    <x v="104"/>
    <x v="804"/>
    <n v="1281"/>
  </r>
  <r>
    <s v="stage_reached_300 (App)"/>
    <x v="19"/>
    <x v="19"/>
    <d v="2025-07-20T00:00:00"/>
    <x v="104"/>
    <x v="805"/>
    <n v="821"/>
  </r>
  <r>
    <s v="stage_reached_300 (App)"/>
    <x v="9"/>
    <x v="19"/>
    <d v="2025-07-25T00:00:00"/>
    <x v="105"/>
    <x v="806"/>
    <n v="1256"/>
  </r>
  <r>
    <s v="stage_reached_300 (App)"/>
    <x v="9"/>
    <x v="19"/>
    <d v="2025-07-20T00:00:00"/>
    <x v="105"/>
    <x v="807"/>
    <n v="808"/>
  </r>
  <r>
    <s v="stage_reached_300 (App)"/>
    <x v="9"/>
    <x v="19"/>
    <d v="2025-07-18T00:00:00"/>
    <x v="105"/>
    <x v="808"/>
    <n v="635"/>
  </r>
  <r>
    <s v="stage_reached_300 (App)"/>
    <x v="14"/>
    <x v="19"/>
    <d v="2025-07-16T00:00:00"/>
    <x v="105"/>
    <x v="809"/>
    <n v="694"/>
  </r>
  <r>
    <s v="stage_reached_300 (App)"/>
    <x v="0"/>
    <x v="19"/>
    <d v="2025-07-19T00:00:00"/>
    <x v="159"/>
    <x v="810"/>
    <n v="795"/>
  </r>
  <r>
    <s v="stage_reached_300 (App)"/>
    <x v="17"/>
    <x v="19"/>
    <d v="2025-07-21T00:00:00"/>
    <x v="141"/>
    <x v="811"/>
    <n v="1523"/>
  </r>
  <r>
    <s v="stage_reached_300 (App)"/>
    <x v="0"/>
    <x v="19"/>
    <d v="2025-07-25T00:00:00"/>
    <x v="106"/>
    <x v="812"/>
    <n v="1239"/>
  </r>
  <r>
    <s v="stage_reached_300 (App)"/>
    <x v="9"/>
    <x v="19"/>
    <d v="2025-07-17T00:00:00"/>
    <x v="106"/>
    <x v="813"/>
    <n v="580"/>
  </r>
  <r>
    <s v="stage_reached_300 (App)"/>
    <x v="7"/>
    <x v="19"/>
    <d v="2025-07-22T00:00:00"/>
    <x v="107"/>
    <x v="814"/>
    <n v="1036"/>
  </r>
  <r>
    <s v="stage_reached_300 (App)"/>
    <x v="15"/>
    <x v="19"/>
    <d v="2025-07-22T00:00:00"/>
    <x v="89"/>
    <x v="815"/>
    <n v="954"/>
  </r>
  <r>
    <s v="stage_reached_300 (App)"/>
    <x v="7"/>
    <x v="19"/>
    <d v="2025-07-17T00:00:00"/>
    <x v="89"/>
    <x v="816"/>
    <n v="919"/>
  </r>
  <r>
    <s v="stage_reached_300 (App)"/>
    <x v="14"/>
    <x v="19"/>
    <d v="2025-07-16T00:00:00"/>
    <x v="89"/>
    <x v="817"/>
    <n v="523"/>
  </r>
  <r>
    <s v="stage_reached_300 (App)"/>
    <x v="0"/>
    <x v="19"/>
    <d v="2025-07-26T00:00:00"/>
    <x v="160"/>
    <x v="818"/>
    <n v="1863"/>
  </r>
  <r>
    <s v="stage_reached_300 (App)"/>
    <x v="9"/>
    <x v="19"/>
    <d v="2025-07-24T00:00:00"/>
    <x v="160"/>
    <x v="819"/>
    <n v="1191"/>
  </r>
  <r>
    <s v="stage_reached_300 (App)"/>
    <x v="24"/>
    <x v="19"/>
    <d v="2025-07-18T00:00:00"/>
    <x v="160"/>
    <x v="820"/>
    <n v="615"/>
  </r>
  <r>
    <s v="stage_reached_300 (App)"/>
    <x v="0"/>
    <x v="19"/>
    <d v="2025-07-24T00:00:00"/>
    <x v="161"/>
    <x v="821"/>
    <n v="1510"/>
  </r>
  <r>
    <s v="stage_reached_300 (App)"/>
    <x v="0"/>
    <x v="19"/>
    <d v="2025-07-29T00:00:00"/>
    <x v="47"/>
    <x v="822"/>
    <n v="1641"/>
  </r>
  <r>
    <s v="stage_reached_300 (App)"/>
    <x v="0"/>
    <x v="19"/>
    <d v="2025-07-29T00:00:00"/>
    <x v="47"/>
    <x v="823"/>
    <n v="1544"/>
  </r>
  <r>
    <s v="stage_reached_300 (App)"/>
    <x v="9"/>
    <x v="19"/>
    <d v="2025-07-27T00:00:00"/>
    <x v="47"/>
    <x v="824"/>
    <n v="1490"/>
  </r>
  <r>
    <s v="stage_reached_300 (App)"/>
    <x v="9"/>
    <x v="19"/>
    <d v="2025-07-26T00:00:00"/>
    <x v="47"/>
    <x v="825"/>
    <n v="1557"/>
  </r>
  <r>
    <s v="stage_reached_300 (App)"/>
    <x v="5"/>
    <x v="19"/>
    <d v="2025-07-27T00:00:00"/>
    <x v="47"/>
    <x v="826"/>
    <n v="1470"/>
  </r>
  <r>
    <s v="stage_reached_300 (App)"/>
    <x v="19"/>
    <x v="19"/>
    <d v="2025-07-26T00:00:00"/>
    <x v="47"/>
    <x v="827"/>
    <n v="1383"/>
  </r>
  <r>
    <s v="stage_reached_300 (App)"/>
    <x v="7"/>
    <x v="19"/>
    <d v="2025-07-27T00:00:00"/>
    <x v="47"/>
    <x v="828"/>
    <n v="1413"/>
  </r>
  <r>
    <s v="stage_reached_300 (App)"/>
    <x v="0"/>
    <x v="19"/>
    <d v="2025-07-24T00:00:00"/>
    <x v="47"/>
    <x v="829"/>
    <n v="1501"/>
  </r>
  <r>
    <s v="stage_reached_300 (App)"/>
    <x v="21"/>
    <x v="19"/>
    <d v="2025-07-27T00:00:00"/>
    <x v="47"/>
    <x v="830"/>
    <n v="1373"/>
  </r>
  <r>
    <s v="stage_reached_300 (App)"/>
    <x v="0"/>
    <x v="19"/>
    <d v="2025-07-26T00:00:00"/>
    <x v="47"/>
    <x v="831"/>
    <n v="1359"/>
  </r>
  <r>
    <s v="stage_reached_300 (App)"/>
    <x v="9"/>
    <x v="19"/>
    <d v="2025-07-25T00:00:00"/>
    <x v="47"/>
    <x v="832"/>
    <n v="1356"/>
  </r>
  <r>
    <s v="stage_reached_300 (App)"/>
    <x v="0"/>
    <x v="19"/>
    <d v="2025-07-26T00:00:00"/>
    <x v="47"/>
    <x v="833"/>
    <n v="1292"/>
  </r>
  <r>
    <s v="stage_reached_300 (App)"/>
    <x v="1"/>
    <x v="19"/>
    <d v="2025-07-25T00:00:00"/>
    <x v="47"/>
    <x v="834"/>
    <n v="1361"/>
  </r>
  <r>
    <s v="stage_reached_300 (App)"/>
    <x v="0"/>
    <x v="19"/>
    <d v="2025-07-26T00:00:00"/>
    <x v="47"/>
    <x v="835"/>
    <n v="1359"/>
  </r>
  <r>
    <s v="stage_reached_300 (App)"/>
    <x v="9"/>
    <x v="19"/>
    <d v="2025-07-26T00:00:00"/>
    <x v="47"/>
    <x v="836"/>
    <n v="1277"/>
  </r>
  <r>
    <s v="stage_reached_300 (App)"/>
    <x v="3"/>
    <x v="19"/>
    <d v="2025-07-26T00:00:00"/>
    <x v="47"/>
    <x v="837"/>
    <n v="1266"/>
  </r>
  <r>
    <s v="stage_reached_300 (App)"/>
    <x v="0"/>
    <x v="19"/>
    <d v="2025-07-25T00:00:00"/>
    <x v="47"/>
    <x v="838"/>
    <n v="1286"/>
  </r>
  <r>
    <s v="stage_reached_300 (App)"/>
    <x v="4"/>
    <x v="19"/>
    <d v="2025-07-25T00:00:00"/>
    <x v="47"/>
    <x v="839"/>
    <n v="1264"/>
  </r>
  <r>
    <s v="stage_reached_300 (App)"/>
    <x v="0"/>
    <x v="19"/>
    <d v="2025-07-24T00:00:00"/>
    <x v="47"/>
    <x v="840"/>
    <n v="1260"/>
  </r>
  <r>
    <s v="stage_reached_300 (App)"/>
    <x v="5"/>
    <x v="19"/>
    <d v="2025-07-24T00:00:00"/>
    <x v="47"/>
    <x v="841"/>
    <n v="1221"/>
  </r>
  <r>
    <s v="stage_reached_300 (App)"/>
    <x v="0"/>
    <x v="19"/>
    <d v="2025-07-24T00:00:00"/>
    <x v="47"/>
    <x v="842"/>
    <n v="1259"/>
  </r>
  <r>
    <s v="stage_reached_300 (App)"/>
    <x v="4"/>
    <x v="19"/>
    <d v="2025-07-24T00:00:00"/>
    <x v="47"/>
    <x v="843"/>
    <n v="1185"/>
  </r>
  <r>
    <s v="stage_reached_300 (App)"/>
    <x v="3"/>
    <x v="19"/>
    <d v="2025-07-23T00:00:00"/>
    <x v="47"/>
    <x v="844"/>
    <n v="1225"/>
  </r>
  <r>
    <s v="stage_reached_300 (App)"/>
    <x v="9"/>
    <x v="19"/>
    <d v="2025-07-24T00:00:00"/>
    <x v="47"/>
    <x v="845"/>
    <n v="1158"/>
  </r>
  <r>
    <s v="stage_reached_300 (App)"/>
    <x v="9"/>
    <x v="19"/>
    <d v="2025-07-22T00:00:00"/>
    <x v="47"/>
    <x v="846"/>
    <n v="1156"/>
  </r>
  <r>
    <s v="stage_reached_300 (App)"/>
    <x v="2"/>
    <x v="19"/>
    <d v="2025-07-20T00:00:00"/>
    <x v="47"/>
    <x v="847"/>
    <n v="1049"/>
  </r>
  <r>
    <s v="stage_reached_300 (App)"/>
    <x v="0"/>
    <x v="19"/>
    <d v="2025-07-23T00:00:00"/>
    <x v="47"/>
    <x v="848"/>
    <n v="1118"/>
  </r>
  <r>
    <s v="stage_reached_300 (App)"/>
    <x v="0"/>
    <x v="19"/>
    <d v="2025-07-21T00:00:00"/>
    <x v="47"/>
    <x v="849"/>
    <n v="1241"/>
  </r>
  <r>
    <s v="stage_reached_300 (App)"/>
    <x v="4"/>
    <x v="19"/>
    <d v="2025-07-22T00:00:00"/>
    <x v="47"/>
    <x v="850"/>
    <n v="1069"/>
  </r>
  <r>
    <s v="stage_reached_300 (App)"/>
    <x v="0"/>
    <x v="19"/>
    <d v="2025-07-23T00:00:00"/>
    <x v="47"/>
    <x v="851"/>
    <n v="1094"/>
  </r>
  <r>
    <s v="stage_reached_300 (App)"/>
    <x v="9"/>
    <x v="19"/>
    <d v="2025-07-22T00:00:00"/>
    <x v="47"/>
    <x v="852"/>
    <n v="995"/>
  </r>
  <r>
    <s v="stage_reached_300 (App)"/>
    <x v="15"/>
    <x v="19"/>
    <d v="2025-07-22T00:00:00"/>
    <x v="47"/>
    <x v="853"/>
    <n v="1147"/>
  </r>
  <r>
    <s v="stage_reached_300 (App)"/>
    <x v="2"/>
    <x v="19"/>
    <d v="2025-07-22T00:00:00"/>
    <x v="47"/>
    <x v="854"/>
    <n v="1051"/>
  </r>
  <r>
    <s v="stage_reached_300 (App)"/>
    <x v="0"/>
    <x v="19"/>
    <d v="2025-07-20T00:00:00"/>
    <x v="47"/>
    <x v="855"/>
    <n v="993"/>
  </r>
  <r>
    <s v="stage_reached_300 (App)"/>
    <x v="9"/>
    <x v="19"/>
    <d v="2025-07-22T00:00:00"/>
    <x v="47"/>
    <x v="856"/>
    <n v="954"/>
  </r>
  <r>
    <s v="stage_reached_300 (App)"/>
    <x v="14"/>
    <x v="19"/>
    <d v="2025-07-20T00:00:00"/>
    <x v="47"/>
    <x v="857"/>
    <n v="865"/>
  </r>
  <r>
    <s v="stage_reached_300 (App)"/>
    <x v="9"/>
    <x v="19"/>
    <d v="2025-07-21T00:00:00"/>
    <x v="47"/>
    <x v="858"/>
    <n v="915"/>
  </r>
  <r>
    <s v="stage_reached_300 (App)"/>
    <x v="9"/>
    <x v="19"/>
    <d v="2025-07-21T00:00:00"/>
    <x v="47"/>
    <x v="859"/>
    <n v="849"/>
  </r>
  <r>
    <s v="stage_reached_300 (App)"/>
    <x v="5"/>
    <x v="19"/>
    <d v="2025-07-20T00:00:00"/>
    <x v="47"/>
    <x v="860"/>
    <n v="897"/>
  </r>
  <r>
    <s v="stage_reached_300 (App)"/>
    <x v="9"/>
    <x v="19"/>
    <d v="2025-07-19T00:00:00"/>
    <x v="47"/>
    <x v="861"/>
    <n v="800"/>
  </r>
  <r>
    <s v="stage_reached_300 (App)"/>
    <x v="0"/>
    <x v="19"/>
    <d v="2025-07-18T00:00:00"/>
    <x v="47"/>
    <x v="862"/>
    <n v="789"/>
  </r>
  <r>
    <s v="stage_reached_300 (App)"/>
    <x v="9"/>
    <x v="19"/>
    <d v="2025-07-20T00:00:00"/>
    <x v="47"/>
    <x v="863"/>
    <n v="794"/>
  </r>
  <r>
    <s v="stage_reached_300 (App)"/>
    <x v="17"/>
    <x v="19"/>
    <d v="2025-07-20T00:00:00"/>
    <x v="47"/>
    <x v="864"/>
    <n v="823"/>
  </r>
  <r>
    <s v="stage_reached_300 (App)"/>
    <x v="9"/>
    <x v="19"/>
    <d v="2025-07-19T00:00:00"/>
    <x v="47"/>
    <x v="865"/>
    <n v="794"/>
  </r>
  <r>
    <s v="stage_reached_300 (App)"/>
    <x v="4"/>
    <x v="19"/>
    <d v="2025-07-20T00:00:00"/>
    <x v="47"/>
    <x v="866"/>
    <n v="764"/>
  </r>
  <r>
    <s v="stage_reached_300 (App)"/>
    <x v="4"/>
    <x v="19"/>
    <d v="2025-07-19T00:00:00"/>
    <x v="47"/>
    <x v="867"/>
    <n v="737"/>
  </r>
  <r>
    <s v="stage_reached_300 (App)"/>
    <x v="19"/>
    <x v="19"/>
    <d v="2025-07-19T00:00:00"/>
    <x v="47"/>
    <x v="868"/>
    <n v="757"/>
  </r>
  <r>
    <s v="stage_reached_300 (App)"/>
    <x v="9"/>
    <x v="19"/>
    <d v="2025-07-17T00:00:00"/>
    <x v="47"/>
    <x v="869"/>
    <n v="715"/>
  </r>
  <r>
    <s v="stage_reached_300 (App)"/>
    <x v="14"/>
    <x v="19"/>
    <d v="2025-07-19T00:00:00"/>
    <x v="47"/>
    <x v="870"/>
    <n v="694"/>
  </r>
  <r>
    <s v="stage_reached_300 (App)"/>
    <x v="9"/>
    <x v="19"/>
    <d v="2025-07-19T00:00:00"/>
    <x v="47"/>
    <x v="871"/>
    <n v="695"/>
  </r>
  <r>
    <s v="stage_reached_300 (App)"/>
    <x v="4"/>
    <x v="19"/>
    <d v="2025-07-19T00:00:00"/>
    <x v="47"/>
    <x v="872"/>
    <n v="649"/>
  </r>
  <r>
    <s v="stage_reached_300 (App)"/>
    <x v="0"/>
    <x v="19"/>
    <d v="2025-07-18T00:00:00"/>
    <x v="47"/>
    <x v="873"/>
    <n v="691"/>
  </r>
  <r>
    <s v="stage_reached_300 (App)"/>
    <x v="0"/>
    <x v="19"/>
    <d v="2025-07-18T00:00:00"/>
    <x v="47"/>
    <x v="874"/>
    <n v="673"/>
  </r>
  <r>
    <s v="stage_reached_300 (App)"/>
    <x v="0"/>
    <x v="19"/>
    <d v="2025-07-18T00:00:00"/>
    <x v="47"/>
    <x v="875"/>
    <n v="623"/>
  </r>
  <r>
    <s v="stage_reached_300 (App)"/>
    <x v="9"/>
    <x v="19"/>
    <d v="2025-07-18T00:00:00"/>
    <x v="47"/>
    <x v="876"/>
    <n v="642"/>
  </r>
  <r>
    <s v="stage_reached_300 (App)"/>
    <x v="0"/>
    <x v="19"/>
    <d v="2025-07-18T00:00:00"/>
    <x v="47"/>
    <x v="877"/>
    <n v="595"/>
  </r>
  <r>
    <s v="stage_reached_300 (App)"/>
    <x v="7"/>
    <x v="19"/>
    <d v="2025-07-18T00:00:00"/>
    <x v="47"/>
    <x v="878"/>
    <n v="567"/>
  </r>
  <r>
    <s v="stage_reached_300 (App)"/>
    <x v="7"/>
    <x v="19"/>
    <d v="2025-07-17T00:00:00"/>
    <x v="47"/>
    <x v="879"/>
    <n v="561"/>
  </r>
  <r>
    <s v="stage_reached_300 (App)"/>
    <x v="4"/>
    <x v="19"/>
    <d v="2025-07-17T00:00:00"/>
    <x v="47"/>
    <x v="880"/>
    <n v="528"/>
  </r>
  <r>
    <s v="stage_reached_300 (App)"/>
    <x v="15"/>
    <x v="19"/>
    <d v="2025-07-17T00:00:00"/>
    <x v="47"/>
    <x v="881"/>
    <n v="503"/>
  </r>
  <r>
    <s v="stage_reached_300 (App)"/>
    <x v="9"/>
    <x v="19"/>
    <d v="2025-07-17T00:00:00"/>
    <x v="47"/>
    <x v="882"/>
    <n v="515"/>
  </r>
  <r>
    <s v="stage_reached_300 (App)"/>
    <x v="5"/>
    <x v="19"/>
    <d v="2025-07-17T00:00:00"/>
    <x v="47"/>
    <x v="883"/>
    <n v="545"/>
  </r>
  <r>
    <s v="stage_reached_300 (App)"/>
    <x v="9"/>
    <x v="19"/>
    <d v="2025-07-17T00:00:00"/>
    <x v="47"/>
    <x v="884"/>
    <n v="503"/>
  </r>
  <r>
    <s v="stage_reached_300 (App)"/>
    <x v="9"/>
    <x v="19"/>
    <d v="2025-07-16T00:00:00"/>
    <x v="47"/>
    <x v="885"/>
    <n v="481"/>
  </r>
  <r>
    <s v="stage_reached_300 (App)"/>
    <x v="14"/>
    <x v="19"/>
    <d v="2025-07-27T00:00:00"/>
    <x v="120"/>
    <x v="886"/>
    <n v="1347"/>
  </r>
  <r>
    <s v="stage_reached_300 (App)"/>
    <x v="0"/>
    <x v="19"/>
    <d v="2025-07-22T00:00:00"/>
    <x v="120"/>
    <x v="887"/>
    <n v="917"/>
  </r>
  <r>
    <s v="stage_reached_300 (App)"/>
    <x v="9"/>
    <x v="19"/>
    <d v="2025-07-16T00:00:00"/>
    <x v="120"/>
    <x v="888"/>
    <n v="725"/>
  </r>
  <r>
    <s v="stage_reached_300 (App)"/>
    <x v="0"/>
    <x v="19"/>
    <d v="2025-07-17T00:00:00"/>
    <x v="120"/>
    <x v="889"/>
    <n v="566"/>
  </r>
  <r>
    <s v="stage_reached_300 (App)"/>
    <x v="13"/>
    <x v="20"/>
    <d v="2025-07-18T00:00:00"/>
    <x v="183"/>
    <x v="890"/>
    <n v="695"/>
  </r>
  <r>
    <s v="stage_reached_300 (App)"/>
    <x v="9"/>
    <x v="20"/>
    <d v="2025-07-20T00:00:00"/>
    <x v="100"/>
    <x v="891"/>
    <n v="999"/>
  </r>
  <r>
    <s v="stage_reached_300 (App)"/>
    <x v="9"/>
    <x v="20"/>
    <d v="2024-12-05T00:00:00"/>
    <x v="134"/>
    <x v="892"/>
    <n v="1846"/>
  </r>
  <r>
    <s v="stage_reached_300 (App)"/>
    <x v="0"/>
    <x v="20"/>
    <d v="2025-07-27T00:00:00"/>
    <x v="135"/>
    <x v="893"/>
    <n v="1611"/>
  </r>
  <r>
    <s v="stage_reached_300 (App)"/>
    <x v="0"/>
    <x v="20"/>
    <d v="2025-07-28T00:00:00"/>
    <x v="136"/>
    <x v="894"/>
    <n v="1650"/>
  </r>
  <r>
    <s v="stage_reached_300 (App)"/>
    <x v="0"/>
    <x v="20"/>
    <d v="2025-07-23T00:00:00"/>
    <x v="136"/>
    <x v="895"/>
    <n v="1174"/>
  </r>
  <r>
    <s v="stage_reached_300 (App)"/>
    <x v="0"/>
    <x v="20"/>
    <d v="2025-07-18T00:00:00"/>
    <x v="136"/>
    <x v="896"/>
    <n v="1060"/>
  </r>
  <r>
    <s v="stage_reached_300 (App)"/>
    <x v="16"/>
    <x v="20"/>
    <d v="2025-07-19T00:00:00"/>
    <x v="102"/>
    <x v="897"/>
    <n v="753"/>
  </r>
  <r>
    <s v="stage_reached_300 (App)"/>
    <x v="9"/>
    <x v="20"/>
    <d v="2025-07-20T00:00:00"/>
    <x v="138"/>
    <x v="898"/>
    <n v="817"/>
  </r>
  <r>
    <s v="stage_reached_300 (App)"/>
    <x v="7"/>
    <x v="20"/>
    <d v="2025-07-19T00:00:00"/>
    <x v="104"/>
    <x v="899"/>
    <n v="787"/>
  </r>
  <r>
    <s v="stage_reached_300 (App)"/>
    <x v="7"/>
    <x v="20"/>
    <d v="2025-07-19T00:00:00"/>
    <x v="104"/>
    <x v="900"/>
    <n v="772"/>
  </r>
  <r>
    <s v="stage_reached_300 (App)"/>
    <x v="9"/>
    <x v="20"/>
    <d v="2025-07-19T00:00:00"/>
    <x v="140"/>
    <x v="901"/>
    <n v="902"/>
  </r>
  <r>
    <s v="stage_reached_300 (App)"/>
    <x v="9"/>
    <x v="20"/>
    <d v="2025-07-19T00:00:00"/>
    <x v="169"/>
    <x v="902"/>
    <n v="867"/>
  </r>
  <r>
    <s v="stage_reached_300 (App)"/>
    <x v="19"/>
    <x v="20"/>
    <d v="2025-07-19T00:00:00"/>
    <x v="106"/>
    <x v="903"/>
    <n v="808"/>
  </r>
  <r>
    <s v="stage_reached_300 (App)"/>
    <x v="9"/>
    <x v="20"/>
    <d v="2025-07-19T00:00:00"/>
    <x v="106"/>
    <x v="904"/>
    <n v="727"/>
  </r>
  <r>
    <s v="stage_reached_300 (App)"/>
    <x v="4"/>
    <x v="20"/>
    <d v="2025-07-18T00:00:00"/>
    <x v="106"/>
    <x v="905"/>
    <n v="693"/>
  </r>
  <r>
    <s v="stage_reached_300 (App)"/>
    <x v="4"/>
    <x v="20"/>
    <d v="2025-07-15T00:00:00"/>
    <x v="106"/>
    <x v="906"/>
    <n v="1881"/>
  </r>
  <r>
    <s v="stage_reached_300 (App)"/>
    <x v="9"/>
    <x v="20"/>
    <d v="2025-07-27T00:00:00"/>
    <x v="89"/>
    <x v="907"/>
    <n v="1522"/>
  </r>
  <r>
    <s v="stage_reached_300 (App)"/>
    <x v="9"/>
    <x v="20"/>
    <d v="2025-07-18T00:00:00"/>
    <x v="89"/>
    <x v="908"/>
    <n v="748"/>
  </r>
  <r>
    <s v="stage_reached_300 (App)"/>
    <x v="0"/>
    <x v="20"/>
    <d v="2025-07-27T00:00:00"/>
    <x v="160"/>
    <x v="909"/>
    <n v="2005"/>
  </r>
  <r>
    <s v="stage_reached_300 (App)"/>
    <x v="0"/>
    <x v="20"/>
    <d v="2025-07-21T00:00:00"/>
    <x v="160"/>
    <x v="910"/>
    <n v="1013"/>
  </r>
  <r>
    <s v="stage_reached_300 (App)"/>
    <x v="9"/>
    <x v="20"/>
    <d v="2025-07-21T00:00:00"/>
    <x v="160"/>
    <x v="911"/>
    <n v="870"/>
  </r>
  <r>
    <s v="stage_reached_300 (App)"/>
    <x v="9"/>
    <x v="20"/>
    <d v="2025-07-18T00:00:00"/>
    <x v="160"/>
    <x v="912"/>
    <n v="854"/>
  </r>
  <r>
    <s v="stage_reached_300 (App)"/>
    <x v="9"/>
    <x v="20"/>
    <d v="2025-07-18T00:00:00"/>
    <x v="160"/>
    <x v="913"/>
    <n v="885"/>
  </r>
  <r>
    <s v="stage_reached_300 (App)"/>
    <x v="14"/>
    <x v="20"/>
    <d v="2025-07-18T00:00:00"/>
    <x v="160"/>
    <x v="914"/>
    <n v="678"/>
  </r>
  <r>
    <s v="stage_reached_300 (App)"/>
    <x v="13"/>
    <x v="20"/>
    <d v="2025-07-17T00:00:00"/>
    <x v="160"/>
    <x v="915"/>
    <n v="660"/>
  </r>
  <r>
    <s v="stage_reached_300 (App)"/>
    <x v="13"/>
    <x v="20"/>
    <d v="2025-07-19T00:00:00"/>
    <x v="161"/>
    <x v="916"/>
    <n v="754"/>
  </r>
  <r>
    <s v="stage_reached_300 (App)"/>
    <x v="0"/>
    <x v="20"/>
    <d v="2025-07-27T00:00:00"/>
    <x v="47"/>
    <x v="917"/>
    <n v="1565"/>
  </r>
  <r>
    <s v="stage_reached_300 (App)"/>
    <x v="19"/>
    <x v="20"/>
    <d v="2025-07-27T00:00:00"/>
    <x v="47"/>
    <x v="918"/>
    <n v="1525"/>
  </r>
  <r>
    <s v="stage_reached_300 (App)"/>
    <x v="0"/>
    <x v="20"/>
    <d v="2025-07-27T00:00:00"/>
    <x v="47"/>
    <x v="919"/>
    <n v="1549"/>
  </r>
  <r>
    <s v="stage_reached_300 (App)"/>
    <x v="4"/>
    <x v="20"/>
    <d v="2025-07-28T00:00:00"/>
    <x v="47"/>
    <x v="920"/>
    <n v="1547"/>
  </r>
  <r>
    <s v="stage_reached_300 (App)"/>
    <x v="20"/>
    <x v="20"/>
    <d v="2025-07-28T00:00:00"/>
    <x v="47"/>
    <x v="921"/>
    <n v="1497"/>
  </r>
  <r>
    <s v="stage_reached_300 (App)"/>
    <x v="9"/>
    <x v="20"/>
    <d v="2025-07-27T00:00:00"/>
    <x v="47"/>
    <x v="922"/>
    <n v="1481"/>
  </r>
  <r>
    <s v="stage_reached_300 (App)"/>
    <x v="3"/>
    <x v="20"/>
    <d v="2025-07-27T00:00:00"/>
    <x v="47"/>
    <x v="923"/>
    <n v="1524"/>
  </r>
  <r>
    <s v="stage_reached_300 (App)"/>
    <x v="9"/>
    <x v="20"/>
    <d v="2025-07-18T00:00:00"/>
    <x v="47"/>
    <x v="924"/>
    <n v="1444"/>
  </r>
  <r>
    <s v="stage_reached_300 (App)"/>
    <x v="9"/>
    <x v="20"/>
    <d v="2025-07-25T00:00:00"/>
    <x v="47"/>
    <x v="925"/>
    <n v="1479"/>
  </r>
  <r>
    <s v="stage_reached_300 (App)"/>
    <x v="0"/>
    <x v="20"/>
    <d v="2025-07-26T00:00:00"/>
    <x v="47"/>
    <x v="926"/>
    <n v="1530"/>
  </r>
  <r>
    <s v="stage_reached_300 (App)"/>
    <x v="2"/>
    <x v="20"/>
    <d v="2025-07-24T00:00:00"/>
    <x v="47"/>
    <x v="927"/>
    <n v="1331"/>
  </r>
  <r>
    <s v="stage_reached_300 (App)"/>
    <x v="2"/>
    <x v="20"/>
    <d v="2025-07-21T00:00:00"/>
    <x v="47"/>
    <x v="928"/>
    <n v="1323"/>
  </r>
  <r>
    <s v="stage_reached_300 (App)"/>
    <x v="18"/>
    <x v="20"/>
    <d v="2025-07-25T00:00:00"/>
    <x v="47"/>
    <x v="929"/>
    <n v="1274"/>
  </r>
  <r>
    <s v="stage_reached_300 (App)"/>
    <x v="14"/>
    <x v="20"/>
    <d v="2025-07-24T00:00:00"/>
    <x v="47"/>
    <x v="930"/>
    <n v="1249"/>
  </r>
  <r>
    <s v="stage_reached_300 (App)"/>
    <x v="9"/>
    <x v="20"/>
    <d v="2025-07-24T00:00:00"/>
    <x v="47"/>
    <x v="931"/>
    <n v="1243"/>
  </r>
  <r>
    <s v="stage_reached_300 (App)"/>
    <x v="3"/>
    <x v="20"/>
    <d v="2025-07-24T00:00:00"/>
    <x v="47"/>
    <x v="932"/>
    <n v="1790"/>
  </r>
  <r>
    <s v="stage_reached_300 (App)"/>
    <x v="7"/>
    <x v="20"/>
    <d v="2025-07-24T00:00:00"/>
    <x v="47"/>
    <x v="933"/>
    <n v="1215"/>
  </r>
  <r>
    <s v="stage_reached_300 (App)"/>
    <x v="0"/>
    <x v="20"/>
    <d v="2025-07-23T00:00:00"/>
    <x v="47"/>
    <x v="934"/>
    <n v="1292"/>
  </r>
  <r>
    <s v="stage_reached_300 (App)"/>
    <x v="0"/>
    <x v="20"/>
    <d v="2025-07-20T00:00:00"/>
    <x v="47"/>
    <x v="935"/>
    <n v="1109"/>
  </r>
  <r>
    <s v="stage_reached_300 (App)"/>
    <x v="0"/>
    <x v="20"/>
    <d v="2025-07-23T00:00:00"/>
    <x v="47"/>
    <x v="936"/>
    <n v="1125"/>
  </r>
  <r>
    <s v="stage_reached_300 (App)"/>
    <x v="9"/>
    <x v="20"/>
    <d v="2025-07-22T00:00:00"/>
    <x v="47"/>
    <x v="937"/>
    <n v="1096"/>
  </r>
  <r>
    <s v="stage_reached_300 (App)"/>
    <x v="7"/>
    <x v="20"/>
    <d v="2025-07-20T00:00:00"/>
    <x v="47"/>
    <x v="938"/>
    <n v="1049"/>
  </r>
  <r>
    <s v="stage_reached_300 (App)"/>
    <x v="4"/>
    <x v="20"/>
    <d v="2025-07-21T00:00:00"/>
    <x v="47"/>
    <x v="939"/>
    <n v="988"/>
  </r>
  <r>
    <s v="stage_reached_300 (App)"/>
    <x v="0"/>
    <x v="20"/>
    <d v="2025-07-19T00:00:00"/>
    <x v="47"/>
    <x v="940"/>
    <n v="977"/>
  </r>
  <r>
    <s v="stage_reached_300 (App)"/>
    <x v="0"/>
    <x v="20"/>
    <d v="2025-07-21T00:00:00"/>
    <x v="47"/>
    <x v="941"/>
    <n v="983"/>
  </r>
  <r>
    <s v="stage_reached_300 (App)"/>
    <x v="9"/>
    <x v="20"/>
    <d v="2025-07-20T00:00:00"/>
    <x v="47"/>
    <x v="942"/>
    <n v="856"/>
  </r>
  <r>
    <s v="stage_reached_300 (App)"/>
    <x v="3"/>
    <x v="20"/>
    <d v="2025-07-19T00:00:00"/>
    <x v="47"/>
    <x v="943"/>
    <n v="905"/>
  </r>
  <r>
    <s v="stage_reached_300 (App)"/>
    <x v="9"/>
    <x v="20"/>
    <d v="2025-07-20T00:00:00"/>
    <x v="47"/>
    <x v="944"/>
    <n v="831"/>
  </r>
  <r>
    <s v="stage_reached_300 (App)"/>
    <x v="4"/>
    <x v="20"/>
    <d v="2025-07-18T00:00:00"/>
    <x v="47"/>
    <x v="945"/>
    <n v="793"/>
  </r>
  <r>
    <s v="stage_reached_300 (App)"/>
    <x v="4"/>
    <x v="20"/>
    <d v="2025-07-19T00:00:00"/>
    <x v="47"/>
    <x v="946"/>
    <n v="852"/>
  </r>
  <r>
    <s v="stage_reached_300 (App)"/>
    <x v="7"/>
    <x v="20"/>
    <d v="2025-07-19T00:00:00"/>
    <x v="47"/>
    <x v="947"/>
    <n v="864"/>
  </r>
  <r>
    <s v="stage_reached_300 (App)"/>
    <x v="14"/>
    <x v="20"/>
    <d v="2025-07-19T00:00:00"/>
    <x v="47"/>
    <x v="948"/>
    <n v="765"/>
  </r>
  <r>
    <s v="stage_reached_300 (App)"/>
    <x v="9"/>
    <x v="20"/>
    <d v="2025-07-19T00:00:00"/>
    <x v="47"/>
    <x v="949"/>
    <n v="789"/>
  </r>
  <r>
    <s v="stage_reached_300 (App)"/>
    <x v="2"/>
    <x v="20"/>
    <d v="2025-07-19T00:00:00"/>
    <x v="47"/>
    <x v="950"/>
    <n v="813"/>
  </r>
  <r>
    <s v="stage_reached_300 (App)"/>
    <x v="7"/>
    <x v="20"/>
    <d v="2025-07-19T00:00:00"/>
    <x v="47"/>
    <x v="951"/>
    <n v="757"/>
  </r>
  <r>
    <s v="stage_reached_300 (App)"/>
    <x v="7"/>
    <x v="20"/>
    <d v="2025-07-18T00:00:00"/>
    <x v="47"/>
    <x v="952"/>
    <n v="716"/>
  </r>
  <r>
    <s v="stage_reached_300 (App)"/>
    <x v="9"/>
    <x v="20"/>
    <d v="2025-07-18T00:00:00"/>
    <x v="47"/>
    <x v="953"/>
    <n v="725"/>
  </r>
  <r>
    <s v="stage_reached_300 (App)"/>
    <x v="9"/>
    <x v="20"/>
    <d v="2025-07-19T00:00:00"/>
    <x v="47"/>
    <x v="954"/>
    <n v="729"/>
  </r>
  <r>
    <s v="stage_reached_300 (App)"/>
    <x v="9"/>
    <x v="20"/>
    <d v="2025-07-17T00:00:00"/>
    <x v="47"/>
    <x v="955"/>
    <n v="699"/>
  </r>
  <r>
    <s v="stage_reached_300 (App)"/>
    <x v="7"/>
    <x v="20"/>
    <d v="2025-07-17T00:00:00"/>
    <x v="47"/>
    <x v="956"/>
    <n v="760"/>
  </r>
  <r>
    <s v="stage_reached_300 (App)"/>
    <x v="9"/>
    <x v="20"/>
    <d v="2025-07-17T00:00:00"/>
    <x v="47"/>
    <x v="957"/>
    <n v="645"/>
  </r>
  <r>
    <s v="stage_reached_300 (App)"/>
    <x v="9"/>
    <x v="20"/>
    <d v="2025-07-16T00:00:00"/>
    <x v="47"/>
    <x v="958"/>
    <n v="567"/>
  </r>
  <r>
    <s v="stage_reached_300 (App)"/>
    <x v="9"/>
    <x v="20"/>
    <d v="2025-07-16T00:00:00"/>
    <x v="47"/>
    <x v="959"/>
    <n v="533"/>
  </r>
  <r>
    <s v="stage_reached_300 (App)"/>
    <x v="11"/>
    <x v="20"/>
    <d v="2025-07-25T00:00:00"/>
    <x v="120"/>
    <x v="960"/>
    <n v="1485"/>
  </r>
  <r>
    <s v="stage_reached_300 (App)"/>
    <x v="9"/>
    <x v="20"/>
    <d v="2025-07-18T00:00:00"/>
    <x v="120"/>
    <x v="961"/>
    <n v="891"/>
  </r>
  <r>
    <s v="stage_reached_300 (App)"/>
    <x v="4"/>
    <x v="20"/>
    <d v="2025-07-18T00:00:00"/>
    <x v="120"/>
    <x v="962"/>
    <n v="659"/>
  </r>
  <r>
    <s v="stage_reached_300 (App)"/>
    <x v="12"/>
    <x v="20"/>
    <d v="2025-07-17T00:00:00"/>
    <x v="120"/>
    <x v="963"/>
    <n v="618"/>
  </r>
  <r>
    <s v="stage_reached_300 (App)"/>
    <x v="3"/>
    <x v="21"/>
    <d v="2025-07-16T00:00:00"/>
    <x v="57"/>
    <x v="964"/>
    <n v="665"/>
  </r>
  <r>
    <s v="stage_reached_300 (App)"/>
    <x v="0"/>
    <x v="21"/>
    <d v="2025-07-16T00:00:00"/>
    <x v="87"/>
    <x v="965"/>
    <n v="792"/>
  </r>
  <r>
    <s v="stage_reached_300 (App)"/>
    <x v="7"/>
    <x v="21"/>
    <d v="2025-07-16T00:00:00"/>
    <x v="98"/>
    <x v="966"/>
    <n v="760"/>
  </r>
  <r>
    <s v="stage_reached_300 (App)"/>
    <x v="0"/>
    <x v="21"/>
    <d v="2025-07-24T00:00:00"/>
    <x v="136"/>
    <x v="967"/>
    <n v="1393"/>
  </r>
  <r>
    <s v="stage_reached_300 (App)"/>
    <x v="0"/>
    <x v="21"/>
    <d v="2025-07-21T00:00:00"/>
    <x v="137"/>
    <x v="968"/>
    <n v="1009"/>
  </r>
  <r>
    <s v="stage_reached_300 (App)"/>
    <x v="0"/>
    <x v="21"/>
    <d v="2025-07-22T00:00:00"/>
    <x v="104"/>
    <x v="969"/>
    <n v="1396"/>
  </r>
  <r>
    <s v="stage_reached_300 (App)"/>
    <x v="0"/>
    <x v="21"/>
    <d v="2025-07-20T00:00:00"/>
    <x v="140"/>
    <x v="970"/>
    <n v="1000"/>
  </r>
  <r>
    <s v="stage_reached_300 (App)"/>
    <x v="0"/>
    <x v="21"/>
    <d v="2025-07-25T00:00:00"/>
    <x v="159"/>
    <x v="971"/>
    <n v="1605"/>
  </r>
  <r>
    <s v="stage_reached_300 (App)"/>
    <x v="13"/>
    <x v="21"/>
    <d v="2025-07-23T00:00:00"/>
    <x v="184"/>
    <x v="972"/>
    <n v="1232"/>
  </r>
  <r>
    <s v="stage_reached_300 (App)"/>
    <x v="0"/>
    <x v="21"/>
    <d v="2025-07-25T00:00:00"/>
    <x v="169"/>
    <x v="973"/>
    <n v="1506"/>
  </r>
  <r>
    <s v="stage_reached_300 (App)"/>
    <x v="0"/>
    <x v="21"/>
    <d v="2025-07-22T00:00:00"/>
    <x v="106"/>
    <x v="974"/>
    <n v="1357"/>
  </r>
  <r>
    <s v="stage_reached_300 (App)"/>
    <x v="0"/>
    <x v="21"/>
    <d v="2025-07-20T00:00:00"/>
    <x v="106"/>
    <x v="975"/>
    <n v="1608"/>
  </r>
  <r>
    <s v="stage_reached_300 (App)"/>
    <x v="0"/>
    <x v="21"/>
    <d v="2025-07-20T00:00:00"/>
    <x v="106"/>
    <x v="976"/>
    <n v="926"/>
  </r>
  <r>
    <s v="stage_reached_300 (App)"/>
    <x v="14"/>
    <x v="21"/>
    <d v="2025-07-19T00:00:00"/>
    <x v="106"/>
    <x v="977"/>
    <n v="856"/>
  </r>
  <r>
    <s v="stage_reached_300 (App)"/>
    <x v="9"/>
    <x v="21"/>
    <d v="2025-07-21T00:00:00"/>
    <x v="89"/>
    <x v="978"/>
    <n v="1122"/>
  </r>
  <r>
    <s v="stage_reached_300 (App)"/>
    <x v="9"/>
    <x v="21"/>
    <d v="2025-07-19T00:00:00"/>
    <x v="89"/>
    <x v="979"/>
    <n v="872"/>
  </r>
  <r>
    <s v="stage_reached_300 (App)"/>
    <x v="4"/>
    <x v="21"/>
    <d v="2025-07-26T00:00:00"/>
    <x v="160"/>
    <x v="980"/>
    <n v="1559"/>
  </r>
  <r>
    <s v="stage_reached_300 (App)"/>
    <x v="0"/>
    <x v="21"/>
    <d v="2025-07-23T00:00:00"/>
    <x v="160"/>
    <x v="981"/>
    <n v="1516"/>
  </r>
  <r>
    <s v="stage_reached_300 (App)"/>
    <x v="0"/>
    <x v="21"/>
    <d v="2025-07-21T00:00:00"/>
    <x v="161"/>
    <x v="982"/>
    <n v="1298"/>
  </r>
  <r>
    <s v="stage_reached_300 (App)"/>
    <x v="3"/>
    <x v="21"/>
    <d v="2025-07-27T00:00:00"/>
    <x v="47"/>
    <x v="983"/>
    <n v="1473"/>
  </r>
  <r>
    <s v="stage_reached_300 (App)"/>
    <x v="9"/>
    <x v="21"/>
    <d v="2025-07-26T00:00:00"/>
    <x v="47"/>
    <x v="984"/>
    <n v="1423"/>
  </r>
  <r>
    <s v="stage_reached_300 (App)"/>
    <x v="3"/>
    <x v="21"/>
    <d v="2025-07-25T00:00:00"/>
    <x v="47"/>
    <x v="985"/>
    <n v="1425"/>
  </r>
  <r>
    <s v="stage_reached_300 (App)"/>
    <x v="15"/>
    <x v="21"/>
    <d v="2025-07-24T00:00:00"/>
    <x v="47"/>
    <x v="986"/>
    <n v="1352"/>
  </r>
  <r>
    <s v="stage_reached_300 (App)"/>
    <x v="14"/>
    <x v="21"/>
    <d v="2025-07-16T00:00:00"/>
    <x v="47"/>
    <x v="987"/>
    <n v="1369"/>
  </r>
  <r>
    <s v="stage_reached_300 (App)"/>
    <x v="11"/>
    <x v="21"/>
    <d v="2025-07-24T00:00:00"/>
    <x v="47"/>
    <x v="988"/>
    <n v="1348"/>
  </r>
  <r>
    <s v="stage_reached_300 (App)"/>
    <x v="0"/>
    <x v="21"/>
    <d v="2025-07-22T00:00:00"/>
    <x v="47"/>
    <x v="989"/>
    <n v="1268"/>
  </r>
  <r>
    <s v="stage_reached_300 (App)"/>
    <x v="4"/>
    <x v="21"/>
    <d v="2025-07-21T00:00:00"/>
    <x v="47"/>
    <x v="990"/>
    <n v="1225"/>
  </r>
  <r>
    <s v="stage_reached_300 (App)"/>
    <x v="0"/>
    <x v="21"/>
    <d v="2025-07-22T00:00:00"/>
    <x v="47"/>
    <x v="991"/>
    <n v="1292"/>
  </r>
  <r>
    <s v="stage_reached_300 (App)"/>
    <x v="0"/>
    <x v="21"/>
    <d v="2025-07-21T00:00:00"/>
    <x v="47"/>
    <x v="992"/>
    <n v="1169"/>
  </r>
  <r>
    <s v="stage_reached_300 (App)"/>
    <x v="4"/>
    <x v="21"/>
    <d v="2024-12-10T00:00:00"/>
    <x v="47"/>
    <x v="993"/>
    <n v="1952"/>
  </r>
  <r>
    <s v="stage_reached_300 (App)"/>
    <x v="9"/>
    <x v="21"/>
    <d v="2025-07-19T00:00:00"/>
    <x v="47"/>
    <x v="994"/>
    <n v="1173"/>
  </r>
  <r>
    <s v="stage_reached_300 (App)"/>
    <x v="18"/>
    <x v="21"/>
    <d v="2025-07-21T00:00:00"/>
    <x v="47"/>
    <x v="995"/>
    <n v="1067"/>
  </r>
  <r>
    <s v="stage_reached_300 (App)"/>
    <x v="19"/>
    <x v="21"/>
    <d v="2025-07-21T00:00:00"/>
    <x v="47"/>
    <x v="996"/>
    <n v="1053"/>
  </r>
  <r>
    <s v="stage_reached_300 (App)"/>
    <x v="7"/>
    <x v="21"/>
    <d v="2025-07-20T00:00:00"/>
    <x v="47"/>
    <x v="997"/>
    <n v="980"/>
  </r>
  <r>
    <s v="stage_reached_300 (App)"/>
    <x v="4"/>
    <x v="21"/>
    <d v="2025-07-19T00:00:00"/>
    <x v="47"/>
    <x v="998"/>
    <n v="1069"/>
  </r>
  <r>
    <s v="stage_reached_300 (App)"/>
    <x v="0"/>
    <x v="21"/>
    <d v="2025-07-20T00:00:00"/>
    <x v="47"/>
    <x v="999"/>
    <n v="988"/>
  </r>
  <r>
    <s v="stage_reached_300 (App)"/>
    <x v="4"/>
    <x v="21"/>
    <d v="2025-07-20T00:00:00"/>
    <x v="47"/>
    <x v="1000"/>
    <n v="1053"/>
  </r>
  <r>
    <s v="stage_reached_300 (App)"/>
    <x v="4"/>
    <x v="21"/>
    <d v="2025-07-20T00:00:00"/>
    <x v="47"/>
    <x v="1001"/>
    <n v="953"/>
  </r>
  <r>
    <s v="stage_reached_300 (App)"/>
    <x v="4"/>
    <x v="21"/>
    <d v="2025-07-20T00:00:00"/>
    <x v="47"/>
    <x v="1002"/>
    <n v="966"/>
  </r>
  <r>
    <s v="stage_reached_300 (App)"/>
    <x v="0"/>
    <x v="21"/>
    <d v="2025-07-19T00:00:00"/>
    <x v="47"/>
    <x v="1003"/>
    <n v="1121"/>
  </r>
  <r>
    <s v="stage_reached_300 (App)"/>
    <x v="4"/>
    <x v="21"/>
    <d v="2025-07-20T00:00:00"/>
    <x v="47"/>
    <x v="1004"/>
    <n v="939"/>
  </r>
  <r>
    <s v="stage_reached_300 (App)"/>
    <x v="3"/>
    <x v="21"/>
    <d v="2025-07-20T00:00:00"/>
    <x v="47"/>
    <x v="1005"/>
    <n v="922"/>
  </r>
  <r>
    <s v="stage_reached_300 (App)"/>
    <x v="9"/>
    <x v="21"/>
    <d v="2025-07-20T00:00:00"/>
    <x v="47"/>
    <x v="1006"/>
    <n v="920"/>
  </r>
  <r>
    <s v="stage_reached_300 (App)"/>
    <x v="0"/>
    <x v="21"/>
    <d v="2025-07-19T00:00:00"/>
    <x v="47"/>
    <x v="1007"/>
    <n v="917"/>
  </r>
  <r>
    <s v="stage_reached_300 (App)"/>
    <x v="0"/>
    <x v="21"/>
    <d v="2025-07-19T00:00:00"/>
    <x v="47"/>
    <x v="1008"/>
    <n v="906"/>
  </r>
  <r>
    <s v="stage_reached_300 (App)"/>
    <x v="2"/>
    <x v="21"/>
    <d v="2025-07-19T00:00:00"/>
    <x v="47"/>
    <x v="1009"/>
    <n v="990"/>
  </r>
  <r>
    <s v="stage_reached_300 (App)"/>
    <x v="0"/>
    <x v="21"/>
    <d v="2025-07-18T00:00:00"/>
    <x v="47"/>
    <x v="1010"/>
    <n v="897"/>
  </r>
  <r>
    <s v="stage_reached_300 (App)"/>
    <x v="4"/>
    <x v="21"/>
    <d v="2025-07-19T00:00:00"/>
    <x v="47"/>
    <x v="1011"/>
    <n v="961"/>
  </r>
  <r>
    <s v="stage_reached_300 (App)"/>
    <x v="0"/>
    <x v="21"/>
    <d v="2025-07-20T00:00:00"/>
    <x v="47"/>
    <x v="1012"/>
    <n v="885"/>
  </r>
  <r>
    <s v="stage_reached_300 (App)"/>
    <x v="3"/>
    <x v="21"/>
    <d v="2025-07-18T00:00:00"/>
    <x v="47"/>
    <x v="1013"/>
    <n v="875"/>
  </r>
  <r>
    <s v="stage_reached_300 (App)"/>
    <x v="7"/>
    <x v="21"/>
    <d v="2025-07-19T00:00:00"/>
    <x v="47"/>
    <x v="1014"/>
    <n v="868"/>
  </r>
  <r>
    <s v="stage_reached_300 (App)"/>
    <x v="9"/>
    <x v="21"/>
    <d v="2025-07-18T00:00:00"/>
    <x v="47"/>
    <x v="1015"/>
    <n v="852"/>
  </r>
  <r>
    <s v="stage_reached_300 (App)"/>
    <x v="9"/>
    <x v="21"/>
    <d v="2025-07-19T00:00:00"/>
    <x v="47"/>
    <x v="1016"/>
    <n v="853"/>
  </r>
  <r>
    <s v="stage_reached_300 (App)"/>
    <x v="9"/>
    <x v="21"/>
    <d v="2025-07-18T00:00:00"/>
    <x v="47"/>
    <x v="1017"/>
    <n v="800"/>
  </r>
  <r>
    <s v="stage_reached_300 (App)"/>
    <x v="7"/>
    <x v="21"/>
    <d v="2025-07-18T00:00:00"/>
    <x v="47"/>
    <x v="1018"/>
    <n v="780"/>
  </r>
  <r>
    <s v="stage_reached_300 (App)"/>
    <x v="7"/>
    <x v="21"/>
    <d v="2025-07-18T00:00:00"/>
    <x v="47"/>
    <x v="1019"/>
    <n v="898"/>
  </r>
  <r>
    <s v="stage_reached_300 (App)"/>
    <x v="0"/>
    <x v="21"/>
    <d v="2025-07-17T00:00:00"/>
    <x v="47"/>
    <x v="1020"/>
    <n v="778"/>
  </r>
  <r>
    <s v="stage_reached_300 (App)"/>
    <x v="9"/>
    <x v="21"/>
    <d v="2025-07-18T00:00:00"/>
    <x v="47"/>
    <x v="1021"/>
    <n v="750"/>
  </r>
  <r>
    <s v="stage_reached_300 (App)"/>
    <x v="9"/>
    <x v="21"/>
    <d v="2025-07-18T00:00:00"/>
    <x v="47"/>
    <x v="1022"/>
    <n v="739"/>
  </r>
  <r>
    <s v="stage_reached_300 (App)"/>
    <x v="0"/>
    <x v="21"/>
    <d v="2025-07-18T00:00:00"/>
    <x v="47"/>
    <x v="1023"/>
    <n v="739"/>
  </r>
  <r>
    <s v="stage_reached_300 (App)"/>
    <x v="9"/>
    <x v="21"/>
    <d v="2025-07-18T00:00:00"/>
    <x v="47"/>
    <x v="1024"/>
    <n v="737"/>
  </r>
  <r>
    <s v="stage_reached_300 (App)"/>
    <x v="9"/>
    <x v="21"/>
    <d v="2025-07-17T00:00:00"/>
    <x v="47"/>
    <x v="1025"/>
    <n v="714"/>
  </r>
  <r>
    <s v="stage_reached_300 (App)"/>
    <x v="0"/>
    <x v="21"/>
    <d v="2025-07-17T00:00:00"/>
    <x v="47"/>
    <x v="1026"/>
    <n v="670"/>
  </r>
  <r>
    <s v="stage_reached_300 (App)"/>
    <x v="9"/>
    <x v="21"/>
    <d v="2025-07-16T00:00:00"/>
    <x v="47"/>
    <x v="1027"/>
    <n v="658"/>
  </r>
  <r>
    <s v="stage_reached_300 (App)"/>
    <x v="7"/>
    <x v="21"/>
    <d v="2025-07-17T00:00:00"/>
    <x v="47"/>
    <x v="1028"/>
    <n v="650"/>
  </r>
  <r>
    <s v="stage_reached_300 (App)"/>
    <x v="19"/>
    <x v="21"/>
    <d v="2025-07-16T00:00:00"/>
    <x v="47"/>
    <x v="1029"/>
    <n v="642"/>
  </r>
  <r>
    <s v="stage_reached_300 (App)"/>
    <x v="3"/>
    <x v="21"/>
    <d v="2025-07-18T00:00:00"/>
    <x v="120"/>
    <x v="1030"/>
    <n v="737"/>
  </r>
  <r>
    <s v="stage_reached_300 (App)"/>
    <x v="14"/>
    <x v="21"/>
    <d v="2025-07-16T00:00:00"/>
    <x v="120"/>
    <x v="1031"/>
    <n v="620"/>
  </r>
  <r>
    <s v="stage_reached_300 (App)"/>
    <x v="17"/>
    <x v="22"/>
    <d v="2025-07-19T00:00:00"/>
    <x v="162"/>
    <x v="1032"/>
    <n v="1082"/>
  </r>
  <r>
    <s v="stage_reached_300 (App)"/>
    <x v="19"/>
    <x v="22"/>
    <d v="2025-07-18T00:00:00"/>
    <x v="96"/>
    <x v="1033"/>
    <n v="883"/>
  </r>
  <r>
    <s v="stage_reached_300 (App)"/>
    <x v="4"/>
    <x v="22"/>
    <d v="2025-07-22T00:00:00"/>
    <x v="112"/>
    <x v="1034"/>
    <n v="1307"/>
  </r>
  <r>
    <s v="stage_reached_300 (App)"/>
    <x v="0"/>
    <x v="22"/>
    <d v="2025-07-24T00:00:00"/>
    <x v="131"/>
    <x v="1035"/>
    <n v="1492"/>
  </r>
  <r>
    <s v="stage_reached_300 (App)"/>
    <x v="12"/>
    <x v="22"/>
    <d v="2025-07-17T00:00:00"/>
    <x v="131"/>
    <x v="1036"/>
    <n v="1125"/>
  </r>
  <r>
    <s v="stage_reached_300 (App)"/>
    <x v="0"/>
    <x v="22"/>
    <d v="2025-07-16T00:00:00"/>
    <x v="101"/>
    <x v="1037"/>
    <n v="732"/>
  </r>
  <r>
    <s v="stage_reached_300 (App)"/>
    <x v="18"/>
    <x v="22"/>
    <d v="2025-07-20T00:00:00"/>
    <x v="136"/>
    <x v="1038"/>
    <n v="1209"/>
  </r>
  <r>
    <s v="stage_reached_300 (App)"/>
    <x v="0"/>
    <x v="22"/>
    <d v="2025-07-19T00:00:00"/>
    <x v="136"/>
    <x v="1039"/>
    <n v="1141"/>
  </r>
  <r>
    <s v="stage_reached_300 (App)"/>
    <x v="0"/>
    <x v="22"/>
    <d v="2025-07-21T00:00:00"/>
    <x v="167"/>
    <x v="1040"/>
    <n v="1087"/>
  </r>
  <r>
    <s v="stage_reached_300 (App)"/>
    <x v="0"/>
    <x v="22"/>
    <d v="2025-07-19T00:00:00"/>
    <x v="137"/>
    <x v="1041"/>
    <n v="1304"/>
  </r>
  <r>
    <s v="stage_reached_300 (App)"/>
    <x v="0"/>
    <x v="22"/>
    <d v="2025-07-19T00:00:00"/>
    <x v="139"/>
    <x v="1042"/>
    <n v="982"/>
  </r>
  <r>
    <s v="stage_reached_300 (App)"/>
    <x v="11"/>
    <x v="22"/>
    <d v="2025-07-19T00:00:00"/>
    <x v="104"/>
    <x v="1043"/>
    <n v="1363"/>
  </r>
  <r>
    <s v="stage_reached_300 (App)"/>
    <x v="4"/>
    <x v="22"/>
    <d v="2025-07-22T00:00:00"/>
    <x v="174"/>
    <x v="1044"/>
    <n v="1276"/>
  </r>
  <r>
    <s v="stage_reached_300 (App)"/>
    <x v="3"/>
    <x v="22"/>
    <d v="2025-07-19T00:00:00"/>
    <x v="141"/>
    <x v="1045"/>
    <n v="961"/>
  </r>
  <r>
    <s v="stage_reached_300 (App)"/>
    <x v="19"/>
    <x v="22"/>
    <d v="2025-07-18T00:00:00"/>
    <x v="141"/>
    <x v="1046"/>
    <n v="829"/>
  </r>
  <r>
    <s v="stage_reached_300 (App)"/>
    <x v="15"/>
    <x v="22"/>
    <d v="2025-07-20T00:00:00"/>
    <x v="169"/>
    <x v="1047"/>
    <n v="1274"/>
  </r>
  <r>
    <s v="stage_reached_300 (App)"/>
    <x v="9"/>
    <x v="22"/>
    <d v="2025-07-22T00:00:00"/>
    <x v="106"/>
    <x v="1048"/>
    <n v="1419"/>
  </r>
  <r>
    <s v="stage_reached_300 (App)"/>
    <x v="9"/>
    <x v="22"/>
    <d v="2025-07-18T00:00:00"/>
    <x v="89"/>
    <x v="1049"/>
    <n v="1094"/>
  </r>
  <r>
    <s v="stage_reached_300 (App)"/>
    <x v="0"/>
    <x v="22"/>
    <d v="2025-07-19T00:00:00"/>
    <x v="89"/>
    <x v="1050"/>
    <n v="1180"/>
  </r>
  <r>
    <s v="stage_reached_300 (App)"/>
    <x v="4"/>
    <x v="22"/>
    <d v="2025-07-18T00:00:00"/>
    <x v="89"/>
    <x v="1051"/>
    <n v="1372"/>
  </r>
  <r>
    <s v="stage_reached_300 (App)"/>
    <x v="0"/>
    <x v="22"/>
    <d v="2025-07-23T00:00:00"/>
    <x v="160"/>
    <x v="1052"/>
    <n v="1551"/>
  </r>
  <r>
    <s v="stage_reached_300 (App)"/>
    <x v="0"/>
    <x v="22"/>
    <d v="2025-07-19T00:00:00"/>
    <x v="160"/>
    <x v="1053"/>
    <n v="1108"/>
  </r>
  <r>
    <s v="stage_reached_300 (App)"/>
    <x v="9"/>
    <x v="22"/>
    <d v="2025-07-16T00:00:00"/>
    <x v="161"/>
    <x v="1054"/>
    <n v="679"/>
  </r>
  <r>
    <s v="stage_reached_300 (App)"/>
    <x v="9"/>
    <x v="22"/>
    <d v="2025-07-15T00:00:00"/>
    <x v="161"/>
    <x v="1055"/>
    <n v="1836"/>
  </r>
  <r>
    <s v="stage_reached_300 (App)"/>
    <x v="12"/>
    <x v="22"/>
    <d v="2025-07-26T00:00:00"/>
    <x v="47"/>
    <x v="1056"/>
    <n v="1519"/>
  </r>
  <r>
    <s v="stage_reached_300 (App)"/>
    <x v="3"/>
    <x v="22"/>
    <d v="2025-07-24T00:00:00"/>
    <x v="47"/>
    <x v="1057"/>
    <n v="1486"/>
  </r>
  <r>
    <s v="stage_reached_300 (App)"/>
    <x v="20"/>
    <x v="22"/>
    <d v="2025-07-16T00:00:00"/>
    <x v="47"/>
    <x v="1058"/>
    <n v="1480"/>
  </r>
  <r>
    <s v="stage_reached_300 (App)"/>
    <x v="4"/>
    <x v="22"/>
    <d v="2025-07-25T00:00:00"/>
    <x v="47"/>
    <x v="1059"/>
    <n v="1487"/>
  </r>
  <r>
    <s v="stage_reached_300 (App)"/>
    <x v="0"/>
    <x v="22"/>
    <d v="2025-07-25T00:00:00"/>
    <x v="47"/>
    <x v="1060"/>
    <n v="1505"/>
  </r>
  <r>
    <s v="stage_reached_300 (App)"/>
    <x v="0"/>
    <x v="22"/>
    <d v="2025-07-25T00:00:00"/>
    <x v="47"/>
    <x v="1061"/>
    <n v="1450"/>
  </r>
  <r>
    <s v="stage_reached_300 (App)"/>
    <x v="9"/>
    <x v="22"/>
    <d v="2025-07-23T00:00:00"/>
    <x v="47"/>
    <x v="1062"/>
    <n v="1431"/>
  </r>
  <r>
    <s v="stage_reached_300 (App)"/>
    <x v="10"/>
    <x v="22"/>
    <d v="2025-07-24T00:00:00"/>
    <x v="47"/>
    <x v="1063"/>
    <n v="1382"/>
  </r>
  <r>
    <s v="stage_reached_300 (App)"/>
    <x v="0"/>
    <x v="22"/>
    <d v="2025-07-18T00:00:00"/>
    <x v="47"/>
    <x v="1064"/>
    <n v="1583"/>
  </r>
  <r>
    <s v="stage_reached_300 (App)"/>
    <x v="9"/>
    <x v="22"/>
    <d v="2025-07-24T00:00:00"/>
    <x v="47"/>
    <x v="1065"/>
    <n v="1347"/>
  </r>
  <r>
    <s v="stage_reached_300 (App)"/>
    <x v="0"/>
    <x v="22"/>
    <d v="2025-07-23T00:00:00"/>
    <x v="47"/>
    <x v="1066"/>
    <n v="1413"/>
  </r>
  <r>
    <s v="stage_reached_300 (App)"/>
    <x v="0"/>
    <x v="22"/>
    <d v="2025-07-24T00:00:00"/>
    <x v="47"/>
    <x v="1067"/>
    <n v="1387"/>
  </r>
  <r>
    <s v="stage_reached_300 (App)"/>
    <x v="15"/>
    <x v="22"/>
    <d v="2025-07-23T00:00:00"/>
    <x v="47"/>
    <x v="1068"/>
    <n v="1305"/>
  </r>
  <r>
    <s v="stage_reached_300 (App)"/>
    <x v="4"/>
    <x v="22"/>
    <d v="2025-07-22T00:00:00"/>
    <x v="47"/>
    <x v="1069"/>
    <n v="1273"/>
  </r>
  <r>
    <s v="stage_reached_300 (App)"/>
    <x v="9"/>
    <x v="22"/>
    <d v="2025-07-22T00:00:00"/>
    <x v="47"/>
    <x v="1070"/>
    <n v="1294"/>
  </r>
  <r>
    <s v="stage_reached_300 (App)"/>
    <x v="15"/>
    <x v="22"/>
    <d v="2025-07-21T00:00:00"/>
    <x v="47"/>
    <x v="1071"/>
    <n v="1259"/>
  </r>
  <r>
    <s v="stage_reached_300 (App)"/>
    <x v="0"/>
    <x v="22"/>
    <d v="2025-07-22T00:00:00"/>
    <x v="47"/>
    <x v="1072"/>
    <n v="1205"/>
  </r>
  <r>
    <s v="stage_reached_300 (App)"/>
    <x v="0"/>
    <x v="22"/>
    <d v="2025-07-21T00:00:00"/>
    <x v="47"/>
    <x v="1073"/>
    <n v="1232"/>
  </r>
  <r>
    <s v="stage_reached_300 (App)"/>
    <x v="9"/>
    <x v="22"/>
    <d v="2025-07-18T00:00:00"/>
    <x v="47"/>
    <x v="1074"/>
    <n v="1178"/>
  </r>
  <r>
    <s v="stage_reached_300 (App)"/>
    <x v="9"/>
    <x v="22"/>
    <d v="2025-07-19T00:00:00"/>
    <x v="47"/>
    <x v="1075"/>
    <n v="1326"/>
  </r>
  <r>
    <s v="stage_reached_300 (App)"/>
    <x v="7"/>
    <x v="22"/>
    <d v="2025-07-21T00:00:00"/>
    <x v="47"/>
    <x v="1076"/>
    <n v="1147"/>
  </r>
  <r>
    <s v="stage_reached_300 (App)"/>
    <x v="25"/>
    <x v="22"/>
    <d v="2025-07-21T00:00:00"/>
    <x v="47"/>
    <x v="1077"/>
    <n v="1143"/>
  </r>
  <r>
    <s v="stage_reached_300 (App)"/>
    <x v="0"/>
    <x v="22"/>
    <d v="2025-07-21T00:00:00"/>
    <x v="47"/>
    <x v="1078"/>
    <n v="1134"/>
  </r>
  <r>
    <s v="stage_reached_300 (App)"/>
    <x v="0"/>
    <x v="22"/>
    <d v="2025-07-21T00:00:00"/>
    <x v="47"/>
    <x v="1079"/>
    <n v="1251"/>
  </r>
  <r>
    <s v="stage_reached_300 (App)"/>
    <x v="9"/>
    <x v="22"/>
    <d v="2025-07-21T00:00:00"/>
    <x v="47"/>
    <x v="1080"/>
    <n v="1144"/>
  </r>
  <r>
    <s v="stage_reached_300 (App)"/>
    <x v="9"/>
    <x v="22"/>
    <d v="2025-07-21T00:00:00"/>
    <x v="47"/>
    <x v="1081"/>
    <n v="1124"/>
  </r>
  <r>
    <s v="stage_reached_300 (App)"/>
    <x v="0"/>
    <x v="22"/>
    <d v="2025-07-20T00:00:00"/>
    <x v="47"/>
    <x v="1082"/>
    <n v="1120"/>
  </r>
  <r>
    <s v="stage_reached_300 (App)"/>
    <x v="7"/>
    <x v="22"/>
    <d v="2025-07-20T00:00:00"/>
    <x v="47"/>
    <x v="1083"/>
    <n v="1142"/>
  </r>
  <r>
    <s v="stage_reached_300 (App)"/>
    <x v="0"/>
    <x v="22"/>
    <d v="2025-07-20T00:00:00"/>
    <x v="47"/>
    <x v="1084"/>
    <n v="1718"/>
  </r>
  <r>
    <s v="stage_reached_300 (App)"/>
    <x v="4"/>
    <x v="22"/>
    <d v="2025-07-19T00:00:00"/>
    <x v="47"/>
    <x v="1085"/>
    <n v="1077"/>
  </r>
  <r>
    <s v="stage_reached_300 (App)"/>
    <x v="12"/>
    <x v="22"/>
    <d v="2025-07-20T00:00:00"/>
    <x v="47"/>
    <x v="1086"/>
    <n v="1043"/>
  </r>
  <r>
    <s v="stage_reached_300 (App)"/>
    <x v="9"/>
    <x v="22"/>
    <d v="2025-07-19T00:00:00"/>
    <x v="47"/>
    <x v="1087"/>
    <n v="1024"/>
  </r>
  <r>
    <s v="stage_reached_300 (App)"/>
    <x v="0"/>
    <x v="22"/>
    <d v="2025-07-20T00:00:00"/>
    <x v="47"/>
    <x v="1088"/>
    <n v="1229"/>
  </r>
  <r>
    <s v="stage_reached_300 (App)"/>
    <x v="9"/>
    <x v="22"/>
    <d v="2025-07-19T00:00:00"/>
    <x v="47"/>
    <x v="1089"/>
    <n v="1082"/>
  </r>
  <r>
    <s v="stage_reached_300 (App)"/>
    <x v="4"/>
    <x v="22"/>
    <d v="2025-07-19T00:00:00"/>
    <x v="47"/>
    <x v="1090"/>
    <n v="991"/>
  </r>
  <r>
    <s v="stage_reached_300 (App)"/>
    <x v="0"/>
    <x v="22"/>
    <d v="2025-07-19T00:00:00"/>
    <x v="47"/>
    <x v="1091"/>
    <n v="1001"/>
  </r>
  <r>
    <s v="stage_reached_300 (App)"/>
    <x v="0"/>
    <x v="22"/>
    <d v="2025-07-18T00:00:00"/>
    <x v="47"/>
    <x v="1092"/>
    <n v="1018"/>
  </r>
  <r>
    <s v="stage_reached_300 (App)"/>
    <x v="9"/>
    <x v="22"/>
    <d v="2025-07-19T00:00:00"/>
    <x v="47"/>
    <x v="1093"/>
    <n v="1003"/>
  </r>
  <r>
    <s v="stage_reached_300 (App)"/>
    <x v="3"/>
    <x v="22"/>
    <d v="2025-07-18T00:00:00"/>
    <x v="47"/>
    <x v="1094"/>
    <n v="1039"/>
  </r>
  <r>
    <s v="stage_reached_300 (App)"/>
    <x v="0"/>
    <x v="22"/>
    <d v="2025-07-19T00:00:00"/>
    <x v="47"/>
    <x v="1095"/>
    <n v="1000"/>
  </r>
  <r>
    <s v="stage_reached_300 (App)"/>
    <x v="9"/>
    <x v="22"/>
    <d v="2025-07-18T00:00:00"/>
    <x v="47"/>
    <x v="1096"/>
    <n v="979"/>
  </r>
  <r>
    <s v="stage_reached_300 (App)"/>
    <x v="0"/>
    <x v="22"/>
    <d v="2025-07-18T00:00:00"/>
    <x v="47"/>
    <x v="1097"/>
    <n v="1075"/>
  </r>
  <r>
    <s v="stage_reached_300 (App)"/>
    <x v="0"/>
    <x v="22"/>
    <d v="2025-07-18T00:00:00"/>
    <x v="47"/>
    <x v="1098"/>
    <n v="968"/>
  </r>
  <r>
    <s v="stage_reached_300 (App)"/>
    <x v="0"/>
    <x v="22"/>
    <d v="2025-07-19T00:00:00"/>
    <x v="47"/>
    <x v="1099"/>
    <n v="962"/>
  </r>
  <r>
    <s v="stage_reached_300 (App)"/>
    <x v="0"/>
    <x v="22"/>
    <d v="2025-07-19T00:00:00"/>
    <x v="47"/>
    <x v="1100"/>
    <n v="934"/>
  </r>
  <r>
    <s v="stage_reached_300 (App)"/>
    <x v="19"/>
    <x v="22"/>
    <d v="2025-07-18T00:00:00"/>
    <x v="47"/>
    <x v="1101"/>
    <n v="906"/>
  </r>
  <r>
    <s v="stage_reached_300 (App)"/>
    <x v="9"/>
    <x v="22"/>
    <d v="2025-07-19T00:00:00"/>
    <x v="47"/>
    <x v="1102"/>
    <n v="887"/>
  </r>
  <r>
    <s v="stage_reached_300 (App)"/>
    <x v="4"/>
    <x v="22"/>
    <d v="2025-07-18T00:00:00"/>
    <x v="47"/>
    <x v="1103"/>
    <n v="887"/>
  </r>
  <r>
    <s v="stage_reached_300 (App)"/>
    <x v="0"/>
    <x v="22"/>
    <d v="2025-07-19T00:00:00"/>
    <x v="47"/>
    <x v="1104"/>
    <n v="918"/>
  </r>
  <r>
    <s v="stage_reached_300 (App)"/>
    <x v="4"/>
    <x v="22"/>
    <d v="2025-07-18T00:00:00"/>
    <x v="47"/>
    <x v="1105"/>
    <n v="945"/>
  </r>
  <r>
    <s v="stage_reached_300 (App)"/>
    <x v="9"/>
    <x v="22"/>
    <d v="2025-07-19T00:00:00"/>
    <x v="47"/>
    <x v="1106"/>
    <n v="895"/>
  </r>
  <r>
    <s v="stage_reached_300 (App)"/>
    <x v="7"/>
    <x v="22"/>
    <d v="2025-07-18T00:00:00"/>
    <x v="47"/>
    <x v="1107"/>
    <n v="878"/>
  </r>
  <r>
    <s v="stage_reached_300 (App)"/>
    <x v="0"/>
    <x v="22"/>
    <d v="2025-07-18T00:00:00"/>
    <x v="47"/>
    <x v="1108"/>
    <n v="856"/>
  </r>
  <r>
    <s v="stage_reached_300 (App)"/>
    <x v="11"/>
    <x v="22"/>
    <d v="2025-07-18T00:00:00"/>
    <x v="47"/>
    <x v="1109"/>
    <n v="1011"/>
  </r>
  <r>
    <s v="stage_reached_300 (App)"/>
    <x v="9"/>
    <x v="22"/>
    <d v="2025-07-17T00:00:00"/>
    <x v="47"/>
    <x v="1110"/>
    <n v="832"/>
  </r>
  <r>
    <s v="stage_reached_300 (App)"/>
    <x v="7"/>
    <x v="22"/>
    <d v="2025-07-17T00:00:00"/>
    <x v="47"/>
    <x v="1111"/>
    <n v="842"/>
  </r>
  <r>
    <s v="stage_reached_300 (App)"/>
    <x v="7"/>
    <x v="22"/>
    <d v="2025-07-18T00:00:00"/>
    <x v="47"/>
    <x v="1112"/>
    <n v="817"/>
  </r>
  <r>
    <s v="stage_reached_300 (App)"/>
    <x v="18"/>
    <x v="22"/>
    <d v="2025-07-16T00:00:00"/>
    <x v="47"/>
    <x v="1113"/>
    <n v="713"/>
  </r>
  <r>
    <s v="stage_reached_300 (App)"/>
    <x v="3"/>
    <x v="22"/>
    <d v="2025-07-16T00:00:00"/>
    <x v="47"/>
    <x v="1114"/>
    <n v="725"/>
  </r>
  <r>
    <s v="stage_reached_300 (App)"/>
    <x v="0"/>
    <x v="22"/>
    <d v="2025-07-16T00:00:00"/>
    <x v="47"/>
    <x v="1115"/>
    <n v="687"/>
  </r>
  <r>
    <s v="stage_reached_300 (App)"/>
    <x v="0"/>
    <x v="22"/>
    <d v="2025-07-25T00:00:00"/>
    <x v="120"/>
    <x v="1116"/>
    <n v="1951"/>
  </r>
  <r>
    <s v="stage_reached_300 (App)"/>
    <x v="9"/>
    <x v="22"/>
    <d v="2025-07-16T00:00:00"/>
    <x v="120"/>
    <x v="1117"/>
    <n v="740"/>
  </r>
  <r>
    <s v="stage_reached_300 (App)"/>
    <x v="14"/>
    <x v="22"/>
    <d v="2025-07-16T00:00:00"/>
    <x v="120"/>
    <x v="1118"/>
    <n v="629"/>
  </r>
  <r>
    <s v="stage_reached_300 (App)"/>
    <x v="9"/>
    <x v="23"/>
    <d v="2025-07-16T00:00:00"/>
    <x v="178"/>
    <x v="1119"/>
    <n v="1325"/>
  </r>
  <r>
    <s v="stage_reached_300 (App)"/>
    <x v="12"/>
    <x v="23"/>
    <d v="2025-07-16T00:00:00"/>
    <x v="153"/>
    <x v="1120"/>
    <n v="803"/>
  </r>
  <r>
    <s v="stage_reached_300 (App)"/>
    <x v="17"/>
    <x v="23"/>
    <d v="2025-07-17T00:00:00"/>
    <x v="134"/>
    <x v="1121"/>
    <n v="985"/>
  </r>
  <r>
    <s v="stage_reached_300 (App)"/>
    <x v="0"/>
    <x v="23"/>
    <d v="2025-07-20T00:00:00"/>
    <x v="138"/>
    <x v="1122"/>
    <n v="1221"/>
  </r>
  <r>
    <s v="stage_reached_300 (App)"/>
    <x v="4"/>
    <x v="23"/>
    <d v="2025-07-19T00:00:00"/>
    <x v="104"/>
    <x v="1123"/>
    <n v="1063"/>
  </r>
  <r>
    <s v="stage_reached_300 (App)"/>
    <x v="0"/>
    <x v="23"/>
    <d v="2025-07-18T00:00:00"/>
    <x v="104"/>
    <x v="1124"/>
    <n v="977"/>
  </r>
  <r>
    <s v="stage_reached_300 (App)"/>
    <x v="7"/>
    <x v="23"/>
    <d v="2025-07-19T00:00:00"/>
    <x v="169"/>
    <x v="1125"/>
    <n v="1018"/>
  </r>
  <r>
    <s v="stage_reached_300 (App)"/>
    <x v="7"/>
    <x v="23"/>
    <d v="2025-07-16T00:00:00"/>
    <x v="106"/>
    <x v="1126"/>
    <n v="793"/>
  </r>
  <r>
    <s v="stage_reached_300 (App)"/>
    <x v="0"/>
    <x v="23"/>
    <d v="2025-07-22T00:00:00"/>
    <x v="89"/>
    <x v="1127"/>
    <n v="1566"/>
  </r>
  <r>
    <s v="stage_reached_300 (App)"/>
    <x v="11"/>
    <x v="23"/>
    <d v="2025-07-20T00:00:00"/>
    <x v="160"/>
    <x v="1128"/>
    <n v="1137"/>
  </r>
  <r>
    <s v="stage_reached_300 (App)"/>
    <x v="7"/>
    <x v="23"/>
    <d v="2025-07-18T00:00:00"/>
    <x v="160"/>
    <x v="1129"/>
    <n v="1058"/>
  </r>
  <r>
    <s v="stage_reached_300 (App)"/>
    <x v="3"/>
    <x v="23"/>
    <d v="2025-07-20T00:00:00"/>
    <x v="47"/>
    <x v="1130"/>
    <n v="1664"/>
  </r>
  <r>
    <s v="stage_reached_300 (App)"/>
    <x v="9"/>
    <x v="23"/>
    <d v="2025-07-24T00:00:00"/>
    <x v="47"/>
    <x v="1131"/>
    <n v="1501"/>
  </r>
  <r>
    <s v="stage_reached_300 (App)"/>
    <x v="0"/>
    <x v="23"/>
    <d v="2025-07-22T00:00:00"/>
    <x v="47"/>
    <x v="1132"/>
    <n v="1501"/>
  </r>
  <r>
    <s v="stage_reached_300 (App)"/>
    <x v="3"/>
    <x v="23"/>
    <d v="2025-07-23T00:00:00"/>
    <x v="47"/>
    <x v="1133"/>
    <n v="1498"/>
  </r>
  <r>
    <s v="stage_reached_300 (App)"/>
    <x v="0"/>
    <x v="23"/>
    <d v="2025-07-21T00:00:00"/>
    <x v="47"/>
    <x v="1134"/>
    <n v="1368"/>
  </r>
  <r>
    <s v="stage_reached_300 (App)"/>
    <x v="0"/>
    <x v="23"/>
    <d v="2025-07-19T00:00:00"/>
    <x v="47"/>
    <x v="1135"/>
    <n v="1318"/>
  </r>
  <r>
    <s v="stage_reached_300 (App)"/>
    <x v="4"/>
    <x v="23"/>
    <d v="2025-07-22T00:00:00"/>
    <x v="47"/>
    <x v="1136"/>
    <n v="1298"/>
  </r>
  <r>
    <s v="stage_reached_300 (App)"/>
    <x v="0"/>
    <x v="23"/>
    <d v="2025-07-19T00:00:00"/>
    <x v="47"/>
    <x v="1137"/>
    <n v="1256"/>
  </r>
  <r>
    <s v="stage_reached_300 (App)"/>
    <x v="3"/>
    <x v="23"/>
    <d v="2025-07-18T00:00:00"/>
    <x v="47"/>
    <x v="1138"/>
    <n v="1457"/>
  </r>
  <r>
    <s v="stage_reached_300 (App)"/>
    <x v="0"/>
    <x v="23"/>
    <d v="2025-07-21T00:00:00"/>
    <x v="47"/>
    <x v="1139"/>
    <n v="1404"/>
  </r>
  <r>
    <s v="stage_reached_300 (App)"/>
    <x v="0"/>
    <x v="23"/>
    <d v="2025-07-21T00:00:00"/>
    <x v="47"/>
    <x v="1140"/>
    <n v="1382"/>
  </r>
  <r>
    <s v="stage_reached_300 (App)"/>
    <x v="4"/>
    <x v="23"/>
    <d v="2025-07-20T00:00:00"/>
    <x v="47"/>
    <x v="1141"/>
    <n v="1177"/>
  </r>
  <r>
    <s v="stage_reached_300 (App)"/>
    <x v="0"/>
    <x v="23"/>
    <d v="2025-07-19T00:00:00"/>
    <x v="47"/>
    <x v="1142"/>
    <n v="1162"/>
  </r>
  <r>
    <s v="stage_reached_300 (App)"/>
    <x v="0"/>
    <x v="23"/>
    <d v="2025-07-20T00:00:00"/>
    <x v="47"/>
    <x v="1143"/>
    <n v="1722"/>
  </r>
  <r>
    <s v="stage_reached_300 (App)"/>
    <x v="4"/>
    <x v="23"/>
    <d v="2025-07-20T00:00:00"/>
    <x v="47"/>
    <x v="1144"/>
    <n v="1154"/>
  </r>
  <r>
    <s v="stage_reached_300 (App)"/>
    <x v="4"/>
    <x v="23"/>
    <d v="2025-07-19T00:00:00"/>
    <x v="47"/>
    <x v="1145"/>
    <n v="1107"/>
  </r>
  <r>
    <s v="stage_reached_300 (App)"/>
    <x v="19"/>
    <x v="23"/>
    <d v="2025-07-20T00:00:00"/>
    <x v="47"/>
    <x v="1146"/>
    <n v="1098"/>
  </r>
  <r>
    <s v="stage_reached_300 (App)"/>
    <x v="7"/>
    <x v="23"/>
    <d v="2025-07-19T00:00:00"/>
    <x v="47"/>
    <x v="1147"/>
    <n v="1075"/>
  </r>
  <r>
    <s v="stage_reached_300 (App)"/>
    <x v="0"/>
    <x v="23"/>
    <d v="2025-07-19T00:00:00"/>
    <x v="47"/>
    <x v="1148"/>
    <n v="1068"/>
  </r>
  <r>
    <s v="stage_reached_300 (App)"/>
    <x v="1"/>
    <x v="23"/>
    <d v="2025-07-19T00:00:00"/>
    <x v="47"/>
    <x v="1149"/>
    <n v="1086"/>
  </r>
  <r>
    <s v="stage_reached_300 (App)"/>
    <x v="11"/>
    <x v="23"/>
    <d v="2025-07-18T00:00:00"/>
    <x v="47"/>
    <x v="1150"/>
    <n v="1528"/>
  </r>
  <r>
    <s v="stage_reached_300 (App)"/>
    <x v="4"/>
    <x v="23"/>
    <d v="2025-07-19T00:00:00"/>
    <x v="47"/>
    <x v="1151"/>
    <n v="1047"/>
  </r>
  <r>
    <s v="stage_reached_300 (App)"/>
    <x v="9"/>
    <x v="23"/>
    <d v="2025-07-18T00:00:00"/>
    <x v="47"/>
    <x v="1152"/>
    <n v="1006"/>
  </r>
  <r>
    <s v="stage_reached_300 (App)"/>
    <x v="1"/>
    <x v="23"/>
    <d v="2025-07-18T00:00:00"/>
    <x v="47"/>
    <x v="1153"/>
    <n v="1069"/>
  </r>
  <r>
    <s v="stage_reached_300 (App)"/>
    <x v="0"/>
    <x v="23"/>
    <d v="2025-07-18T00:00:00"/>
    <x v="47"/>
    <x v="1154"/>
    <n v="1053"/>
  </r>
  <r>
    <s v="stage_reached_300 (App)"/>
    <x v="3"/>
    <x v="23"/>
    <d v="2025-07-18T00:00:00"/>
    <x v="47"/>
    <x v="1155"/>
    <n v="990"/>
  </r>
  <r>
    <s v="stage_reached_300 (App)"/>
    <x v="9"/>
    <x v="23"/>
    <d v="2025-07-18T00:00:00"/>
    <x v="47"/>
    <x v="1156"/>
    <n v="954"/>
  </r>
  <r>
    <s v="stage_reached_300 (App)"/>
    <x v="9"/>
    <x v="23"/>
    <d v="2025-07-18T00:00:00"/>
    <x v="47"/>
    <x v="1157"/>
    <n v="941"/>
  </r>
  <r>
    <s v="stage_reached_300 (App)"/>
    <x v="3"/>
    <x v="23"/>
    <d v="2025-07-18T00:00:00"/>
    <x v="47"/>
    <x v="1158"/>
    <n v="988"/>
  </r>
  <r>
    <s v="stage_reached_300 (App)"/>
    <x v="1"/>
    <x v="23"/>
    <d v="2025-07-18T00:00:00"/>
    <x v="47"/>
    <x v="1159"/>
    <n v="1025"/>
  </r>
  <r>
    <s v="stage_reached_300 (App)"/>
    <x v="7"/>
    <x v="23"/>
    <d v="2025-07-18T00:00:00"/>
    <x v="47"/>
    <x v="1160"/>
    <n v="924"/>
  </r>
  <r>
    <s v="stage_reached_300 (App)"/>
    <x v="3"/>
    <x v="23"/>
    <d v="2025-07-18T00:00:00"/>
    <x v="47"/>
    <x v="1161"/>
    <n v="906"/>
  </r>
  <r>
    <s v="stage_reached_300 (App)"/>
    <x v="4"/>
    <x v="23"/>
    <d v="2025-07-18T00:00:00"/>
    <x v="47"/>
    <x v="1162"/>
    <n v="1011"/>
  </r>
  <r>
    <s v="stage_reached_300 (App)"/>
    <x v="0"/>
    <x v="23"/>
    <d v="2025-07-18T00:00:00"/>
    <x v="47"/>
    <x v="1163"/>
    <n v="1259"/>
  </r>
  <r>
    <s v="stage_reached_300 (App)"/>
    <x v="0"/>
    <x v="23"/>
    <d v="2025-07-17T00:00:00"/>
    <x v="47"/>
    <x v="1164"/>
    <n v="895"/>
  </r>
  <r>
    <s v="stage_reached_300 (App)"/>
    <x v="19"/>
    <x v="23"/>
    <d v="2025-07-17T00:00:00"/>
    <x v="47"/>
    <x v="1165"/>
    <n v="911"/>
  </r>
  <r>
    <s v="stage_reached_300 (App)"/>
    <x v="9"/>
    <x v="23"/>
    <d v="2025-07-16T00:00:00"/>
    <x v="47"/>
    <x v="1166"/>
    <n v="831"/>
  </r>
  <r>
    <s v="stage_reached_300 (App)"/>
    <x v="9"/>
    <x v="23"/>
    <d v="2025-07-17T00:00:00"/>
    <x v="47"/>
    <x v="1167"/>
    <n v="902"/>
  </r>
  <r>
    <s v="stage_reached_300 (App)"/>
    <x v="9"/>
    <x v="23"/>
    <d v="2025-07-17T00:00:00"/>
    <x v="47"/>
    <x v="1168"/>
    <n v="816"/>
  </r>
  <r>
    <s v="stage_reached_300 (App)"/>
    <x v="1"/>
    <x v="23"/>
    <d v="2025-07-16T00:00:00"/>
    <x v="47"/>
    <x v="1169"/>
    <n v="810"/>
  </r>
  <r>
    <s v="stage_reached_300 (App)"/>
    <x v="19"/>
    <x v="23"/>
    <d v="2025-07-17T00:00:00"/>
    <x v="47"/>
    <x v="1170"/>
    <n v="829"/>
  </r>
  <r>
    <s v="stage_reached_300 (App)"/>
    <x v="19"/>
    <x v="23"/>
    <d v="2025-07-16T00:00:00"/>
    <x v="47"/>
    <x v="1171"/>
    <n v="841"/>
  </r>
  <r>
    <s v="stage_reached_300 (App)"/>
    <x v="14"/>
    <x v="23"/>
    <d v="2025-07-19T00:00:00"/>
    <x v="120"/>
    <x v="1172"/>
    <n v="1171"/>
  </r>
  <r>
    <s v="stage_reached_300 (App)"/>
    <x v="9"/>
    <x v="23"/>
    <d v="2025-07-18T00:00:00"/>
    <x v="120"/>
    <x v="1173"/>
    <n v="915"/>
  </r>
  <r>
    <s v="stage_reached_300 (App)"/>
    <x v="13"/>
    <x v="24"/>
    <d v="2025-07-17T00:00:00"/>
    <x v="65"/>
    <x v="1174"/>
    <n v="954"/>
  </r>
  <r>
    <s v="stage_reached_300 (App)"/>
    <x v="2"/>
    <x v="24"/>
    <d v="2025-07-17T00:00:00"/>
    <x v="163"/>
    <x v="1175"/>
    <n v="1032"/>
  </r>
  <r>
    <s v="stage_reached_300 (App)"/>
    <x v="1"/>
    <x v="24"/>
    <d v="2025-07-18T00:00:00"/>
    <x v="131"/>
    <x v="1176"/>
    <n v="1086"/>
  </r>
  <r>
    <s v="stage_reached_300 (App)"/>
    <x v="0"/>
    <x v="24"/>
    <d v="2025-07-16T00:00:00"/>
    <x v="116"/>
    <x v="1177"/>
    <n v="923"/>
  </r>
  <r>
    <s v="stage_reached_300 (App)"/>
    <x v="4"/>
    <x v="24"/>
    <d v="2025-07-21T00:00:00"/>
    <x v="132"/>
    <x v="1178"/>
    <n v="1347"/>
  </r>
  <r>
    <s v="stage_reached_300 (App)"/>
    <x v="0"/>
    <x v="24"/>
    <d v="2025-07-17T00:00:00"/>
    <x v="132"/>
    <x v="1179"/>
    <n v="989"/>
  </r>
  <r>
    <s v="stage_reached_300 (App)"/>
    <x v="7"/>
    <x v="24"/>
    <d v="2025-07-22T00:00:00"/>
    <x v="136"/>
    <x v="1180"/>
    <n v="1365"/>
  </r>
  <r>
    <s v="stage_reached_300 (App)"/>
    <x v="4"/>
    <x v="24"/>
    <d v="2025-07-18T00:00:00"/>
    <x v="136"/>
    <x v="1181"/>
    <n v="1089"/>
  </r>
  <r>
    <s v="stage_reached_300 (App)"/>
    <x v="3"/>
    <x v="24"/>
    <d v="2025-07-16T00:00:00"/>
    <x v="105"/>
    <x v="1182"/>
    <n v="1108"/>
  </r>
  <r>
    <s v="stage_reached_300 (App)"/>
    <x v="3"/>
    <x v="24"/>
    <d v="2025-07-24T00:00:00"/>
    <x v="141"/>
    <x v="1183"/>
    <n v="1571"/>
  </r>
  <r>
    <s v="stage_reached_300 (App)"/>
    <x v="7"/>
    <x v="24"/>
    <d v="2025-07-16T00:00:00"/>
    <x v="141"/>
    <x v="1184"/>
    <n v="887"/>
  </r>
  <r>
    <s v="stage_reached_300 (App)"/>
    <x v="15"/>
    <x v="24"/>
    <d v="2025-07-20T00:00:00"/>
    <x v="144"/>
    <x v="1185"/>
    <n v="1632"/>
  </r>
  <r>
    <s v="stage_reached_300 (App)"/>
    <x v="2"/>
    <x v="24"/>
    <d v="2025-07-20T00:00:00"/>
    <x v="160"/>
    <x v="1186"/>
    <n v="1214"/>
  </r>
  <r>
    <s v="stage_reached_300 (App)"/>
    <x v="0"/>
    <x v="24"/>
    <d v="2025-07-17T00:00:00"/>
    <x v="160"/>
    <x v="1187"/>
    <n v="960"/>
  </r>
  <r>
    <s v="stage_reached_300 (App)"/>
    <x v="0"/>
    <x v="24"/>
    <d v="2025-07-17T00:00:00"/>
    <x v="185"/>
    <x v="1188"/>
    <n v="1348"/>
  </r>
  <r>
    <s v="stage_reached_300 (App)"/>
    <x v="0"/>
    <x v="24"/>
    <d v="2025-07-18T00:00:00"/>
    <x v="47"/>
    <x v="1189"/>
    <n v="1613"/>
  </r>
  <r>
    <s v="stage_reached_300 (App)"/>
    <x v="4"/>
    <x v="24"/>
    <d v="2025-07-22T00:00:00"/>
    <x v="47"/>
    <x v="1190"/>
    <n v="1463"/>
  </r>
  <r>
    <s v="stage_reached_300 (App)"/>
    <x v="4"/>
    <x v="24"/>
    <d v="2025-07-22T00:00:00"/>
    <x v="47"/>
    <x v="1191"/>
    <n v="1495"/>
  </r>
  <r>
    <s v="stage_reached_300 (App)"/>
    <x v="4"/>
    <x v="24"/>
    <d v="2025-07-23T00:00:00"/>
    <x v="47"/>
    <x v="1192"/>
    <n v="1458"/>
  </r>
  <r>
    <s v="stage_reached_300 (App)"/>
    <x v="9"/>
    <x v="24"/>
    <d v="2025-07-18T00:00:00"/>
    <x v="47"/>
    <x v="1193"/>
    <n v="1504"/>
  </r>
  <r>
    <s v="stage_reached_300 (App)"/>
    <x v="11"/>
    <x v="24"/>
    <d v="2025-07-23T00:00:00"/>
    <x v="47"/>
    <x v="1194"/>
    <n v="1442"/>
  </r>
  <r>
    <s v="stage_reached_300 (App)"/>
    <x v="7"/>
    <x v="24"/>
    <d v="2025-07-18T00:00:00"/>
    <x v="47"/>
    <x v="1195"/>
    <n v="1456"/>
  </r>
  <r>
    <s v="stage_reached_300 (App)"/>
    <x v="1"/>
    <x v="24"/>
    <d v="2025-07-19T00:00:00"/>
    <x v="47"/>
    <x v="1196"/>
    <n v="1436"/>
  </r>
  <r>
    <s v="stage_reached_300 (App)"/>
    <x v="18"/>
    <x v="24"/>
    <d v="2025-07-19T00:00:00"/>
    <x v="47"/>
    <x v="1197"/>
    <n v="1396"/>
  </r>
  <r>
    <s v="stage_reached_300 (App)"/>
    <x v="4"/>
    <x v="24"/>
    <d v="2025-07-22T00:00:00"/>
    <x v="47"/>
    <x v="1198"/>
    <n v="1361"/>
  </r>
  <r>
    <s v="stage_reached_300 (App)"/>
    <x v="4"/>
    <x v="24"/>
    <d v="2024-09-29T00:00:00"/>
    <x v="47"/>
    <x v="1199"/>
    <n v="1856"/>
  </r>
  <r>
    <s v="stage_reached_300 (App)"/>
    <x v="17"/>
    <x v="24"/>
    <d v="2025-07-21T00:00:00"/>
    <x v="47"/>
    <x v="1200"/>
    <n v="1342"/>
  </r>
  <r>
    <s v="stage_reached_300 (App)"/>
    <x v="0"/>
    <x v="24"/>
    <d v="2025-07-19T00:00:00"/>
    <x v="47"/>
    <x v="1201"/>
    <n v="1299"/>
  </r>
  <r>
    <s v="stage_reached_300 (App)"/>
    <x v="15"/>
    <x v="24"/>
    <d v="2025-07-21T00:00:00"/>
    <x v="47"/>
    <x v="1202"/>
    <n v="1393"/>
  </r>
  <r>
    <s v="stage_reached_300 (App)"/>
    <x v="7"/>
    <x v="24"/>
    <d v="2025-07-19T00:00:00"/>
    <x v="47"/>
    <x v="1203"/>
    <n v="1266"/>
  </r>
  <r>
    <s v="stage_reached_300 (App)"/>
    <x v="4"/>
    <x v="24"/>
    <d v="2025-07-20T00:00:00"/>
    <x v="47"/>
    <x v="1204"/>
    <n v="1246"/>
  </r>
  <r>
    <s v="stage_reached_300 (App)"/>
    <x v="4"/>
    <x v="24"/>
    <d v="2025-07-19T00:00:00"/>
    <x v="47"/>
    <x v="1205"/>
    <n v="1233"/>
  </r>
  <r>
    <s v="stage_reached_300 (App)"/>
    <x v="9"/>
    <x v="24"/>
    <d v="2025-07-19T00:00:00"/>
    <x v="47"/>
    <x v="1206"/>
    <n v="1313"/>
  </r>
  <r>
    <s v="stage_reached_300 (App)"/>
    <x v="0"/>
    <x v="24"/>
    <d v="2025-07-21T00:00:00"/>
    <x v="47"/>
    <x v="1207"/>
    <n v="1217"/>
  </r>
  <r>
    <s v="stage_reached_300 (App)"/>
    <x v="0"/>
    <x v="24"/>
    <d v="2025-07-19T00:00:00"/>
    <x v="47"/>
    <x v="1208"/>
    <n v="1369"/>
  </r>
  <r>
    <s v="stage_reached_300 (App)"/>
    <x v="0"/>
    <x v="24"/>
    <d v="2025-07-20T00:00:00"/>
    <x v="47"/>
    <x v="1209"/>
    <n v="1211"/>
  </r>
  <r>
    <s v="stage_reached_300 (App)"/>
    <x v="4"/>
    <x v="24"/>
    <d v="2025-07-20T00:00:00"/>
    <x v="47"/>
    <x v="1210"/>
    <n v="1204"/>
  </r>
  <r>
    <s v="stage_reached_300 (App)"/>
    <x v="18"/>
    <x v="24"/>
    <d v="2025-07-18T00:00:00"/>
    <x v="47"/>
    <x v="1211"/>
    <n v="1159"/>
  </r>
  <r>
    <s v="stage_reached_300 (App)"/>
    <x v="14"/>
    <x v="24"/>
    <d v="2025-07-19T00:00:00"/>
    <x v="47"/>
    <x v="1212"/>
    <n v="1369"/>
  </r>
  <r>
    <s v="stage_reached_300 (App)"/>
    <x v="4"/>
    <x v="24"/>
    <d v="2025-07-18T00:00:00"/>
    <x v="47"/>
    <x v="1213"/>
    <n v="1131"/>
  </r>
  <r>
    <s v="stage_reached_300 (App)"/>
    <x v="9"/>
    <x v="24"/>
    <d v="2025-07-19T00:00:00"/>
    <x v="47"/>
    <x v="1214"/>
    <n v="1228"/>
  </r>
  <r>
    <s v="stage_reached_300 (App)"/>
    <x v="9"/>
    <x v="24"/>
    <d v="2025-07-19T00:00:00"/>
    <x v="47"/>
    <x v="1215"/>
    <n v="1135"/>
  </r>
  <r>
    <s v="stage_reached_300 (App)"/>
    <x v="10"/>
    <x v="24"/>
    <d v="2025-07-18T00:00:00"/>
    <x v="47"/>
    <x v="1216"/>
    <n v="1045"/>
  </r>
  <r>
    <s v="stage_reached_300 (App)"/>
    <x v="0"/>
    <x v="24"/>
    <d v="2025-07-17T00:00:00"/>
    <x v="47"/>
    <x v="1217"/>
    <n v="1148"/>
  </r>
  <r>
    <s v="stage_reached_300 (App)"/>
    <x v="3"/>
    <x v="24"/>
    <d v="2025-07-18T00:00:00"/>
    <x v="47"/>
    <x v="1218"/>
    <n v="1029"/>
  </r>
  <r>
    <s v="stage_reached_300 (App)"/>
    <x v="9"/>
    <x v="24"/>
    <d v="2025-07-17T00:00:00"/>
    <x v="47"/>
    <x v="1219"/>
    <n v="940"/>
  </r>
  <r>
    <s v="stage_reached_300 (App)"/>
    <x v="0"/>
    <x v="24"/>
    <d v="2025-07-17T00:00:00"/>
    <x v="47"/>
    <x v="1220"/>
    <n v="959"/>
  </r>
  <r>
    <s v="stage_reached_300 (App)"/>
    <x v="0"/>
    <x v="24"/>
    <d v="2025-07-17T00:00:00"/>
    <x v="47"/>
    <x v="1221"/>
    <n v="1004"/>
  </r>
  <r>
    <s v="stage_reached_300 (App)"/>
    <x v="4"/>
    <x v="24"/>
    <d v="2025-07-23T00:00:00"/>
    <x v="186"/>
    <x v="1222"/>
    <n v="1446"/>
  </r>
  <r>
    <s v="stage_reached_300 (App)"/>
    <x v="9"/>
    <x v="24"/>
    <d v="2025-07-19T00:00:00"/>
    <x v="120"/>
    <x v="1223"/>
    <n v="1174"/>
  </r>
  <r>
    <s v="stage_reached_300 (App)"/>
    <x v="9"/>
    <x v="24"/>
    <d v="2025-07-19T00:00:00"/>
    <x v="120"/>
    <x v="1224"/>
    <n v="1183"/>
  </r>
  <r>
    <s v="stage_reached_300 (App)"/>
    <x v="13"/>
    <x v="24"/>
    <d v="2025-07-19T00:00:00"/>
    <x v="120"/>
    <x v="1225"/>
    <n v="1123"/>
  </r>
  <r>
    <s v="stage_reached_300 (App)"/>
    <x v="0"/>
    <x v="24"/>
    <d v="2025-07-19T00:00:00"/>
    <x v="120"/>
    <x v="1226"/>
    <n v="1064"/>
  </r>
  <r>
    <s v="stage_reached_300 (App)"/>
    <x v="12"/>
    <x v="25"/>
    <d v="2025-07-18T00:00:00"/>
    <x v="111"/>
    <x v="1227"/>
    <n v="1464"/>
  </r>
  <r>
    <s v="stage_reached_300 (App)"/>
    <x v="1"/>
    <x v="25"/>
    <d v="2025-07-20T00:00:00"/>
    <x v="85"/>
    <x v="1228"/>
    <n v="1341"/>
  </r>
  <r>
    <s v="stage_reached_300 (App)"/>
    <x v="4"/>
    <x v="25"/>
    <d v="2025-07-20T00:00:00"/>
    <x v="132"/>
    <x v="1229"/>
    <n v="1349"/>
  </r>
  <r>
    <s v="stage_reached_300 (App)"/>
    <x v="0"/>
    <x v="25"/>
    <d v="2025-07-16T00:00:00"/>
    <x v="105"/>
    <x v="1230"/>
    <n v="988"/>
  </r>
  <r>
    <s v="stage_reached_300 (App)"/>
    <x v="13"/>
    <x v="25"/>
    <d v="2025-07-15T00:00:00"/>
    <x v="175"/>
    <x v="1231"/>
    <n v="1059"/>
  </r>
  <r>
    <s v="stage_reached_300 (App)"/>
    <x v="4"/>
    <x v="25"/>
    <d v="2025-07-18T00:00:00"/>
    <x v="185"/>
    <x v="1232"/>
    <n v="1163"/>
  </r>
  <r>
    <s v="stage_reached_300 (App)"/>
    <x v="9"/>
    <x v="25"/>
    <d v="2025-07-19T00:00:00"/>
    <x v="161"/>
    <x v="1233"/>
    <n v="1351"/>
  </r>
  <r>
    <s v="stage_reached_300 (App)"/>
    <x v="0"/>
    <x v="25"/>
    <d v="2025-07-21T00:00:00"/>
    <x v="47"/>
    <x v="1234"/>
    <n v="1464"/>
  </r>
  <r>
    <s v="stage_reached_300 (App)"/>
    <x v="1"/>
    <x v="25"/>
    <d v="2025-07-20T00:00:00"/>
    <x v="47"/>
    <x v="1235"/>
    <n v="1392"/>
  </r>
  <r>
    <s v="stage_reached_300 (App)"/>
    <x v="0"/>
    <x v="25"/>
    <d v="2025-07-18T00:00:00"/>
    <x v="47"/>
    <x v="1236"/>
    <n v="1491"/>
  </r>
  <r>
    <s v="stage_reached_300 (App)"/>
    <x v="7"/>
    <x v="25"/>
    <d v="2025-07-19T00:00:00"/>
    <x v="47"/>
    <x v="1237"/>
    <n v="1382"/>
  </r>
  <r>
    <s v="stage_reached_300 (App)"/>
    <x v="4"/>
    <x v="25"/>
    <d v="2025-07-21T00:00:00"/>
    <x v="47"/>
    <x v="1238"/>
    <n v="1390"/>
  </r>
  <r>
    <s v="stage_reached_300 (App)"/>
    <x v="3"/>
    <x v="25"/>
    <d v="2025-07-19T00:00:00"/>
    <x v="47"/>
    <x v="1239"/>
    <n v="1389"/>
  </r>
  <r>
    <s v="stage_reached_300 (App)"/>
    <x v="0"/>
    <x v="25"/>
    <d v="2025-07-20T00:00:00"/>
    <x v="47"/>
    <x v="1240"/>
    <n v="1380"/>
  </r>
  <r>
    <s v="stage_reached_300 (App)"/>
    <x v="0"/>
    <x v="25"/>
    <d v="2025-07-20T00:00:00"/>
    <x v="47"/>
    <x v="1241"/>
    <n v="1339"/>
  </r>
  <r>
    <s v="stage_reached_300 (App)"/>
    <x v="0"/>
    <x v="25"/>
    <d v="2025-07-18T00:00:00"/>
    <x v="47"/>
    <x v="1242"/>
    <n v="1598"/>
  </r>
  <r>
    <s v="stage_reached_300 (App)"/>
    <x v="9"/>
    <x v="25"/>
    <d v="2025-07-20T00:00:00"/>
    <x v="47"/>
    <x v="1243"/>
    <n v="1352"/>
  </r>
  <r>
    <s v="stage_reached_300 (App)"/>
    <x v="9"/>
    <x v="25"/>
    <d v="2025-07-19T00:00:00"/>
    <x v="47"/>
    <x v="1244"/>
    <n v="1316"/>
  </r>
  <r>
    <s v="stage_reached_300 (App)"/>
    <x v="10"/>
    <x v="25"/>
    <d v="2025-07-20T00:00:00"/>
    <x v="47"/>
    <x v="1245"/>
    <n v="1282"/>
  </r>
  <r>
    <s v="stage_reached_300 (App)"/>
    <x v="3"/>
    <x v="25"/>
    <d v="2025-07-19T00:00:00"/>
    <x v="47"/>
    <x v="1246"/>
    <n v="1372"/>
  </r>
  <r>
    <s v="stage_reached_300 (App)"/>
    <x v="15"/>
    <x v="25"/>
    <d v="2025-07-19T00:00:00"/>
    <x v="47"/>
    <x v="1247"/>
    <n v="1271"/>
  </r>
  <r>
    <s v="stage_reached_300 (App)"/>
    <x v="0"/>
    <x v="25"/>
    <d v="2025-07-19T00:00:00"/>
    <x v="47"/>
    <x v="1248"/>
    <n v="1225"/>
  </r>
  <r>
    <s v="stage_reached_300 (App)"/>
    <x v="15"/>
    <x v="25"/>
    <d v="2025-07-18T00:00:00"/>
    <x v="47"/>
    <x v="1249"/>
    <n v="1204"/>
  </r>
  <r>
    <s v="stage_reached_300 (App)"/>
    <x v="7"/>
    <x v="25"/>
    <d v="2025-07-18T00:00:00"/>
    <x v="47"/>
    <x v="1250"/>
    <n v="1218"/>
  </r>
  <r>
    <s v="stage_reached_300 (App)"/>
    <x v="7"/>
    <x v="25"/>
    <d v="2025-07-16T00:00:00"/>
    <x v="47"/>
    <x v="1251"/>
    <n v="1101"/>
  </r>
  <r>
    <s v="stage_reached_300 (App)"/>
    <x v="19"/>
    <x v="25"/>
    <d v="2025-07-17T00:00:00"/>
    <x v="47"/>
    <x v="1252"/>
    <n v="1102"/>
  </r>
  <r>
    <s v="stage_reached_300 (App)"/>
    <x v="0"/>
    <x v="25"/>
    <d v="2025-07-17T00:00:00"/>
    <x v="47"/>
    <x v="1253"/>
    <n v="1150"/>
  </r>
  <r>
    <s v="stage_reached_300 (App)"/>
    <x v="7"/>
    <x v="25"/>
    <d v="2025-07-15T00:00:00"/>
    <x v="47"/>
    <x v="1254"/>
    <n v="1877"/>
  </r>
  <r>
    <s v="stage_reached_300 (App)"/>
    <x v="0"/>
    <x v="25"/>
    <d v="2025-07-17T00:00:00"/>
    <x v="47"/>
    <x v="1255"/>
    <n v="1115"/>
  </r>
  <r>
    <s v="stage_reached_300 (App)"/>
    <x v="0"/>
    <x v="25"/>
    <d v="2025-07-16T00:00:00"/>
    <x v="47"/>
    <x v="1256"/>
    <n v="988"/>
  </r>
  <r>
    <s v="stage_reached_300 (App)"/>
    <x v="9"/>
    <x v="25"/>
    <d v="2025-07-16T00:00:00"/>
    <x v="47"/>
    <x v="1257"/>
    <n v="912"/>
  </r>
  <r>
    <s v="stage_reached_300 (App)"/>
    <x v="0"/>
    <x v="25"/>
    <d v="2025-07-16T00:00:00"/>
    <x v="47"/>
    <x v="1258"/>
    <n v="963"/>
  </r>
  <r>
    <s v="stage_reached_300 (App)"/>
    <x v="0"/>
    <x v="25"/>
    <d v="2025-07-19T00:00:00"/>
    <x v="120"/>
    <x v="1259"/>
    <n v="1365"/>
  </r>
  <r>
    <s v="stage_reached_300 (App)"/>
    <x v="4"/>
    <x v="25"/>
    <d v="2025-07-18T00:00:00"/>
    <x v="120"/>
    <x v="1260"/>
    <n v="1262"/>
  </r>
  <r>
    <s v="stage_reached_300 (App)"/>
    <x v="3"/>
    <x v="26"/>
    <d v="2025-07-18T00:00:00"/>
    <x v="162"/>
    <x v="1261"/>
    <n v="1180"/>
  </r>
  <r>
    <s v="stage_reached_300 (App)"/>
    <x v="15"/>
    <x v="26"/>
    <d v="2025-07-17T00:00:00"/>
    <x v="100"/>
    <x v="1262"/>
    <n v="1194"/>
  </r>
  <r>
    <s v="stage_reached_300 (App)"/>
    <x v="15"/>
    <x v="26"/>
    <d v="2025-07-20T00:00:00"/>
    <x v="136"/>
    <x v="1263"/>
    <n v="1473"/>
  </r>
  <r>
    <s v="stage_reached_300 (App)"/>
    <x v="19"/>
    <x v="26"/>
    <d v="2025-07-19T00:00:00"/>
    <x v="136"/>
    <x v="1264"/>
    <n v="1341"/>
  </r>
  <r>
    <s v="stage_reached_300 (App)"/>
    <x v="17"/>
    <x v="26"/>
    <d v="2025-07-18T00:00:00"/>
    <x v="102"/>
    <x v="1265"/>
    <n v="1240"/>
  </r>
  <r>
    <s v="stage_reached_300 (App)"/>
    <x v="21"/>
    <x v="26"/>
    <d v="2025-07-19T00:00:00"/>
    <x v="104"/>
    <x v="1266"/>
    <n v="1323"/>
  </r>
  <r>
    <s v="stage_reached_300 (App)"/>
    <x v="9"/>
    <x v="26"/>
    <d v="2025-07-17T00:00:00"/>
    <x v="142"/>
    <x v="1267"/>
    <n v="1292"/>
  </r>
  <r>
    <s v="stage_reached_300 (App)"/>
    <x v="11"/>
    <x v="26"/>
    <d v="2025-07-21T00:00:00"/>
    <x v="89"/>
    <x v="1268"/>
    <n v="1437"/>
  </r>
  <r>
    <s v="stage_reached_300 (App)"/>
    <x v="9"/>
    <x v="26"/>
    <d v="2025-07-19T00:00:00"/>
    <x v="89"/>
    <x v="1269"/>
    <n v="1401"/>
  </r>
  <r>
    <s v="stage_reached_300 (App)"/>
    <x v="0"/>
    <x v="26"/>
    <d v="2025-07-15T00:00:00"/>
    <x v="160"/>
    <x v="1270"/>
    <n v="1919"/>
  </r>
  <r>
    <s v="stage_reached_300 (App)"/>
    <x v="4"/>
    <x v="26"/>
    <d v="2025-07-21T00:00:00"/>
    <x v="47"/>
    <x v="1271"/>
    <n v="1645"/>
  </r>
  <r>
    <s v="stage_reached_300 (App)"/>
    <x v="0"/>
    <x v="26"/>
    <d v="2025-07-22T00:00:00"/>
    <x v="47"/>
    <x v="1272"/>
    <n v="1520"/>
  </r>
  <r>
    <s v="stage_reached_300 (App)"/>
    <x v="0"/>
    <x v="26"/>
    <d v="2025-07-22T00:00:00"/>
    <x v="47"/>
    <x v="1273"/>
    <n v="1521"/>
  </r>
  <r>
    <s v="stage_reached_300 (App)"/>
    <x v="0"/>
    <x v="26"/>
    <d v="2025-07-18T00:00:00"/>
    <x v="47"/>
    <x v="1274"/>
    <n v="1527"/>
  </r>
  <r>
    <s v="stage_reached_300 (App)"/>
    <x v="0"/>
    <x v="26"/>
    <d v="2025-07-21T00:00:00"/>
    <x v="47"/>
    <x v="1275"/>
    <n v="1436"/>
  </r>
  <r>
    <s v="stage_reached_300 (App)"/>
    <x v="0"/>
    <x v="26"/>
    <d v="2025-07-20T00:00:00"/>
    <x v="47"/>
    <x v="1276"/>
    <n v="1468"/>
  </r>
  <r>
    <s v="stage_reached_300 (App)"/>
    <x v="9"/>
    <x v="26"/>
    <d v="2025-07-20T00:00:00"/>
    <x v="47"/>
    <x v="1277"/>
    <n v="1393"/>
  </r>
  <r>
    <s v="stage_reached_300 (App)"/>
    <x v="0"/>
    <x v="26"/>
    <d v="2025-07-20T00:00:00"/>
    <x v="47"/>
    <x v="1278"/>
    <n v="1371"/>
  </r>
  <r>
    <s v="stage_reached_300 (App)"/>
    <x v="0"/>
    <x v="26"/>
    <d v="2025-07-19T00:00:00"/>
    <x v="47"/>
    <x v="1279"/>
    <n v="1352"/>
  </r>
  <r>
    <s v="stage_reached_300 (App)"/>
    <x v="10"/>
    <x v="26"/>
    <d v="2025-07-19T00:00:00"/>
    <x v="47"/>
    <x v="1280"/>
    <n v="1315"/>
  </r>
  <r>
    <s v="stage_reached_300 (App)"/>
    <x v="2"/>
    <x v="26"/>
    <d v="2025-07-17T00:00:00"/>
    <x v="47"/>
    <x v="1281"/>
    <n v="1353"/>
  </r>
  <r>
    <s v="stage_reached_300 (App)"/>
    <x v="11"/>
    <x v="26"/>
    <d v="2025-07-18T00:00:00"/>
    <x v="47"/>
    <x v="1282"/>
    <n v="1361"/>
  </r>
  <r>
    <s v="stage_reached_300 (App)"/>
    <x v="0"/>
    <x v="26"/>
    <d v="2025-07-17T00:00:00"/>
    <x v="47"/>
    <x v="1283"/>
    <n v="1322"/>
  </r>
  <r>
    <s v="stage_reached_300 (App)"/>
    <x v="5"/>
    <x v="26"/>
    <d v="2025-07-17T00:00:00"/>
    <x v="47"/>
    <x v="1284"/>
    <n v="1213"/>
  </r>
  <r>
    <s v="stage_reached_300 (App)"/>
    <x v="14"/>
    <x v="26"/>
    <d v="2025-07-16T00:00:00"/>
    <x v="47"/>
    <x v="1285"/>
    <n v="1289"/>
  </r>
  <r>
    <s v="stage_reached_300 (App)"/>
    <x v="4"/>
    <x v="26"/>
    <d v="2025-07-16T00:00:00"/>
    <x v="47"/>
    <x v="1286"/>
    <n v="1193"/>
  </r>
  <r>
    <s v="stage_reached_300 (App)"/>
    <x v="15"/>
    <x v="26"/>
    <d v="2025-07-15T00:00:00"/>
    <x v="47"/>
    <x v="1287"/>
    <n v="1842"/>
  </r>
  <r>
    <s v="stage_reached_300 (App)"/>
    <x v="9"/>
    <x v="26"/>
    <d v="2025-07-19T00:00:00"/>
    <x v="120"/>
    <x v="1288"/>
    <n v="1402"/>
  </r>
  <r>
    <s v="stage_reached_300 (App)"/>
    <x v="4"/>
    <x v="26"/>
    <d v="2025-07-18T00:00:00"/>
    <x v="120"/>
    <x v="1289"/>
    <n v="1339"/>
  </r>
  <r>
    <s v="stage_reached_300 (App)"/>
    <x v="3"/>
    <x v="26"/>
    <d v="2025-07-17T00:00:00"/>
    <x v="120"/>
    <x v="1290"/>
    <n v="1238"/>
  </r>
  <r>
    <s v="stage_reached_300 (App)"/>
    <x v="1"/>
    <x v="27"/>
    <d v="2025-07-16T00:00:00"/>
    <x v="187"/>
    <x v="1291"/>
    <n v="1130"/>
  </r>
  <r>
    <s v="stage_reached_300 (App)"/>
    <x v="4"/>
    <x v="27"/>
    <d v="2025-07-19T00:00:00"/>
    <x v="112"/>
    <x v="1292"/>
    <n v="1467"/>
  </r>
  <r>
    <s v="stage_reached_300 (App)"/>
    <x v="13"/>
    <x v="27"/>
    <d v="2025-07-18T00:00:00"/>
    <x v="104"/>
    <x v="1293"/>
    <n v="1301"/>
  </r>
  <r>
    <s v="stage_reached_300 (App)"/>
    <x v="4"/>
    <x v="27"/>
    <d v="2025-07-19T00:00:00"/>
    <x v="160"/>
    <x v="1294"/>
    <n v="1547"/>
  </r>
  <r>
    <s v="stage_reached_300 (App)"/>
    <x v="3"/>
    <x v="27"/>
    <d v="2025-07-18T00:00:00"/>
    <x v="47"/>
    <x v="1295"/>
    <n v="1572"/>
  </r>
  <r>
    <s v="stage_reached_300 (App)"/>
    <x v="3"/>
    <x v="27"/>
    <d v="2025-07-20T00:00:00"/>
    <x v="47"/>
    <x v="1296"/>
    <n v="1551"/>
  </r>
  <r>
    <s v="stage_reached_300 (App)"/>
    <x v="0"/>
    <x v="27"/>
    <d v="2025-07-20T00:00:00"/>
    <x v="47"/>
    <x v="1297"/>
    <n v="1450"/>
  </r>
  <r>
    <s v="stage_reached_300 (App)"/>
    <x v="9"/>
    <x v="27"/>
    <d v="2025-07-19T00:00:00"/>
    <x v="47"/>
    <x v="1298"/>
    <n v="1442"/>
  </r>
  <r>
    <s v="stage_reached_300 (App)"/>
    <x v="1"/>
    <x v="27"/>
    <d v="2025-07-18T00:00:00"/>
    <x v="47"/>
    <x v="1299"/>
    <n v="1492"/>
  </r>
  <r>
    <s v="stage_reached_300 (App)"/>
    <x v="0"/>
    <x v="27"/>
    <d v="2025-07-18T00:00:00"/>
    <x v="47"/>
    <x v="1300"/>
    <n v="1266"/>
  </r>
  <r>
    <s v="stage_reached_300 (App)"/>
    <x v="9"/>
    <x v="27"/>
    <d v="2025-07-17T00:00:00"/>
    <x v="47"/>
    <x v="1301"/>
    <n v="1280"/>
  </r>
  <r>
    <s v="stage_reached_300 (App)"/>
    <x v="14"/>
    <x v="27"/>
    <d v="2025-07-17T00:00:00"/>
    <x v="47"/>
    <x v="1302"/>
    <n v="1229"/>
  </r>
  <r>
    <s v="stage_reached_300 (App)"/>
    <x v="15"/>
    <x v="27"/>
    <d v="2025-07-16T00:00:00"/>
    <x v="47"/>
    <x v="1303"/>
    <n v="1137"/>
  </r>
  <r>
    <s v="stage_reached_300 (App)"/>
    <x v="4"/>
    <x v="27"/>
    <d v="2025-07-16T00:00:00"/>
    <x v="47"/>
    <x v="1304"/>
    <n v="1137"/>
  </r>
  <r>
    <s v="stage_reached_300 (App)"/>
    <x v="9"/>
    <x v="27"/>
    <d v="2025-07-18T00:00:00"/>
    <x v="120"/>
    <x v="1305"/>
    <n v="1360"/>
  </r>
  <r>
    <s v="stage_reached_300 (App)"/>
    <x v="14"/>
    <x v="27"/>
    <d v="2025-07-19T00:00:00"/>
    <x v="120"/>
    <x v="1306"/>
    <n v="1369"/>
  </r>
  <r>
    <s v="stage_reached_300 (App)"/>
    <x v="3"/>
    <x v="28"/>
    <d v="2025-07-19T00:00:00"/>
    <x v="47"/>
    <x v="1307"/>
    <n v="1529"/>
  </r>
  <r>
    <s v="stage_reached_300 (App)"/>
    <x v="3"/>
    <x v="28"/>
    <d v="2025-07-19T00:00:00"/>
    <x v="47"/>
    <x v="1308"/>
    <n v="1540"/>
  </r>
  <r>
    <s v="stage_reached_300 (App)"/>
    <x v="3"/>
    <x v="28"/>
    <d v="2025-07-15T00:00:00"/>
    <x v="47"/>
    <x v="1309"/>
    <n v="1847"/>
  </r>
  <r>
    <s v="stage_reached_300 (App)"/>
    <x v="0"/>
    <x v="28"/>
    <d v="2025-07-16T00:00:00"/>
    <x v="47"/>
    <x v="1310"/>
    <n v="1462"/>
  </r>
  <r>
    <s v="stage_reached_300 (App)"/>
    <x v="1"/>
    <x v="28"/>
    <d v="2025-07-17T00:00:00"/>
    <x v="47"/>
    <x v="1311"/>
    <n v="1391"/>
  </r>
  <r>
    <s v="stage_reached_300 (App)"/>
    <x v="19"/>
    <x v="28"/>
    <d v="2025-07-17T00:00:00"/>
    <x v="47"/>
    <x v="1312"/>
    <n v="1520"/>
  </r>
  <r>
    <s v="stage_reached_300 (App)"/>
    <x v="1"/>
    <x v="28"/>
    <d v="2025-07-17T00:00:00"/>
    <x v="47"/>
    <x v="1313"/>
    <n v="1408"/>
  </r>
  <r>
    <s v="stage_reached_300 (App)"/>
    <x v="4"/>
    <x v="28"/>
    <d v="2025-07-20T00:00:00"/>
    <x v="120"/>
    <x v="1314"/>
    <n v="1530"/>
  </r>
  <r>
    <s v="stage_reached_300 (App)"/>
    <x v="0"/>
    <x v="28"/>
    <d v="2025-07-20T00:00:00"/>
    <x v="120"/>
    <x v="1315"/>
    <n v="1517"/>
  </r>
  <r>
    <s v="stage_reached_300 (App)"/>
    <x v="1"/>
    <x v="28"/>
    <d v="2025-07-19T00:00:00"/>
    <x v="120"/>
    <x v="1316"/>
    <n v="1467"/>
  </r>
  <r>
    <s v="stage_reached_300 (App)"/>
    <x v="1"/>
    <x v="28"/>
    <d v="2025-07-16T00:00:00"/>
    <x v="120"/>
    <x v="1317"/>
    <n v="1241"/>
  </r>
  <r>
    <s v="stage_reached_300 (App)"/>
    <x v="4"/>
    <x v="29"/>
    <d v="2025-07-18T00:00:00"/>
    <x v="111"/>
    <x v="1318"/>
    <n v="2121"/>
  </r>
  <r>
    <s v="stage_reached_300 (App)"/>
    <x v="3"/>
    <x v="29"/>
    <d v="2025-07-16T00:00:00"/>
    <x v="161"/>
    <x v="1319"/>
    <n v="1453"/>
  </r>
  <r>
    <s v="stage_reached_300 (App)"/>
    <x v="1"/>
    <x v="29"/>
    <d v="2025-07-19T00:00:00"/>
    <x v="47"/>
    <x v="1320"/>
    <n v="1562"/>
  </r>
  <r>
    <s v="stage_reached_300 (App)"/>
    <x v="14"/>
    <x v="29"/>
    <d v="2025-07-19T00:00:00"/>
    <x v="47"/>
    <x v="1321"/>
    <n v="1565"/>
  </r>
  <r>
    <s v="stage_reached_300 (App)"/>
    <x v="0"/>
    <x v="29"/>
    <d v="2025-07-17T00:00:00"/>
    <x v="47"/>
    <x v="1322"/>
    <n v="1459"/>
  </r>
  <r>
    <s v="stage_reached_300 (App)"/>
    <x v="4"/>
    <x v="29"/>
    <d v="2025-07-17T00:00:00"/>
    <x v="47"/>
    <x v="1323"/>
    <n v="1717"/>
  </r>
  <r>
    <s v="stage_reached_300 (App)"/>
    <x v="0"/>
    <x v="29"/>
    <d v="2025-07-16T00:00:00"/>
    <x v="120"/>
    <x v="1324"/>
    <n v="1440"/>
  </r>
  <r>
    <s v="stage_reached_300 (App)"/>
    <x v="14"/>
    <x v="29"/>
    <d v="2025-07-15T00:00:00"/>
    <x v="120"/>
    <x v="1325"/>
    <n v="1847"/>
  </r>
  <r>
    <s v="stage_reached_300 (App)"/>
    <x v="20"/>
    <x v="30"/>
    <d v="2025-07-18T00:00:00"/>
    <x v="47"/>
    <x v="1326"/>
    <n v="1544"/>
  </r>
  <r>
    <s v="stage_reached_300 (App)"/>
    <x v="4"/>
    <x v="30"/>
    <d v="2025-07-17T00:00:00"/>
    <x v="47"/>
    <x v="1327"/>
    <n v="1450"/>
  </r>
  <r>
    <s v="stage_reached_300 (App)"/>
    <x v="4"/>
    <x v="30"/>
    <d v="2025-07-16T00:00:00"/>
    <x v="47"/>
    <x v="1328"/>
    <n v="1561"/>
  </r>
  <r>
    <s v="stage_reached_300 (App)"/>
    <x v="3"/>
    <x v="30"/>
    <d v="2025-07-15T00:00:00"/>
    <x v="47"/>
    <x v="1329"/>
    <n v="1881"/>
  </r>
  <r>
    <s v="stage_reached_300 (App)"/>
    <x v="9"/>
    <x v="31"/>
    <d v="2025-01-16T00:00:00"/>
    <x v="161"/>
    <x v="1330"/>
    <n v="1918"/>
  </r>
  <r>
    <s v="stage_reached_300 (App)"/>
    <x v="4"/>
    <x v="31"/>
    <d v="2025-07-16T00:00:00"/>
    <x v="47"/>
    <x v="1331"/>
    <n v="1555"/>
  </r>
  <r>
    <s v="stage_reached_300 (App)"/>
    <x v="17"/>
    <x v="31"/>
    <d v="2024-10-02T00:00:00"/>
    <x v="47"/>
    <x v="1332"/>
    <n v="1846"/>
  </r>
  <r>
    <s v="stage_reached_300 (App)"/>
    <x v="9"/>
    <x v="32"/>
    <d v="2024-09-29T00:00:00"/>
    <x v="47"/>
    <x v="1333"/>
    <n v="1840"/>
  </r>
  <r>
    <s v="stage_reached_300 (App)"/>
    <x v="9"/>
    <x v="33"/>
    <d v="2025-06-29T00:00:00"/>
    <x v="141"/>
    <x v="1334"/>
    <n v="1873"/>
  </r>
  <r>
    <s v="stage_reached_300 (App)"/>
    <x v="14"/>
    <x v="34"/>
    <d v="2025-06-22T00:00:00"/>
    <x v="47"/>
    <x v="1335"/>
    <n v="1903"/>
  </r>
  <r>
    <s v="Event Category,"/>
    <x v="26"/>
    <x v="35"/>
    <s v="install_day"/>
    <x v="188"/>
    <x v="1336"/>
    <s v="user_rank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s v="stage_reached_400 (App)"/>
    <x v="0"/>
    <x v="0"/>
    <d v="2025-07-20T00:00:00"/>
    <x v="0"/>
    <s v="길길길"/>
    <n v="187"/>
  </r>
  <r>
    <s v="stage_reached_400 (App)"/>
    <x v="1"/>
    <x v="1"/>
    <d v="2025-07-20T00:00:00"/>
    <x v="1"/>
    <s v="애플청포도"/>
    <n v="228"/>
  </r>
  <r>
    <s v="stage_reached_400 (App)"/>
    <x v="1"/>
    <x v="2"/>
    <d v="2025-07-16T00:00:00"/>
    <x v="2"/>
    <s v="Zaru"/>
    <n v="185"/>
  </r>
  <r>
    <s v="stage_reached_400 (App)"/>
    <x v="0"/>
    <x v="3"/>
    <d v="2025-08-01T00:00:00"/>
    <x v="3"/>
    <s v="도라에몽표류기"/>
    <n v="191"/>
  </r>
  <r>
    <s v="stage_reached_400 (App)"/>
    <x v="0"/>
    <x v="4"/>
    <d v="2025-07-16T00:00:00"/>
    <x v="4"/>
    <s v="쮸니"/>
    <n v="203"/>
  </r>
  <r>
    <s v="stage_reached_400 (App)"/>
    <x v="2"/>
    <x v="5"/>
    <d v="2025-07-27T00:00:00"/>
    <x v="5"/>
    <s v="창사마"/>
    <n v="177"/>
  </r>
  <r>
    <s v="stage_reached_400 (App)"/>
    <x v="2"/>
    <x v="6"/>
    <d v="2025-08-13T00:00:00"/>
    <x v="6"/>
    <s v="슬2"/>
    <n v="184"/>
  </r>
  <r>
    <s v="stage_reached_400 (App)"/>
    <x v="0"/>
    <x v="0"/>
    <d v="2025-07-19T00:00:00"/>
    <x v="4"/>
    <s v="초록메뚜기"/>
    <n v="186"/>
  </r>
  <r>
    <s v="stage_reached_400 (App)"/>
    <x v="0"/>
    <x v="7"/>
    <d v="2025-07-19T00:00:00"/>
    <x v="7"/>
    <s v="당두두당"/>
    <n v="183"/>
  </r>
  <r>
    <s v="stage_reached_400 (App)"/>
    <x v="2"/>
    <x v="8"/>
    <d v="2025-07-25T00:00:00"/>
    <x v="8"/>
    <s v="rubidu"/>
    <n v="180"/>
  </r>
  <r>
    <s v="stage_reached_400 (App)"/>
    <x v="3"/>
    <x v="0"/>
    <d v="2025-07-19T00:00:00"/>
    <x v="9"/>
    <s v="비발디"/>
    <n v="178"/>
  </r>
  <r>
    <s v="stage_reached_400 (App)"/>
    <x v="4"/>
    <x v="9"/>
    <d v="2025-07-18T00:00:00"/>
    <x v="10"/>
    <s v="Henry"/>
    <n v="186"/>
  </r>
  <r>
    <s v="stage_reached_400 (App)"/>
    <x v="5"/>
    <x v="10"/>
    <d v="2025-07-24T00:00:00"/>
    <x v="11"/>
    <s v="아돌이"/>
    <n v="178"/>
  </r>
  <r>
    <s v="stage_reached_400 (App)"/>
    <x v="1"/>
    <x v="0"/>
    <d v="2025-07-19T00:00:00"/>
    <x v="12"/>
    <s v="썩쏘염염"/>
    <n v="182"/>
  </r>
  <r>
    <s v="stage_reached_400 (App)"/>
    <x v="6"/>
    <x v="7"/>
    <d v="2025-07-18T00:00:00"/>
    <x v="13"/>
    <s v="chevti"/>
    <n v="178"/>
  </r>
  <r>
    <s v="stage_reached_400 (App)"/>
    <x v="7"/>
    <x v="11"/>
    <d v="2025-08-02T00:00:00"/>
    <x v="14"/>
    <s v="웅이아부지"/>
    <n v="176"/>
  </r>
  <r>
    <s v="stage_reached_400 (App)"/>
    <x v="7"/>
    <x v="9"/>
    <d v="2025-07-17T00:00:00"/>
    <x v="15"/>
    <s v="얼발"/>
    <n v="179"/>
  </r>
  <r>
    <s v="stage_reached_400 (App)"/>
    <x v="3"/>
    <x v="9"/>
    <d v="2025-07-17T00:00:00"/>
    <x v="2"/>
    <s v="vhl"/>
    <n v="176"/>
  </r>
  <r>
    <s v="stage_reached_400 (App)"/>
    <x v="0"/>
    <x v="12"/>
    <d v="2025-07-21T00:00:00"/>
    <x v="16"/>
    <s v="세종더그레잇"/>
    <n v="174"/>
  </r>
  <r>
    <s v="stage_reached_400 (App)"/>
    <x v="8"/>
    <x v="12"/>
    <d v="2025-07-20T00:00:00"/>
    <x v="17"/>
    <s v="나그넷길"/>
    <n v="199"/>
  </r>
  <r>
    <s v="stage_reached_400 (App)"/>
    <x v="9"/>
    <x v="0"/>
    <d v="2025-07-19T00:00:00"/>
    <x v="18"/>
    <s v="GaDo"/>
    <n v="173"/>
  </r>
  <r>
    <s v="stage_reached_400 (App)"/>
    <x v="10"/>
    <x v="13"/>
    <d v="2025-08-06T00:00:00"/>
    <x v="19"/>
    <s v="야촌"/>
    <n v="170"/>
  </r>
  <r>
    <s v="stage_reached_400 (App)"/>
    <x v="1"/>
    <x v="10"/>
    <d v="2025-07-23T00:00:00"/>
    <x v="20"/>
    <s v="놀우"/>
    <n v="168"/>
  </r>
  <r>
    <s v="stage_reached_400 (App)"/>
    <x v="4"/>
    <x v="9"/>
    <d v="2025-07-16T00:00:00"/>
    <x v="21"/>
    <s v="김햇반"/>
    <n v="168"/>
  </r>
  <r>
    <s v="stage_reached_400 (App)"/>
    <x v="5"/>
    <x v="14"/>
    <d v="2025-07-29T00:00:00"/>
    <x v="22"/>
    <s v="초인고양이"/>
    <n v="167"/>
  </r>
  <r>
    <s v="stage_reached_400 (App)"/>
    <x v="2"/>
    <x v="15"/>
    <d v="2025-07-26T00:00:00"/>
    <x v="23"/>
    <s v="소인은"/>
    <n v="169"/>
  </r>
  <r>
    <s v="stage_reached_400 (App)"/>
    <x v="11"/>
    <x v="16"/>
    <d v="2025-04-11T00:00:00"/>
    <x v="24"/>
    <s v="soosam"/>
    <n v="1000"/>
  </r>
  <r>
    <s v="stage_reached_400 (App)"/>
    <x v="0"/>
    <x v="7"/>
    <d v="2025-07-17T00:00:00"/>
    <x v="25"/>
    <s v="지냥"/>
    <n v="168"/>
  </r>
  <r>
    <s v="stage_reached_400 (App)"/>
    <x v="2"/>
    <x v="0"/>
    <d v="2025-07-18T00:00:00"/>
    <x v="26"/>
    <s v="그것이섯다"/>
    <n v="163"/>
  </r>
  <r>
    <s v="stage_reached_400 (App)"/>
    <x v="1"/>
    <x v="17"/>
    <d v="2024-09-30T00:00:00"/>
    <x v="27"/>
    <s v="별빛라떼"/>
    <n v="954"/>
  </r>
  <r>
    <s v="stage_reached_400 (App)"/>
    <x v="0"/>
    <x v="10"/>
    <d v="2025-07-22T00:00:00"/>
    <x v="28"/>
    <s v="길옥"/>
    <n v="162"/>
  </r>
  <r>
    <s v="stage_reached_400 (App)"/>
    <x v="0"/>
    <x v="7"/>
    <d v="2025-07-17T00:00:00"/>
    <x v="29"/>
    <s v="수비"/>
    <n v="160"/>
  </r>
  <r>
    <s v="stage_reached_400 (App)"/>
    <x v="8"/>
    <x v="0"/>
    <d v="2025-07-18T00:00:00"/>
    <x v="30"/>
    <s v="비련"/>
    <n v="161"/>
  </r>
  <r>
    <s v="stage_reached_400 (App)"/>
    <x v="6"/>
    <x v="7"/>
    <d v="2025-07-16T00:00:00"/>
    <x v="31"/>
    <s v="국내산"/>
    <n v="166"/>
  </r>
  <r>
    <s v="stage_reached_400 (App)"/>
    <x v="10"/>
    <x v="18"/>
    <d v="2025-08-02T00:00:00"/>
    <x v="32"/>
    <s v="조메기"/>
    <n v="165"/>
  </r>
  <r>
    <s v="stage_reached_400 (App)"/>
    <x v="3"/>
    <x v="0"/>
    <d v="2025-07-18T00:00:00"/>
    <x v="33"/>
    <s v="도야수"/>
    <n v="158"/>
  </r>
  <r>
    <s v="stage_reached_400 (App)"/>
    <x v="1"/>
    <x v="1"/>
    <d v="2025-07-19T00:00:00"/>
    <x v="34"/>
    <s v="사계절"/>
    <n v="156"/>
  </r>
  <r>
    <s v="stage_reached_400 (App)"/>
    <x v="10"/>
    <x v="13"/>
    <d v="2025-08-05T00:00:00"/>
    <x v="35"/>
    <s v="탄령"/>
    <n v="156"/>
  </r>
  <r>
    <s v="stage_reached_400 (App)"/>
    <x v="12"/>
    <x v="15"/>
    <d v="2025-07-25T00:00:00"/>
    <x v="36"/>
    <s v="가을빛달"/>
    <n v="157"/>
  </r>
  <r>
    <s v="stage_reached_400 (App)"/>
    <x v="0"/>
    <x v="19"/>
    <d v="2025-07-23T00:00:00"/>
    <x v="37"/>
    <s v="초홍볶"/>
    <n v="159"/>
  </r>
  <r>
    <s v="stage_reached_400 (App)"/>
    <x v="8"/>
    <x v="8"/>
    <d v="2025-07-21T00:00:00"/>
    <x v="38"/>
    <s v="게실염"/>
    <n v="206"/>
  </r>
  <r>
    <s v="stage_reached_400 (App)"/>
    <x v="13"/>
    <x v="1"/>
    <d v="2025-07-18T00:00:00"/>
    <x v="39"/>
    <s v="김민교"/>
    <n v="152"/>
  </r>
  <r>
    <s v="stage_reached_400 (App)"/>
    <x v="0"/>
    <x v="20"/>
    <d v="2025-07-17T00:00:00"/>
    <x v="40"/>
    <s v="루아베니"/>
    <n v="154"/>
  </r>
  <r>
    <s v="stage_reached_400 (App)"/>
    <x v="10"/>
    <x v="3"/>
    <d v="2025-07-29T00:00:00"/>
    <x v="14"/>
    <s v="국이"/>
    <n v="150"/>
  </r>
  <r>
    <s v="stage_reached_400 (App)"/>
    <x v="9"/>
    <x v="21"/>
    <d v="2025-07-30T00:00:00"/>
    <x v="41"/>
    <s v="심상"/>
    <n v="149"/>
  </r>
  <r>
    <s v="stage_reached_400 (App)"/>
    <x v="2"/>
    <x v="18"/>
    <d v="2025-07-31T00:00:00"/>
    <x v="42"/>
    <s v="또땡겨"/>
    <n v="153"/>
  </r>
  <r>
    <s v="stage_reached_400 (App)"/>
    <x v="1"/>
    <x v="12"/>
    <d v="2025-07-19T00:00:00"/>
    <x v="12"/>
    <s v="김죠"/>
    <n v="147"/>
  </r>
  <r>
    <s v="stage_reached_400 (App)"/>
    <x v="6"/>
    <x v="7"/>
    <d v="2025-07-16T00:00:00"/>
    <x v="33"/>
    <s v="또봇엑스"/>
    <n v="146"/>
  </r>
  <r>
    <s v="stage_reached_400 (App)"/>
    <x v="2"/>
    <x v="22"/>
    <d v="2025-08-05T00:00:00"/>
    <x v="43"/>
    <s v="일본인"/>
    <n v="173"/>
  </r>
  <r>
    <s v="stage_reached_400 (App)"/>
    <x v="7"/>
    <x v="23"/>
    <d v="2025-07-19T00:00:00"/>
    <x v="44"/>
    <s v="홍만춘"/>
    <n v="143"/>
  </r>
  <r>
    <s v="stage_reached_400 (App)"/>
    <x v="7"/>
    <x v="12"/>
    <d v="2025-07-18T00:00:00"/>
    <x v="45"/>
    <s v="민들레옹"/>
    <n v="143"/>
  </r>
  <r>
    <s v="stage_reached_400 (App)"/>
    <x v="4"/>
    <x v="5"/>
    <d v="2025-07-22T00:00:00"/>
    <x v="46"/>
    <s v="꽃설"/>
    <n v="147"/>
  </r>
  <r>
    <s v="stage_reached_400 (App)"/>
    <x v="1"/>
    <x v="24"/>
    <d v="2025-06-29T00:00:00"/>
    <x v="47"/>
    <s v="롱티"/>
    <n v="951"/>
  </r>
  <r>
    <s v="stage_reached_400 (App)"/>
    <x v="6"/>
    <x v="25"/>
    <d v="2025-08-02T00:00:00"/>
    <x v="48"/>
    <s v="갱민"/>
    <n v="161"/>
  </r>
  <r>
    <s v="stage_reached_400 (App)"/>
    <x v="0"/>
    <x v="19"/>
    <d v="2025-07-22T00:00:00"/>
    <x v="49"/>
    <s v="김찍찍"/>
    <n v="142"/>
  </r>
  <r>
    <s v="stage_reached_400 (App)"/>
    <x v="2"/>
    <x v="23"/>
    <d v="2025-07-18T00:00:00"/>
    <x v="12"/>
    <s v="듀펠"/>
    <n v="139"/>
  </r>
  <r>
    <s v="stage_reached_400 (App)"/>
    <x v="6"/>
    <x v="20"/>
    <d v="2025-07-27T00:00:00"/>
    <x v="50"/>
    <s v="Realize"/>
    <n v="138"/>
  </r>
  <r>
    <s v="stage_reached_400 (App)"/>
    <x v="0"/>
    <x v="12"/>
    <d v="2025-07-18T00:00:00"/>
    <x v="51"/>
    <s v="텐프로"/>
    <n v="138"/>
  </r>
  <r>
    <s v="stage_reached_400 (App)"/>
    <x v="9"/>
    <x v="23"/>
    <d v="2025-07-18T00:00:00"/>
    <x v="52"/>
    <s v="구독자"/>
    <n v="137"/>
  </r>
  <r>
    <s v="stage_reached_400 (App)"/>
    <x v="12"/>
    <x v="20"/>
    <d v="2025-07-26T00:00:00"/>
    <x v="53"/>
    <s v="아루맘"/>
    <n v="135"/>
  </r>
  <r>
    <s v="stage_reached_400 (App)"/>
    <x v="8"/>
    <x v="21"/>
    <d v="2025-07-28T00:00:00"/>
    <x v="54"/>
    <s v="밥이"/>
    <n v="134"/>
  </r>
  <r>
    <s v="stage_reached_400 (App)"/>
    <x v="3"/>
    <x v="1"/>
    <d v="2025-07-16T00:00:00"/>
    <x v="2"/>
    <s v="호미걸이"/>
    <n v="134"/>
  </r>
  <r>
    <s v="stage_reached_400 (App)"/>
    <x v="1"/>
    <x v="1"/>
    <d v="2025-07-16T00:00:00"/>
    <x v="21"/>
    <s v="신정보"/>
    <n v="132"/>
  </r>
  <r>
    <s v="stage_reached_400 (App)"/>
    <x v="9"/>
    <x v="10"/>
    <d v="2025-07-18T00:00:00"/>
    <x v="55"/>
    <s v="흑천왕"/>
    <n v="130"/>
  </r>
  <r>
    <s v="stage_reached_400 (App)"/>
    <x v="10"/>
    <x v="10"/>
    <d v="2025-07-18T00:00:00"/>
    <x v="56"/>
    <s v="지남샘"/>
    <n v="129"/>
  </r>
  <r>
    <s v="stage_reached_400 (App)"/>
    <x v="5"/>
    <x v="5"/>
    <d v="2025-07-22T00:00:00"/>
    <x v="57"/>
    <s v="파대"/>
    <n v="131"/>
  </r>
  <r>
    <s v="stage_reached_400 (App)"/>
    <x v="6"/>
    <x v="23"/>
    <d v="2025-07-18T00:00:00"/>
    <x v="58"/>
    <s v="옴스옴스"/>
    <n v="130"/>
  </r>
  <r>
    <s v="stage_reached_400 (App)"/>
    <x v="10"/>
    <x v="22"/>
    <d v="2025-08-03T00:00:00"/>
    <x v="59"/>
    <s v="쵸돈단스"/>
    <n v="127"/>
  </r>
  <r>
    <s v="stage_reached_400 (App)"/>
    <x v="5"/>
    <x v="3"/>
    <d v="2025-07-26T00:00:00"/>
    <x v="60"/>
    <s v="yad"/>
    <n v="124"/>
  </r>
  <r>
    <s v="stage_reached_400 (App)"/>
    <x v="1"/>
    <x v="12"/>
    <d v="2025-07-15T00:00:00"/>
    <x v="44"/>
    <s v="호펜"/>
    <n v="128"/>
  </r>
  <r>
    <s v="stage_reached_400 (App)"/>
    <x v="0"/>
    <x v="26"/>
    <d v="2025-06-29T00:00:00"/>
    <x v="33"/>
    <s v="첫걸음"/>
    <n v="950"/>
  </r>
  <r>
    <s v="stage_reached_400 (App)"/>
    <x v="6"/>
    <x v="27"/>
    <d v="2025-07-29T00:00:00"/>
    <x v="37"/>
    <s v="냉균"/>
    <n v="123"/>
  </r>
  <r>
    <s v="stage_reached_400 (App)"/>
    <x v="0"/>
    <x v="8"/>
    <d v="2025-07-19T00:00:00"/>
    <x v="61"/>
    <s v="화염방구"/>
    <n v="120"/>
  </r>
  <r>
    <s v="stage_reached_400 (App)"/>
    <x v="1"/>
    <x v="24"/>
    <d v="2025-06-28T00:00:00"/>
    <x v="62"/>
    <s v="임영대군"/>
    <n v="969"/>
  </r>
  <r>
    <s v="stage_reached_400 (App)"/>
    <x v="2"/>
    <x v="28"/>
    <d v="2025-07-22T00:00:00"/>
    <x v="63"/>
    <s v="장수척준경"/>
    <n v="119"/>
  </r>
  <r>
    <s v="stage_reached_400 (App)"/>
    <x v="2"/>
    <x v="21"/>
    <d v="2025-07-27T00:00:00"/>
    <x v="64"/>
    <s v="허어어니"/>
    <n v="118"/>
  </r>
  <r>
    <s v="stage_reached_400 (App)"/>
    <x v="7"/>
    <x v="18"/>
    <d v="2025-07-29T00:00:00"/>
    <x v="65"/>
    <s v="일해라정차장"/>
    <n v="123"/>
  </r>
  <r>
    <s v="stage_reached_400 (App)"/>
    <x v="14"/>
    <x v="10"/>
    <d v="2025-07-18T00:00:00"/>
    <x v="58"/>
    <s v="브이아이피"/>
    <n v="117"/>
  </r>
  <r>
    <s v="stage_reached_400 (App)"/>
    <x v="3"/>
    <x v="8"/>
    <d v="2025-07-18T00:00:00"/>
    <x v="66"/>
    <s v="강산"/>
    <n v="118"/>
  </r>
  <r>
    <s v="stage_reached_400 (App)"/>
    <x v="10"/>
    <x v="5"/>
    <d v="2025-07-19T00:00:00"/>
    <x v="67"/>
    <s v="환상의섬"/>
    <n v="121"/>
  </r>
  <r>
    <s v="stage_reached_400 (App)"/>
    <x v="13"/>
    <x v="10"/>
    <d v="2025-07-16T00:00:00"/>
    <x v="68"/>
    <s v="찐아"/>
    <n v="114"/>
  </r>
  <r>
    <s v="stage_reached_400 (App)"/>
    <x v="15"/>
    <x v="19"/>
    <d v="2025-07-19T00:00:00"/>
    <x v="69"/>
    <s v="은선"/>
    <n v="114"/>
  </r>
  <r>
    <s v="stage_reached_400 (App)"/>
    <x v="1"/>
    <x v="5"/>
    <d v="2025-07-20T00:00:00"/>
    <x v="70"/>
    <s v="talgol"/>
    <n v="113"/>
  </r>
  <r>
    <s v="stage_reached_400 (App)"/>
    <x v="2"/>
    <x v="29"/>
    <d v="2025-08-04T00:00:00"/>
    <x v="71"/>
    <s v="금재곱"/>
    <n v="118"/>
  </r>
  <r>
    <s v="stage_reached_400 (App)"/>
    <x v="16"/>
    <x v="10"/>
    <d v="2025-07-17T00:00:00"/>
    <x v="72"/>
    <s v="윤관"/>
    <n v="113"/>
  </r>
  <r>
    <s v="stage_reached_400 (App)"/>
    <x v="1"/>
    <x v="19"/>
    <d v="2025-07-19T00:00:00"/>
    <x v="73"/>
    <s v="데몬"/>
    <n v="113"/>
  </r>
  <r>
    <s v="stage_reached_400 (App)"/>
    <x v="13"/>
    <x v="19"/>
    <d v="2025-07-19T00:00:00"/>
    <x v="74"/>
    <s v="유궁귀"/>
    <n v="111"/>
  </r>
  <r>
    <s v="stage_reached_400 (App)"/>
    <x v="1"/>
    <x v="14"/>
    <d v="2025-07-22T00:00:00"/>
    <x v="75"/>
    <s v="누나좋아"/>
    <n v="109"/>
  </r>
  <r>
    <s v="stage_reached_400 (App)"/>
    <x v="1"/>
    <x v="25"/>
    <d v="2025-07-30T00:00:00"/>
    <x v="76"/>
    <s v="코리아se스머신"/>
    <n v="120"/>
  </r>
  <r>
    <s v="stage_reached_400 (App)"/>
    <x v="7"/>
    <x v="19"/>
    <d v="2025-07-19T00:00:00"/>
    <x v="53"/>
    <s v="나냐"/>
    <n v="107"/>
  </r>
  <r>
    <s v="stage_reached_400 (App)"/>
    <x v="2"/>
    <x v="30"/>
    <d v="2025-08-04T00:00:00"/>
    <x v="77"/>
    <s v="조승연"/>
    <n v="113"/>
  </r>
  <r>
    <s v="stage_reached_400 (App)"/>
    <x v="1"/>
    <x v="8"/>
    <d v="2025-07-17T00:00:00"/>
    <x v="78"/>
    <s v="방랑검객"/>
    <n v="105"/>
  </r>
  <r>
    <s v="stage_reached_400 (App)"/>
    <x v="12"/>
    <x v="31"/>
    <d v="2025-06-26T00:00:00"/>
    <x v="2"/>
    <s v="잉크쟁이"/>
    <n v="955"/>
  </r>
  <r>
    <s v="stage_reached_400 (App)"/>
    <x v="13"/>
    <x v="32"/>
    <d v="2025-06-24T00:00:00"/>
    <x v="79"/>
    <s v="사라"/>
    <n v="946"/>
  </r>
  <r>
    <s v="stage_reached_400 (App)"/>
    <x v="1"/>
    <x v="19"/>
    <d v="2025-07-18T00:00:00"/>
    <x v="80"/>
    <s v="도재"/>
    <n v="104"/>
  </r>
  <r>
    <s v="stage_reached_400 (App)"/>
    <x v="7"/>
    <x v="11"/>
    <d v="2025-07-26T00:00:00"/>
    <x v="81"/>
    <s v="그루터기"/>
    <n v="123"/>
  </r>
  <r>
    <s v="stage_reached_400 (App)"/>
    <x v="16"/>
    <x v="28"/>
    <d v="2025-07-21T00:00:00"/>
    <x v="82"/>
    <s v="콩쥐"/>
    <n v="101"/>
  </r>
  <r>
    <s v="stage_reached_400 (App)"/>
    <x v="1"/>
    <x v="8"/>
    <d v="2025-07-17T00:00:00"/>
    <x v="83"/>
    <s v="하모예"/>
    <n v="100"/>
  </r>
  <r>
    <s v="stage_reached_400 (App)"/>
    <x v="10"/>
    <x v="27"/>
    <d v="2025-07-22T00:00:00"/>
    <x v="84"/>
    <s v="곰표"/>
    <n v="105"/>
  </r>
  <r>
    <s v="stage_reached_400 (App)"/>
    <x v="8"/>
    <x v="5"/>
    <d v="2025-07-19T00:00:00"/>
    <x v="85"/>
    <s v="비스트롱"/>
    <n v="100"/>
  </r>
  <r>
    <s v="stage_reached_400 (App)"/>
    <x v="2"/>
    <x v="6"/>
    <d v="2025-08-04T00:00:00"/>
    <x v="86"/>
    <s v="쏘가리"/>
    <n v="106"/>
  </r>
  <r>
    <s v="stage_reached_400 (App)"/>
    <x v="6"/>
    <x v="27"/>
    <d v="2025-07-28T00:00:00"/>
    <x v="87"/>
    <s v="진우서우"/>
    <n v="96"/>
  </r>
  <r>
    <s v="stage_reached_400 (App)"/>
    <x v="12"/>
    <x v="5"/>
    <d v="2025-07-18T00:00:00"/>
    <x v="88"/>
    <s v="아즈"/>
    <n v="95"/>
  </r>
  <r>
    <s v="stage_reached_400 (App)"/>
    <x v="7"/>
    <x v="8"/>
    <d v="2025-07-16T00:00:00"/>
    <x v="89"/>
    <s v="밀레니온"/>
    <n v="96"/>
  </r>
  <r>
    <s v="stage_reached_400 (App)"/>
    <x v="2"/>
    <x v="8"/>
    <d v="2025-07-16T00:00:00"/>
    <x v="90"/>
    <s v="연우파파"/>
    <n v="106"/>
  </r>
  <r>
    <s v="stage_reached_400 (App)"/>
    <x v="7"/>
    <x v="33"/>
    <d v="2024-11-03T00:00:00"/>
    <x v="91"/>
    <s v="gusdnekd"/>
    <n v="954"/>
  </r>
  <r>
    <s v="stage_reached_400 (App)"/>
    <x v="2"/>
    <x v="14"/>
    <d v="2025-07-20T00:00:00"/>
    <x v="51"/>
    <s v="진홍"/>
    <n v="95"/>
  </r>
  <r>
    <s v="stage_reached_400 (App)"/>
    <x v="0"/>
    <x v="10"/>
    <d v="2025-07-15T00:00:00"/>
    <x v="92"/>
    <s v="소룡녀"/>
    <n v="945"/>
  </r>
  <r>
    <s v="stage_reached_400 (App)"/>
    <x v="1"/>
    <x v="28"/>
    <d v="2025-07-20T00:00:00"/>
    <x v="73"/>
    <s v="규링"/>
    <n v="103"/>
  </r>
  <r>
    <s v="stage_reached_400 (App)"/>
    <x v="2"/>
    <x v="34"/>
    <d v="2024-12-24T00:00:00"/>
    <x v="33"/>
    <s v="효가"/>
    <n v="944"/>
  </r>
  <r>
    <s v="stage_reached_400 (App)"/>
    <x v="2"/>
    <x v="20"/>
    <d v="2025-07-21T00:00:00"/>
    <x v="70"/>
    <s v="조노비"/>
    <n v="91"/>
  </r>
  <r>
    <s v="stage_reached_400 (App)"/>
    <x v="10"/>
    <x v="22"/>
    <d v="2025-07-31T00:00:00"/>
    <x v="93"/>
    <s v="옥지의빵빵이"/>
    <n v="99"/>
  </r>
  <r>
    <s v="stage_reached_400 (App)"/>
    <x v="10"/>
    <x v="11"/>
    <d v="2025-07-24T00:00:00"/>
    <x v="94"/>
    <s v="갓세종"/>
    <n v="88"/>
  </r>
  <r>
    <s v="stage_reached_400 (App)"/>
    <x v="7"/>
    <x v="15"/>
    <d v="2025-07-18T00:00:00"/>
    <x v="95"/>
    <s v="거지왕최춘삼"/>
    <n v="88"/>
  </r>
  <r>
    <s v="stage_reached_400 (App)"/>
    <x v="8"/>
    <x v="19"/>
    <d v="2025-07-15T00:00:00"/>
    <x v="96"/>
    <s v="마캔"/>
    <n v="86"/>
  </r>
  <r>
    <s v="stage_reached_400 (App)"/>
    <x v="2"/>
    <x v="15"/>
    <d v="2025-07-18T00:00:00"/>
    <x v="97"/>
    <s v="올타신영"/>
    <n v="86"/>
  </r>
  <r>
    <s v="stage_reached_400 (App)"/>
    <x v="12"/>
    <x v="35"/>
    <d v="2025-07-29T00:00:00"/>
    <x v="98"/>
    <s v="신비디음"/>
    <n v="86"/>
  </r>
  <r>
    <s v="stage_reached_400 (App)"/>
    <x v="3"/>
    <x v="18"/>
    <d v="2025-07-25T00:00:00"/>
    <x v="99"/>
    <s v="Lr비"/>
    <n v="90"/>
  </r>
  <r>
    <s v="stage_reached_400 (App)"/>
    <x v="6"/>
    <x v="28"/>
    <d v="2025-07-16T00:00:00"/>
    <x v="100"/>
    <s v="별빛속삭임"/>
    <n v="81"/>
  </r>
  <r>
    <s v="stage_reached_400 (App)"/>
    <x v="6"/>
    <x v="36"/>
    <d v="2025-08-03T00:00:00"/>
    <x v="101"/>
    <s v="오디나무"/>
    <n v="81"/>
  </r>
  <r>
    <s v="stage_reached_400 (App)"/>
    <x v="12"/>
    <x v="37"/>
    <d v="2025-06-26T00:00:00"/>
    <x v="33"/>
    <s v="난난"/>
    <n v="945"/>
  </r>
  <r>
    <s v="stage_reached_400 (App)"/>
    <x v="10"/>
    <x v="20"/>
    <d v="2025-07-20T00:00:00"/>
    <x v="102"/>
    <s v="짭서스"/>
    <n v="81"/>
  </r>
  <r>
    <s v="stage_reached_400 (App)"/>
    <x v="12"/>
    <x v="19"/>
    <d v="2025-07-15T00:00:00"/>
    <x v="103"/>
    <s v="쿠빈"/>
    <n v="1017"/>
  </r>
  <r>
    <s v="stage_reached_400 (App)"/>
    <x v="1"/>
    <x v="15"/>
    <d v="2025-07-17T00:00:00"/>
    <x v="104"/>
    <s v="맘바"/>
    <n v="79"/>
  </r>
  <r>
    <s v="stage_reached_400 (App)"/>
    <x v="9"/>
    <x v="28"/>
    <d v="2025-07-18T00:00:00"/>
    <x v="105"/>
    <s v="로봇"/>
    <n v="79"/>
  </r>
  <r>
    <s v="stage_reached_400 (App)"/>
    <x v="10"/>
    <x v="21"/>
    <d v="2025-07-21T00:00:00"/>
    <x v="83"/>
    <s v="미율"/>
    <n v="77"/>
  </r>
  <r>
    <s v="stage_reached_400 (App)"/>
    <x v="6"/>
    <x v="14"/>
    <d v="2025-07-18T00:00:00"/>
    <x v="82"/>
    <s v="일주일만"/>
    <n v="76"/>
  </r>
  <r>
    <s v="stage_reached_400 (App)"/>
    <x v="3"/>
    <x v="28"/>
    <d v="2025-07-17T00:00:00"/>
    <x v="45"/>
    <s v="난중일기"/>
    <n v="75"/>
  </r>
  <r>
    <s v="stage_reached_400 (App)"/>
    <x v="1"/>
    <x v="3"/>
    <d v="2025-07-20T00:00:00"/>
    <x v="102"/>
    <s v="김견"/>
    <n v="72"/>
  </r>
  <r>
    <s v="stage_reached_400 (App)"/>
    <x v="11"/>
    <x v="11"/>
    <d v="2025-07-22T00:00:00"/>
    <x v="106"/>
    <s v="두율대디"/>
    <n v="74"/>
  </r>
  <r>
    <s v="stage_reached_400 (App)"/>
    <x v="6"/>
    <x v="36"/>
    <d v="2025-08-01T00:00:00"/>
    <x v="107"/>
    <s v="소담소민"/>
    <n v="83"/>
  </r>
  <r>
    <s v="stage_reached_400 (App)"/>
    <x v="7"/>
    <x v="28"/>
    <d v="2025-07-17T00:00:00"/>
    <x v="108"/>
    <n v="103"/>
    <n v="77"/>
  </r>
  <r>
    <s v="stage_reached_400 (App)"/>
    <x v="1"/>
    <x v="3"/>
    <d v="2025-07-20T00:00:00"/>
    <x v="109"/>
    <s v="광따"/>
    <n v="75"/>
  </r>
  <r>
    <s v="stage_reached_400 (App)"/>
    <x v="9"/>
    <x v="14"/>
    <d v="2025-07-18T00:00:00"/>
    <x v="110"/>
    <s v="딱쎄"/>
    <n v="75"/>
  </r>
  <r>
    <s v="stage_reached_400 (App)"/>
    <x v="17"/>
    <x v="18"/>
    <d v="2025-07-22T00:00:00"/>
    <x v="111"/>
    <s v="여름이니까"/>
    <n v="72"/>
  </r>
  <r>
    <s v="stage_reached_400 (App)"/>
    <x v="0"/>
    <x v="29"/>
    <d v="2025-07-30T00:00:00"/>
    <x v="112"/>
    <s v="이야이"/>
    <n v="71"/>
  </r>
  <r>
    <s v="stage_reached_400 (App)"/>
    <x v="1"/>
    <x v="35"/>
    <d v="2025-07-27T00:00:00"/>
    <x v="113"/>
    <s v="줏태"/>
    <n v="70"/>
  </r>
  <r>
    <s v="stage_reached_400 (App)"/>
    <x v="7"/>
    <x v="21"/>
    <d v="2025-07-20T00:00:00"/>
    <x v="114"/>
    <s v="헤롱이"/>
    <n v="73"/>
  </r>
  <r>
    <s v="stage_reached_400 (App)"/>
    <x v="2"/>
    <x v="3"/>
    <d v="2025-07-18T00:00:00"/>
    <x v="115"/>
    <s v="uj"/>
    <n v="71"/>
  </r>
  <r>
    <s v="stage_reached_400 (App)"/>
    <x v="13"/>
    <x v="27"/>
    <d v="2025-07-23T00:00:00"/>
    <x v="116"/>
    <s v="쿠쿵"/>
    <n v="67"/>
  </r>
  <r>
    <s v="stage_reached_400 (App)"/>
    <x v="10"/>
    <x v="20"/>
    <d v="2025-07-18T00:00:00"/>
    <x v="117"/>
    <s v="심대표"/>
    <n v="66"/>
  </r>
  <r>
    <s v="stage_reached_400 (App)"/>
    <x v="4"/>
    <x v="11"/>
    <d v="2025-07-19T00:00:00"/>
    <x v="118"/>
    <s v="s불멸1s"/>
    <n v="68"/>
  </r>
  <r>
    <s v="stage_reached_400 (App)"/>
    <x v="12"/>
    <x v="35"/>
    <d v="2025-07-24T00:00:00"/>
    <x v="119"/>
    <s v="백진"/>
    <n v="83"/>
  </r>
  <r>
    <s v="stage_reached_400 (App)"/>
    <x v="1"/>
    <x v="3"/>
    <d v="2025-07-17T00:00:00"/>
    <x v="120"/>
    <s v="국산뽀또"/>
    <n v="63"/>
  </r>
  <r>
    <s v="stage_reached_400 (App)"/>
    <x v="4"/>
    <x v="13"/>
    <d v="2025-07-21T00:00:00"/>
    <x v="121"/>
    <s v="몽달이"/>
    <n v="63"/>
  </r>
  <r>
    <s v="stage_reached_400 (App)"/>
    <x v="2"/>
    <x v="25"/>
    <d v="2025-07-23T00:00:00"/>
    <x v="122"/>
    <s v="국뿅"/>
    <n v="61"/>
  </r>
  <r>
    <s v="stage_reached_400 (App)"/>
    <x v="3"/>
    <x v="21"/>
    <d v="2025-07-19T00:00:00"/>
    <x v="123"/>
    <s v="태연이"/>
    <n v="61"/>
  </r>
  <r>
    <s v="stage_reached_400 (App)"/>
    <x v="10"/>
    <x v="18"/>
    <d v="2025-07-21T00:00:00"/>
    <x v="121"/>
    <s v="베노미"/>
    <n v="59"/>
  </r>
  <r>
    <s v="stage_reached_400 (App)"/>
    <x v="10"/>
    <x v="21"/>
    <d v="2025-07-18T00:00:00"/>
    <x v="3"/>
    <s v="줸줸"/>
    <n v="58"/>
  </r>
  <r>
    <s v="stage_reached_400 (App)"/>
    <x v="10"/>
    <x v="38"/>
    <d v="2024-11-26T00:00:00"/>
    <x v="124"/>
    <s v="버터코코아"/>
    <n v="940"/>
  </r>
  <r>
    <s v="stage_reached_400 (App)"/>
    <x v="1"/>
    <x v="39"/>
    <d v="2025-01-30T00:00:00"/>
    <x v="2"/>
    <s v="Saint"/>
    <n v="942"/>
  </r>
  <r>
    <s v="stage_reached_400 (App)"/>
    <x v="2"/>
    <x v="11"/>
    <d v="2025-07-18T00:00:00"/>
    <x v="125"/>
    <s v="태백"/>
    <n v="57"/>
  </r>
  <r>
    <s v="stage_reached_400 (App)"/>
    <x v="2"/>
    <x v="21"/>
    <d v="2025-07-17T00:00:00"/>
    <x v="126"/>
    <s v="은월랑"/>
    <n v="55"/>
  </r>
  <r>
    <s v="stage_reached_400 (App)"/>
    <x v="8"/>
    <x v="21"/>
    <d v="2025-07-17T00:00:00"/>
    <x v="127"/>
    <s v="디올대디"/>
    <n v="56"/>
  </r>
  <r>
    <s v="stage_reached_400 (App)"/>
    <x v="3"/>
    <x v="40"/>
    <d v="2024-12-06T00:00:00"/>
    <x v="128"/>
    <s v="vtctrcut"/>
    <n v="939"/>
  </r>
  <r>
    <s v="stage_reached_400 (App)"/>
    <x v="12"/>
    <x v="30"/>
    <d v="2025-07-27T00:00:00"/>
    <x v="129"/>
    <s v="집안구석"/>
    <n v="55"/>
  </r>
  <r>
    <s v="stage_reached_400 (App)"/>
    <x v="0"/>
    <x v="30"/>
    <d v="2025-07-27T00:00:00"/>
    <x v="93"/>
    <s v="오랑케"/>
    <n v="57"/>
  </r>
  <r>
    <s v="stage_reached_400 (App)"/>
    <x v="3"/>
    <x v="37"/>
    <d v="2025-06-20T00:00:00"/>
    <x v="66"/>
    <s v="하늘영"/>
    <n v="947"/>
  </r>
  <r>
    <s v="stage_reached_400 (App)"/>
    <x v="10"/>
    <x v="11"/>
    <d v="2025-07-17T00:00:00"/>
    <x v="130"/>
    <s v="틸라스"/>
    <n v="66"/>
  </r>
  <r>
    <s v="stage_reached_400 (App)"/>
    <x v="4"/>
    <x v="27"/>
    <d v="2025-07-19T00:00:00"/>
    <x v="131"/>
    <s v="쟁요"/>
    <n v="51"/>
  </r>
  <r>
    <s v="stage_reached_400 (App)"/>
    <x v="7"/>
    <x v="11"/>
    <d v="2025-07-17T00:00:00"/>
    <x v="132"/>
    <s v="한국완주"/>
    <n v="44"/>
  </r>
  <r>
    <s v="stage_reached_400 (App)"/>
    <x v="2"/>
    <x v="41"/>
    <d v="2025-07-29T00:00:00"/>
    <x v="133"/>
    <s v="김메롱"/>
    <n v="50"/>
  </r>
  <r>
    <s v="stage_reached_400 (App)"/>
    <x v="7"/>
    <x v="25"/>
    <d v="2025-07-19T00:00:00"/>
    <x v="134"/>
    <s v="쉬밤꺼"/>
    <n v="48"/>
  </r>
  <r>
    <s v="stage_reached_400 (App)"/>
    <x v="4"/>
    <x v="27"/>
    <d v="2025-07-19T00:00:00"/>
    <x v="135"/>
    <s v="사랑잉"/>
    <n v="48"/>
  </r>
  <r>
    <s v="stage_reached_400 (App)"/>
    <x v="3"/>
    <x v="42"/>
    <d v="2025-07-29T00:00:00"/>
    <x v="136"/>
    <s v="암부"/>
    <n v="4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7">
  <r>
    <s v="stage_reached_350 (App)"/>
    <x v="0"/>
    <x v="0"/>
    <d v="2025-08-13T00:00:00"/>
    <x v="0"/>
    <s v="슬2"/>
    <n v="638"/>
  </r>
  <r>
    <s v="stage_reached_350 (App)"/>
    <x v="1"/>
    <x v="0"/>
    <d v="2025-08-04T00:00:00"/>
    <x v="1"/>
    <s v="쏘가리"/>
    <n v="328"/>
  </r>
  <r>
    <s v="stage_reached_350 (App)"/>
    <x v="0"/>
    <x v="0"/>
    <d v="2025-08-04T00:00:00"/>
    <x v="2"/>
    <s v="금재곱"/>
    <n v="238"/>
  </r>
  <r>
    <s v="stage_reached_350 (App)"/>
    <x v="2"/>
    <x v="0"/>
    <d v="2025-08-03T00:00:00"/>
    <x v="3"/>
    <s v="오디나무"/>
    <n v="223"/>
  </r>
  <r>
    <s v="stage_reached_350 (App)"/>
    <x v="2"/>
    <x v="1"/>
    <d v="2025-08-01T00:00:00"/>
    <x v="4"/>
    <s v="소담소민"/>
    <n v="212"/>
  </r>
  <r>
    <s v="stage_reached_350 (App)"/>
    <x v="2"/>
    <x v="1"/>
    <d v="2025-07-31T00:00:00"/>
    <x v="5"/>
    <s v="또땡겨"/>
    <n v="188"/>
  </r>
  <r>
    <s v="stage_reached_350 (App)"/>
    <x v="2"/>
    <x v="1"/>
    <d v="2025-07-29T00:00:00"/>
    <x v="6"/>
    <s v="냉균"/>
    <n v="217"/>
  </r>
  <r>
    <s v="stage_reached_350 (App)"/>
    <x v="1"/>
    <x v="2"/>
    <d v="2025-08-05T00:00:00"/>
    <x v="7"/>
    <s v="탄령"/>
    <n v="314"/>
  </r>
  <r>
    <s v="stage_reached_350 (App)"/>
    <x v="1"/>
    <x v="2"/>
    <d v="2025-08-03T00:00:00"/>
    <x v="8"/>
    <s v="쵸돈단스"/>
    <n v="254"/>
  </r>
  <r>
    <s v="stage_reached_350 (App)"/>
    <x v="3"/>
    <x v="2"/>
    <d v="2025-07-30T00:00:00"/>
    <x v="9"/>
    <s v="이야이"/>
    <n v="158"/>
  </r>
  <r>
    <s v="stage_reached_350 (App)"/>
    <x v="3"/>
    <x v="2"/>
    <d v="2025-07-27T00:00:00"/>
    <x v="10"/>
    <s v="오랑케"/>
    <n v="110"/>
  </r>
  <r>
    <s v="stage_reached_350 (App)"/>
    <x v="0"/>
    <x v="3"/>
    <d v="2025-08-05T00:00:00"/>
    <x v="11"/>
    <s v="일본인"/>
    <n v="396"/>
  </r>
  <r>
    <s v="stage_reached_350 (App)"/>
    <x v="4"/>
    <x v="3"/>
    <d v="2025-08-04T00:00:00"/>
    <x v="12"/>
    <s v="조승연"/>
    <n v="379"/>
  </r>
  <r>
    <s v="stage_reached_350 (App)"/>
    <x v="5"/>
    <x v="3"/>
    <d v="2025-07-29T00:00:00"/>
    <x v="13"/>
    <s v="신비디음"/>
    <n v="168"/>
  </r>
  <r>
    <s v="stage_reached_350 (App)"/>
    <x v="6"/>
    <x v="3"/>
    <d v="2025-07-27T00:00:00"/>
    <x v="14"/>
    <s v="집안구석"/>
    <n v="430"/>
  </r>
  <r>
    <s v="stage_reached_350 (App)"/>
    <x v="4"/>
    <x v="4"/>
    <d v="2025-08-05T00:00:00"/>
    <x v="15"/>
    <s v="zenz"/>
    <n v="488"/>
  </r>
  <r>
    <s v="stage_reached_350 (App)"/>
    <x v="2"/>
    <x v="4"/>
    <d v="2025-08-04T00:00:00"/>
    <x v="16"/>
    <s v="삥쭈"/>
    <n v="363"/>
  </r>
  <r>
    <s v="stage_reached_350 (App)"/>
    <x v="7"/>
    <x v="4"/>
    <d v="2025-08-02T00:00:00"/>
    <x v="17"/>
    <s v="웅이아부지"/>
    <n v="275"/>
  </r>
  <r>
    <s v="stage_reached_350 (App)"/>
    <x v="8"/>
    <x v="4"/>
    <d v="2025-07-31T00:00:00"/>
    <x v="11"/>
    <s v="옥지의빵빵이"/>
    <n v="238"/>
  </r>
  <r>
    <s v="stage_reached_350 (App)"/>
    <x v="4"/>
    <x v="4"/>
    <d v="2025-07-30T00:00:00"/>
    <x v="18"/>
    <s v="코리아se스머신"/>
    <n v="222"/>
  </r>
  <r>
    <s v="stage_reached_350 (App)"/>
    <x v="9"/>
    <x v="4"/>
    <d v="2025-07-30T00:00:00"/>
    <x v="19"/>
    <s v="심상"/>
    <n v="242"/>
  </r>
  <r>
    <s v="stage_reached_350 (App)"/>
    <x v="3"/>
    <x v="4"/>
    <d v="2025-07-17T00:00:00"/>
    <x v="20"/>
    <s v="루아베니"/>
    <n v="158"/>
  </r>
  <r>
    <s v="stage_reached_350 (App)"/>
    <x v="0"/>
    <x v="4"/>
    <d v="2025-07-27T00:00:00"/>
    <x v="21"/>
    <s v="창사마"/>
    <n v="145"/>
  </r>
  <r>
    <s v="stage_reached_350 (App)"/>
    <x v="5"/>
    <x v="4"/>
    <d v="2025-07-24T00:00:00"/>
    <x v="22"/>
    <s v="백진"/>
    <n v="98"/>
  </r>
  <r>
    <s v="stage_reached_350 (App)"/>
    <x v="0"/>
    <x v="5"/>
    <d v="2025-08-04T00:00:00"/>
    <x v="23"/>
    <s v="짱주숭"/>
    <n v="452"/>
  </r>
  <r>
    <s v="stage_reached_350 (App)"/>
    <x v="5"/>
    <x v="5"/>
    <d v="2025-07-30T00:00:00"/>
    <x v="24"/>
    <s v="금요일"/>
    <n v="271"/>
  </r>
  <r>
    <s v="stage_reached_350 (App)"/>
    <x v="1"/>
    <x v="5"/>
    <d v="2025-07-22T00:00:00"/>
    <x v="25"/>
    <s v="곰표"/>
    <n v="179"/>
  </r>
  <r>
    <s v="stage_reached_350 (App)"/>
    <x v="5"/>
    <x v="5"/>
    <d v="2025-07-27T00:00:00"/>
    <x v="11"/>
    <s v="숨소"/>
    <n v="162"/>
  </r>
  <r>
    <s v="stage_reached_350 (App)"/>
    <x v="10"/>
    <x v="5"/>
    <d v="2025-07-26T00:00:00"/>
    <x v="26"/>
    <s v="yad"/>
    <n v="139"/>
  </r>
  <r>
    <s v="stage_reached_350 (App)"/>
    <x v="11"/>
    <x v="5"/>
    <d v="2025-07-25T00:00:00"/>
    <x v="27"/>
    <s v="Lr비"/>
    <n v="123"/>
  </r>
  <r>
    <s v="stage_reached_350 (App)"/>
    <x v="12"/>
    <x v="5"/>
    <d v="2025-07-24T00:00:00"/>
    <x v="28"/>
    <s v="시몬"/>
    <n v="114"/>
  </r>
  <r>
    <s v="stage_reached_350 (App)"/>
    <x v="1"/>
    <x v="6"/>
    <d v="2025-08-08T00:00:00"/>
    <x v="29"/>
    <s v="무진장큰스님"/>
    <n v="704"/>
  </r>
  <r>
    <s v="stage_reached_350 (App)"/>
    <x v="4"/>
    <x v="6"/>
    <d v="2025-08-04T00:00:00"/>
    <x v="30"/>
    <s v="짱콩파파"/>
    <n v="563"/>
  </r>
  <r>
    <s v="stage_reached_350 (App)"/>
    <x v="1"/>
    <x v="6"/>
    <d v="2025-08-04T00:00:00"/>
    <x v="31"/>
    <s v="BADA"/>
    <n v="635"/>
  </r>
  <r>
    <s v="stage_reached_350 (App)"/>
    <x v="13"/>
    <x v="6"/>
    <d v="2025-08-02T00:00:00"/>
    <x v="32"/>
    <s v="갱민"/>
    <n v="412"/>
  </r>
  <r>
    <s v="stage_reached_350 (App)"/>
    <x v="14"/>
    <x v="6"/>
    <d v="2025-08-02T00:00:00"/>
    <x v="15"/>
    <s v="조메기"/>
    <n v="461"/>
  </r>
  <r>
    <s v="stage_reached_350 (App)"/>
    <x v="7"/>
    <x v="6"/>
    <d v="2025-07-29T00:00:00"/>
    <x v="33"/>
    <s v="일해라정차장"/>
    <n v="251"/>
  </r>
  <r>
    <s v="stage_reached_350 (App)"/>
    <x v="1"/>
    <x v="6"/>
    <d v="2025-07-29T00:00:00"/>
    <x v="34"/>
    <s v="국이"/>
    <n v="236"/>
  </r>
  <r>
    <s v="stage_reached_350 (App)"/>
    <x v="10"/>
    <x v="6"/>
    <d v="2025-07-29T00:00:00"/>
    <x v="35"/>
    <s v="초인고양이"/>
    <n v="220"/>
  </r>
  <r>
    <s v="stage_reached_350 (App)"/>
    <x v="5"/>
    <x v="6"/>
    <d v="2025-07-26T00:00:00"/>
    <x v="36"/>
    <s v="아루맘"/>
    <n v="184"/>
  </r>
  <r>
    <s v="stage_reached_350 (App)"/>
    <x v="0"/>
    <x v="6"/>
    <d v="2025-07-26T00:00:00"/>
    <x v="37"/>
    <s v="소인은"/>
    <n v="179"/>
  </r>
  <r>
    <s v="stage_reached_350 (App)"/>
    <x v="3"/>
    <x v="6"/>
    <d v="2025-07-23T00:00:00"/>
    <x v="25"/>
    <s v="초홍볶"/>
    <n v="106"/>
  </r>
  <r>
    <s v="stage_reached_350 (App)"/>
    <x v="0"/>
    <x v="6"/>
    <d v="2025-07-23T00:00:00"/>
    <x v="38"/>
    <s v="국뿅"/>
    <n v="102"/>
  </r>
  <r>
    <s v="stage_reached_350 (App)"/>
    <x v="2"/>
    <x v="7"/>
    <d v="2025-08-01T00:00:00"/>
    <x v="39"/>
    <s v="벤야"/>
    <n v="465"/>
  </r>
  <r>
    <s v="stage_reached_350 (App)"/>
    <x v="3"/>
    <x v="7"/>
    <d v="2025-08-01T00:00:00"/>
    <x v="40"/>
    <s v="도라에몽표류기"/>
    <n v="346"/>
  </r>
  <r>
    <s v="stage_reached_350 (App)"/>
    <x v="12"/>
    <x v="7"/>
    <d v="2025-07-27T00:00:00"/>
    <x v="41"/>
    <s v="Realize"/>
    <n v="598"/>
  </r>
  <r>
    <s v="stage_reached_350 (App)"/>
    <x v="14"/>
    <x v="7"/>
    <d v="2025-07-26T00:00:00"/>
    <x v="42"/>
    <s v="김하얀"/>
    <n v="218"/>
  </r>
  <r>
    <s v="stage_reached_350 (App)"/>
    <x v="4"/>
    <x v="7"/>
    <d v="2025-07-23T00:00:00"/>
    <x v="43"/>
    <s v="놀우"/>
    <n v="138"/>
  </r>
  <r>
    <s v="stage_reached_350 (App)"/>
    <x v="0"/>
    <x v="7"/>
    <d v="2025-07-21T00:00:00"/>
    <x v="44"/>
    <s v="조노비"/>
    <n v="110"/>
  </r>
  <r>
    <s v="stage_reached_350 (App)"/>
    <x v="10"/>
    <x v="7"/>
    <d v="2025-07-22T00:00:00"/>
    <x v="35"/>
    <s v="두율대디"/>
    <n v="102"/>
  </r>
  <r>
    <s v="stage_reached_350 (App)"/>
    <x v="15"/>
    <x v="8"/>
    <d v="2025-08-06T00:00:00"/>
    <x v="45"/>
    <s v="캐캐모모"/>
    <n v="759"/>
  </r>
  <r>
    <s v="stage_reached_350 (App)"/>
    <x v="12"/>
    <x v="8"/>
    <d v="2025-08-05T00:00:00"/>
    <x v="46"/>
    <s v="리혜"/>
    <n v="726"/>
  </r>
  <r>
    <s v="stage_reached_350 (App)"/>
    <x v="2"/>
    <x v="8"/>
    <d v="2025-07-28T00:00:00"/>
    <x v="17"/>
    <s v="진우서우"/>
    <n v="262"/>
  </r>
  <r>
    <s v="stage_reached_350 (App)"/>
    <x v="16"/>
    <x v="8"/>
    <d v="2025-07-26T00:00:00"/>
    <x v="47"/>
    <s v="디아란"/>
    <n v="223"/>
  </r>
  <r>
    <s v="stage_reached_350 (App)"/>
    <x v="10"/>
    <x v="8"/>
    <d v="2025-07-16T00:00:00"/>
    <x v="48"/>
    <s v="도치야"/>
    <n v="209"/>
  </r>
  <r>
    <s v="stage_reached_350 (App)"/>
    <x v="3"/>
    <x v="8"/>
    <d v="2025-07-17T00:00:00"/>
    <x v="49"/>
    <s v="바카"/>
    <n v="107"/>
  </r>
  <r>
    <s v="stage_reached_350 (App)"/>
    <x v="6"/>
    <x v="8"/>
    <d v="2025-07-21T00:00:00"/>
    <x v="30"/>
    <s v="콩쥐"/>
    <n v="101"/>
  </r>
  <r>
    <s v="stage_reached_350 (App)"/>
    <x v="1"/>
    <x v="9"/>
    <d v="2025-08-01T00:00:00"/>
    <x v="33"/>
    <s v="영쟈굳"/>
    <n v="695"/>
  </r>
  <r>
    <s v="stage_reached_350 (App)"/>
    <x v="0"/>
    <x v="9"/>
    <d v="2025-07-31T00:00:00"/>
    <x v="50"/>
    <s v="쌈쟁이"/>
    <n v="552"/>
  </r>
  <r>
    <s v="stage_reached_350 (App)"/>
    <x v="11"/>
    <x v="9"/>
    <d v="2025-08-01T00:00:00"/>
    <x v="51"/>
    <s v="굴비사마"/>
    <n v="499"/>
  </r>
  <r>
    <s v="stage_reached_350 (App)"/>
    <x v="0"/>
    <x v="9"/>
    <d v="2025-07-25T00:00:00"/>
    <x v="52"/>
    <s v="가을빛달"/>
    <n v="263"/>
  </r>
  <r>
    <s v="stage_reached_350 (App)"/>
    <x v="7"/>
    <x v="9"/>
    <d v="2025-07-22T00:00:00"/>
    <x v="44"/>
    <s v="김찍찍"/>
    <n v="142"/>
  </r>
  <r>
    <s v="stage_reached_350 (App)"/>
    <x v="0"/>
    <x v="9"/>
    <d v="2025-07-22T00:00:00"/>
    <x v="53"/>
    <s v="팜린"/>
    <n v="144"/>
  </r>
  <r>
    <s v="stage_reached_350 (App)"/>
    <x v="3"/>
    <x v="9"/>
    <d v="2025-07-21T00:00:00"/>
    <x v="54"/>
    <s v="미율"/>
    <n v="132"/>
  </r>
  <r>
    <s v="stage_reached_350 (App)"/>
    <x v="8"/>
    <x v="10"/>
    <d v="2025-08-03T00:00:00"/>
    <x v="49"/>
    <s v="teamnose"/>
    <n v="758"/>
  </r>
  <r>
    <s v="stage_reached_350 (App)"/>
    <x v="17"/>
    <x v="10"/>
    <d v="2025-08-04T00:00:00"/>
    <x v="55"/>
    <s v="조엘"/>
    <n v="681"/>
  </r>
  <r>
    <s v="stage_reached_350 (App)"/>
    <x v="3"/>
    <x v="10"/>
    <d v="2025-08-04T00:00:00"/>
    <x v="56"/>
    <s v="chemma"/>
    <n v="690"/>
  </r>
  <r>
    <s v="stage_reached_350 (App)"/>
    <x v="11"/>
    <x v="10"/>
    <d v="2025-08-04T00:00:00"/>
    <x v="57"/>
    <s v="리세3"/>
    <n v="707"/>
  </r>
  <r>
    <s v="stage_reached_350 (App)"/>
    <x v="17"/>
    <x v="10"/>
    <d v="2025-08-03T00:00:00"/>
    <x v="7"/>
    <s v="선장"/>
    <n v="669"/>
  </r>
  <r>
    <s v="stage_reached_350 (App)"/>
    <x v="3"/>
    <x v="10"/>
    <d v="2025-07-27T00:00:00"/>
    <x v="58"/>
    <s v="소천"/>
    <n v="325"/>
  </r>
  <r>
    <s v="stage_reached_350 (App)"/>
    <x v="4"/>
    <x v="10"/>
    <d v="2025-07-28T00:00:00"/>
    <x v="59"/>
    <s v="o해요"/>
    <n v="324"/>
  </r>
  <r>
    <s v="stage_reached_350 (App)"/>
    <x v="0"/>
    <x v="10"/>
    <d v="2025-07-27T00:00:00"/>
    <x v="60"/>
    <s v="허어어니"/>
    <n v="276"/>
  </r>
  <r>
    <s v="stage_reached_350 (App)"/>
    <x v="13"/>
    <x v="10"/>
    <d v="2025-07-26T00:00:00"/>
    <x v="61"/>
    <s v="그루터기"/>
    <n v="249"/>
  </r>
  <r>
    <s v="stage_reached_350 (App)"/>
    <x v="4"/>
    <x v="10"/>
    <d v="2025-07-22T00:00:00"/>
    <x v="62"/>
    <s v="누나좋아"/>
    <n v="190"/>
  </r>
  <r>
    <s v="stage_reached_350 (App)"/>
    <x v="15"/>
    <x v="10"/>
    <d v="2025-07-21T00:00:00"/>
    <x v="63"/>
    <s v="탕유닝"/>
    <n v="230"/>
  </r>
  <r>
    <s v="stage_reached_350 (App)"/>
    <x v="13"/>
    <x v="10"/>
    <d v="2025-07-21T00:00:00"/>
    <x v="64"/>
    <s v="타난"/>
    <n v="185"/>
  </r>
  <r>
    <s v="stage_reached_350 (App)"/>
    <x v="0"/>
    <x v="10"/>
    <d v="2025-07-21T00:00:00"/>
    <x v="65"/>
    <s v="발직"/>
    <n v="140"/>
  </r>
  <r>
    <s v="stage_reached_350 (App)"/>
    <x v="17"/>
    <x v="10"/>
    <d v="2025-07-20T00:00:00"/>
    <x v="66"/>
    <s v="헤롱이"/>
    <n v="127"/>
  </r>
  <r>
    <s v="stage_reached_350 (App)"/>
    <x v="18"/>
    <x v="10"/>
    <d v="2025-07-19T00:00:00"/>
    <x v="67"/>
    <s v="s불멸1s"/>
    <n v="114"/>
  </r>
  <r>
    <s v="stage_reached_350 (App)"/>
    <x v="4"/>
    <x v="10"/>
    <d v="2025-07-19T00:00:00"/>
    <x v="18"/>
    <s v="데몬"/>
    <n v="112"/>
  </r>
  <r>
    <s v="stage_reached_350 (App)"/>
    <x v="13"/>
    <x v="10"/>
    <d v="2025-07-19T00:00:00"/>
    <x v="68"/>
    <s v="나냐"/>
    <n v="103"/>
  </r>
  <r>
    <s v="stage_reached_350 (App)"/>
    <x v="13"/>
    <x v="11"/>
    <d v="2025-08-03T00:00:00"/>
    <x v="69"/>
    <s v="댕댕E"/>
    <n v="727"/>
  </r>
  <r>
    <s v="stage_reached_350 (App)"/>
    <x v="0"/>
    <x v="11"/>
    <d v="2025-08-01T00:00:00"/>
    <x v="70"/>
    <s v="가정주부"/>
    <n v="565"/>
  </r>
  <r>
    <s v="stage_reached_350 (App)"/>
    <x v="12"/>
    <x v="11"/>
    <d v="2025-07-30T00:00:00"/>
    <x v="71"/>
    <s v="l대마왕l"/>
    <n v="505"/>
  </r>
  <r>
    <s v="stage_reached_350 (App)"/>
    <x v="4"/>
    <x v="11"/>
    <d v="2025-07-27T00:00:00"/>
    <x v="72"/>
    <s v="우르르쾅쾅"/>
    <n v="402"/>
  </r>
  <r>
    <s v="stage_reached_350 (App)"/>
    <x v="10"/>
    <x v="11"/>
    <d v="2025-07-24T00:00:00"/>
    <x v="73"/>
    <s v="아돌이"/>
    <n v="243"/>
  </r>
  <r>
    <s v="stage_reached_350 (App)"/>
    <x v="10"/>
    <x v="11"/>
    <d v="2025-07-25T00:00:00"/>
    <x v="54"/>
    <s v="흥길동z"/>
    <n v="230"/>
  </r>
  <r>
    <s v="stage_reached_350 (App)"/>
    <x v="10"/>
    <x v="11"/>
    <d v="2025-07-22T00:00:00"/>
    <x v="74"/>
    <s v="파대"/>
    <n v="247"/>
  </r>
  <r>
    <s v="stage_reached_350 (App)"/>
    <x v="2"/>
    <x v="11"/>
    <d v="2025-07-20T00:00:00"/>
    <x v="75"/>
    <s v="닷지"/>
    <n v="164"/>
  </r>
  <r>
    <s v="stage_reached_350 (App)"/>
    <x v="3"/>
    <x v="11"/>
    <d v="2025-07-21T00:00:00"/>
    <x v="76"/>
    <s v="세종더그레잇"/>
    <n v="153"/>
  </r>
  <r>
    <s v="stage_reached_350 (App)"/>
    <x v="0"/>
    <x v="11"/>
    <d v="2025-07-20T00:00:00"/>
    <x v="77"/>
    <s v="진홍"/>
    <n v="158"/>
  </r>
  <r>
    <s v="stage_reached_350 (App)"/>
    <x v="12"/>
    <x v="11"/>
    <d v="2025-07-19T00:00:00"/>
    <x v="78"/>
    <s v="비스트롱"/>
    <n v="122"/>
  </r>
  <r>
    <s v="stage_reached_350 (App)"/>
    <x v="8"/>
    <x v="11"/>
    <d v="2025-07-19T00:00:00"/>
    <x v="79"/>
    <s v="은선"/>
    <n v="122"/>
  </r>
  <r>
    <s v="stage_reached_350 (App)"/>
    <x v="7"/>
    <x v="11"/>
    <d v="2025-07-19T00:00:00"/>
    <x v="63"/>
    <s v="악에서구하소서"/>
    <n v="116"/>
  </r>
  <r>
    <s v="stage_reached_350 (App)"/>
    <x v="10"/>
    <x v="11"/>
    <d v="2025-07-19T00:00:00"/>
    <x v="80"/>
    <s v="유궁귀"/>
    <n v="115"/>
  </r>
  <r>
    <s v="stage_reached_350 (App)"/>
    <x v="3"/>
    <x v="11"/>
    <d v="2025-07-18T00:00:00"/>
    <x v="81"/>
    <s v="지남샘"/>
    <n v="113"/>
  </r>
  <r>
    <s v="stage_reached_350 (App)"/>
    <x v="10"/>
    <x v="11"/>
    <d v="2025-07-19T00:00:00"/>
    <x v="27"/>
    <s v="화염방구"/>
    <n v="112"/>
  </r>
  <r>
    <s v="stage_reached_350 (App)"/>
    <x v="7"/>
    <x v="11"/>
    <d v="2025-07-17T00:00:00"/>
    <x v="82"/>
    <s v="방랑검객"/>
    <n v="98"/>
  </r>
  <r>
    <s v="stage_reached_350 (App)"/>
    <x v="3"/>
    <x v="12"/>
    <d v="2025-08-02T00:00:00"/>
    <x v="83"/>
    <s v="우성이"/>
    <n v="731"/>
  </r>
  <r>
    <s v="stage_reached_350 (App)"/>
    <x v="10"/>
    <x v="12"/>
    <d v="2025-08-02T00:00:00"/>
    <x v="84"/>
    <s v="승질승"/>
    <n v="690"/>
  </r>
  <r>
    <s v="stage_reached_350 (App)"/>
    <x v="1"/>
    <x v="12"/>
    <d v="2025-08-01T00:00:00"/>
    <x v="85"/>
    <s v="최무사"/>
    <n v="720"/>
  </r>
  <r>
    <s v="stage_reached_350 (App)"/>
    <x v="0"/>
    <x v="12"/>
    <d v="2025-07-30T00:00:00"/>
    <x v="86"/>
    <s v="오비이락"/>
    <n v="555"/>
  </r>
  <r>
    <s v="stage_reached_350 (App)"/>
    <x v="12"/>
    <x v="12"/>
    <d v="2025-07-30T00:00:00"/>
    <x v="87"/>
    <s v="바람둥앙마"/>
    <n v="545"/>
  </r>
  <r>
    <s v="stage_reached_350 (App)"/>
    <x v="3"/>
    <x v="12"/>
    <d v="2025-07-27T00:00:00"/>
    <x v="88"/>
    <s v="냄비"/>
    <n v="459"/>
  </r>
  <r>
    <s v="stage_reached_350 (App)"/>
    <x v="3"/>
    <x v="12"/>
    <d v="2025-07-28T00:00:00"/>
    <x v="68"/>
    <s v="밥이"/>
    <n v="436"/>
  </r>
  <r>
    <s v="stage_reached_350 (App)"/>
    <x v="1"/>
    <x v="12"/>
    <d v="2025-07-27T00:00:00"/>
    <x v="89"/>
    <s v="꼬치쓰"/>
    <n v="342"/>
  </r>
  <r>
    <s v="stage_reached_350 (App)"/>
    <x v="11"/>
    <x v="12"/>
    <d v="2025-07-25T00:00:00"/>
    <x v="90"/>
    <s v="신혜공주"/>
    <n v="327"/>
  </r>
  <r>
    <s v="stage_reached_350 (App)"/>
    <x v="10"/>
    <x v="12"/>
    <d v="2025-07-24T00:00:00"/>
    <x v="91"/>
    <s v="치리군"/>
    <n v="273"/>
  </r>
  <r>
    <s v="stage_reached_350 (App)"/>
    <x v="3"/>
    <x v="12"/>
    <d v="2025-07-25T00:00:00"/>
    <x v="92"/>
    <s v="무르무르"/>
    <n v="265"/>
  </r>
  <r>
    <s v="stage_reached_350 (App)"/>
    <x v="15"/>
    <x v="12"/>
    <d v="2025-07-22T00:00:00"/>
    <x v="27"/>
    <s v="꽃설"/>
    <n v="224"/>
  </r>
  <r>
    <s v="stage_reached_350 (App)"/>
    <x v="4"/>
    <x v="12"/>
    <d v="2025-07-20T00:00:00"/>
    <x v="71"/>
    <s v="talgol"/>
    <n v="173"/>
  </r>
  <r>
    <s v="stage_reached_350 (App)"/>
    <x v="4"/>
    <x v="12"/>
    <d v="2025-07-20T00:00:00"/>
    <x v="93"/>
    <s v="규링"/>
    <n v="173"/>
  </r>
  <r>
    <s v="stage_reached_350 (App)"/>
    <x v="13"/>
    <x v="12"/>
    <d v="2025-07-20T00:00:00"/>
    <x v="94"/>
    <s v="제로나인"/>
    <n v="202"/>
  </r>
  <r>
    <s v="stage_reached_350 (App)"/>
    <x v="13"/>
    <x v="12"/>
    <d v="2025-07-19T00:00:00"/>
    <x v="95"/>
    <s v="홍만춘"/>
    <n v="135"/>
  </r>
  <r>
    <s v="stage_reached_350 (App)"/>
    <x v="4"/>
    <x v="12"/>
    <d v="2025-07-17T00:00:00"/>
    <x v="60"/>
    <s v="윈져"/>
    <n v="126"/>
  </r>
  <r>
    <s v="stage_reached_350 (App)"/>
    <x v="19"/>
    <x v="12"/>
    <d v="2025-07-18T00:00:00"/>
    <x v="96"/>
    <s v="브이아이피"/>
    <n v="128"/>
  </r>
  <r>
    <s v="stage_reached_350 (App)"/>
    <x v="1"/>
    <x v="12"/>
    <d v="2025-07-18T00:00:00"/>
    <x v="97"/>
    <s v="올타신영"/>
    <n v="148"/>
  </r>
  <r>
    <s v="stage_reached_350 (App)"/>
    <x v="4"/>
    <x v="12"/>
    <d v="2025-07-17T00:00:00"/>
    <x v="98"/>
    <s v="하모예"/>
    <n v="105"/>
  </r>
  <r>
    <s v="stage_reached_350 (App)"/>
    <x v="4"/>
    <x v="12"/>
    <d v="2025-07-17T00:00:00"/>
    <x v="99"/>
    <s v="맘바"/>
    <n v="106"/>
  </r>
  <r>
    <s v="stage_reached_350 (App)"/>
    <x v="3"/>
    <x v="12"/>
    <d v="2025-07-17T00:00:00"/>
    <x v="98"/>
    <s v="응아코"/>
    <n v="132"/>
  </r>
  <r>
    <s v="stage_reached_350 (App)"/>
    <x v="4"/>
    <x v="12"/>
    <d v="2025-07-16T00:00:00"/>
    <x v="100"/>
    <s v="수진"/>
    <n v="102"/>
  </r>
  <r>
    <s v="stage_reached_350 (App)"/>
    <x v="10"/>
    <x v="12"/>
    <d v="2025-07-16T00:00:00"/>
    <x v="54"/>
    <s v="찐아"/>
    <n v="96"/>
  </r>
  <r>
    <s v="stage_reached_350 (App)"/>
    <x v="10"/>
    <x v="13"/>
    <d v="2025-07-31T00:00:00"/>
    <x v="101"/>
    <s v="하곰탱"/>
    <n v="751"/>
  </r>
  <r>
    <s v="stage_reached_350 (App)"/>
    <x v="15"/>
    <x v="13"/>
    <d v="2025-07-30T00:00:00"/>
    <x v="102"/>
    <s v="roki"/>
    <n v="598"/>
  </r>
  <r>
    <s v="stage_reached_350 (App)"/>
    <x v="14"/>
    <x v="13"/>
    <d v="2025-07-28T00:00:00"/>
    <x v="103"/>
    <s v="행백이"/>
    <n v="489"/>
  </r>
  <r>
    <s v="stage_reached_350 (App)"/>
    <x v="1"/>
    <x v="13"/>
    <d v="2025-07-25T00:00:00"/>
    <x v="43"/>
    <s v="요피엘"/>
    <n v="388"/>
  </r>
  <r>
    <s v="stage_reached_350 (App)"/>
    <x v="7"/>
    <x v="13"/>
    <d v="2025-07-26T00:00:00"/>
    <x v="104"/>
    <s v="유케이"/>
    <n v="383"/>
  </r>
  <r>
    <s v="stage_reached_350 (App)"/>
    <x v="14"/>
    <x v="13"/>
    <d v="2025-07-23T00:00:00"/>
    <x v="105"/>
    <s v="천상악"/>
    <n v="249"/>
  </r>
  <r>
    <s v="stage_reached_350 (App)"/>
    <x v="12"/>
    <x v="13"/>
    <d v="2025-07-23T00:00:00"/>
    <x v="78"/>
    <s v="자냥탄센"/>
    <n v="256"/>
  </r>
  <r>
    <s v="stage_reached_350 (App)"/>
    <x v="3"/>
    <x v="13"/>
    <d v="2025-07-22T00:00:00"/>
    <x v="106"/>
    <s v="길옥"/>
    <n v="234"/>
  </r>
  <r>
    <s v="stage_reached_350 (App)"/>
    <x v="7"/>
    <x v="13"/>
    <d v="2025-07-22T00:00:00"/>
    <x v="107"/>
    <s v="리둠"/>
    <n v="255"/>
  </r>
  <r>
    <s v="stage_reached_350 (App)"/>
    <x v="12"/>
    <x v="13"/>
    <d v="2025-07-20T00:00:00"/>
    <x v="108"/>
    <s v="나그넷길"/>
    <n v="209"/>
  </r>
  <r>
    <s v="stage_reached_350 (App)"/>
    <x v="1"/>
    <x v="13"/>
    <d v="2025-07-20T00:00:00"/>
    <x v="109"/>
    <s v="하야안"/>
    <n v="194"/>
  </r>
  <r>
    <s v="stage_reached_350 (App)"/>
    <x v="3"/>
    <x v="13"/>
    <d v="2025-07-19T00:00:00"/>
    <x v="110"/>
    <s v="베니어"/>
    <n v="186"/>
  </r>
  <r>
    <s v="stage_reached_350 (App)"/>
    <x v="3"/>
    <x v="13"/>
    <d v="2025-07-20T00:00:00"/>
    <x v="88"/>
    <s v="길길길"/>
    <n v="185"/>
  </r>
  <r>
    <s v="stage_reached_350 (App)"/>
    <x v="14"/>
    <x v="13"/>
    <d v="2025-07-19T00:00:00"/>
    <x v="76"/>
    <s v="GaDo"/>
    <n v="176"/>
  </r>
  <r>
    <s v="stage_reached_350 (App)"/>
    <x v="11"/>
    <x v="13"/>
    <d v="2025-07-18T00:00:00"/>
    <x v="111"/>
    <s v="chevti"/>
    <n v="168"/>
  </r>
  <r>
    <s v="stage_reached_350 (App)"/>
    <x v="4"/>
    <x v="13"/>
    <d v="2025-07-19T00:00:00"/>
    <x v="112"/>
    <s v="김죠"/>
    <n v="159"/>
  </r>
  <r>
    <s v="stage_reached_350 (App)"/>
    <x v="14"/>
    <x v="13"/>
    <d v="2025-07-18T00:00:00"/>
    <x v="64"/>
    <s v="흑천왕"/>
    <n v="146"/>
  </r>
  <r>
    <s v="stage_reached_350 (App)"/>
    <x v="4"/>
    <x v="13"/>
    <d v="2025-07-18T00:00:00"/>
    <x v="113"/>
    <s v="조단비"/>
    <n v="155"/>
  </r>
  <r>
    <s v="stage_reached_350 (App)"/>
    <x v="3"/>
    <x v="13"/>
    <d v="2025-07-19T00:00:00"/>
    <x v="114"/>
    <s v="사계절"/>
    <n v="152"/>
  </r>
  <r>
    <s v="stage_reached_350 (App)"/>
    <x v="4"/>
    <x v="13"/>
    <d v="2025-07-18T00:00:00"/>
    <x v="115"/>
    <s v="도재"/>
    <n v="171"/>
  </r>
  <r>
    <s v="stage_reached_350 (App)"/>
    <x v="2"/>
    <x v="13"/>
    <d v="2025-07-18T00:00:00"/>
    <x v="116"/>
    <s v="일주일만"/>
    <n v="136"/>
  </r>
  <r>
    <s v="stage_reached_350 (App)"/>
    <x v="6"/>
    <x v="13"/>
    <d v="2025-07-17T00:00:00"/>
    <x v="117"/>
    <s v="윤관"/>
    <n v="116"/>
  </r>
  <r>
    <s v="stage_reached_350 (App)"/>
    <x v="7"/>
    <x v="14"/>
    <d v="2025-07-31T00:00:00"/>
    <x v="118"/>
    <s v="IPZA"/>
    <n v="743"/>
  </r>
  <r>
    <s v="stage_reached_350 (App)"/>
    <x v="0"/>
    <x v="14"/>
    <d v="2025-07-29T00:00:00"/>
    <x v="119"/>
    <s v="사루다"/>
    <n v="588"/>
  </r>
  <r>
    <s v="stage_reached_350 (App)"/>
    <x v="5"/>
    <x v="14"/>
    <d v="2025-07-28T00:00:00"/>
    <x v="87"/>
    <s v="연쇄유배범"/>
    <n v="587"/>
  </r>
  <r>
    <s v="stage_reached_350 (App)"/>
    <x v="11"/>
    <x v="14"/>
    <d v="2025-07-29T00:00:00"/>
    <x v="120"/>
    <s v="유진킴"/>
    <n v="579"/>
  </r>
  <r>
    <s v="stage_reached_350 (App)"/>
    <x v="11"/>
    <x v="14"/>
    <d v="2025-07-26T00:00:00"/>
    <x v="121"/>
    <s v="궁디팡"/>
    <n v="405"/>
  </r>
  <r>
    <s v="stage_reached_350 (App)"/>
    <x v="4"/>
    <x v="14"/>
    <d v="2025-07-24T00:00:00"/>
    <x v="122"/>
    <s v="두식이아부지"/>
    <n v="358"/>
  </r>
  <r>
    <s v="stage_reached_350 (App)"/>
    <x v="10"/>
    <x v="14"/>
    <d v="2025-07-23T00:00:00"/>
    <x v="123"/>
    <s v="사노"/>
    <n v="279"/>
  </r>
  <r>
    <s v="stage_reached_350 (App)"/>
    <x v="1"/>
    <x v="14"/>
    <d v="2025-07-22T00:00:00"/>
    <x v="124"/>
    <s v="장수척준경"/>
    <n v="264"/>
  </r>
  <r>
    <s v="stage_reached_350 (App)"/>
    <x v="12"/>
    <x v="14"/>
    <d v="2025-07-20T00:00:00"/>
    <x v="87"/>
    <s v="MaMooRi"/>
    <n v="224"/>
  </r>
  <r>
    <s v="stage_reached_350 (App)"/>
    <x v="12"/>
    <x v="14"/>
    <d v="2025-07-21T00:00:00"/>
    <x v="46"/>
    <s v="허요허요"/>
    <n v="226"/>
  </r>
  <r>
    <s v="stage_reached_350 (App)"/>
    <x v="4"/>
    <x v="14"/>
    <d v="2025-07-20T00:00:00"/>
    <x v="125"/>
    <s v="하리보소주맛"/>
    <n v="210"/>
  </r>
  <r>
    <s v="stage_reached_350 (App)"/>
    <x v="12"/>
    <x v="14"/>
    <d v="2025-07-19T00:00:00"/>
    <x v="126"/>
    <s v="비발디"/>
    <n v="201"/>
  </r>
  <r>
    <s v="stage_reached_350 (App)"/>
    <x v="12"/>
    <x v="14"/>
    <d v="2025-07-19T00:00:00"/>
    <x v="127"/>
    <s v="부타"/>
    <n v="211"/>
  </r>
  <r>
    <s v="stage_reached_350 (App)"/>
    <x v="5"/>
    <x v="14"/>
    <d v="2025-07-19T00:00:00"/>
    <x v="128"/>
    <s v="자료구조"/>
    <n v="196"/>
  </r>
  <r>
    <s v="stage_reached_350 (App)"/>
    <x v="11"/>
    <x v="14"/>
    <d v="2025-07-19T00:00:00"/>
    <x v="69"/>
    <s v="헬랑구"/>
    <n v="189"/>
  </r>
  <r>
    <s v="stage_reached_350 (App)"/>
    <x v="12"/>
    <x v="14"/>
    <d v="2025-07-19T00:00:00"/>
    <x v="129"/>
    <s v="학준"/>
    <n v="186"/>
  </r>
  <r>
    <s v="stage_reached_350 (App)"/>
    <x v="3"/>
    <x v="14"/>
    <d v="2025-07-18T00:00:00"/>
    <x v="130"/>
    <s v="기범배"/>
    <n v="178"/>
  </r>
  <r>
    <s v="stage_reached_350 (App)"/>
    <x v="0"/>
    <x v="14"/>
    <d v="2025-07-18T00:00:00"/>
    <x v="131"/>
    <s v="그것이섯다"/>
    <n v="173"/>
  </r>
  <r>
    <s v="stage_reached_350 (App)"/>
    <x v="10"/>
    <x v="14"/>
    <d v="2025-07-18T00:00:00"/>
    <x v="132"/>
    <s v="관절이아프구나"/>
    <n v="171"/>
  </r>
  <r>
    <s v="stage_reached_350 (App)"/>
    <x v="12"/>
    <x v="14"/>
    <d v="2025-07-18T00:00:00"/>
    <x v="118"/>
    <s v="봉딱이"/>
    <n v="162"/>
  </r>
  <r>
    <s v="stage_reached_350 (App)"/>
    <x v="4"/>
    <x v="14"/>
    <d v="2025-07-18T00:00:00"/>
    <x v="133"/>
    <s v="아즈"/>
    <n v="144"/>
  </r>
  <r>
    <s v="stage_reached_350 (App)"/>
    <x v="2"/>
    <x v="14"/>
    <d v="2025-07-18T00:00:00"/>
    <x v="96"/>
    <s v="옴스옴스"/>
    <n v="147"/>
  </r>
  <r>
    <s v="stage_reached_350 (App)"/>
    <x v="3"/>
    <x v="14"/>
    <d v="2025-07-17T00:00:00"/>
    <x v="134"/>
    <s v="건호최고"/>
    <n v="142"/>
  </r>
  <r>
    <s v="stage_reached_350 (App)"/>
    <x v="2"/>
    <x v="14"/>
    <d v="2025-07-16T00:00:00"/>
    <x v="60"/>
    <s v="국내산"/>
    <n v="150"/>
  </r>
  <r>
    <s v="stage_reached_350 (App)"/>
    <x v="7"/>
    <x v="14"/>
    <d v="2025-07-17T00:00:00"/>
    <x v="135"/>
    <s v="2쁜2"/>
    <n v="138"/>
  </r>
  <r>
    <s v="stage_reached_350 (App)"/>
    <x v="1"/>
    <x v="14"/>
    <d v="2025-07-16T00:00:00"/>
    <x v="136"/>
    <s v="연우파파"/>
    <n v="120"/>
  </r>
  <r>
    <s v="stage_reached_350 (App)"/>
    <x v="2"/>
    <x v="14"/>
    <d v="2025-07-16T00:00:00"/>
    <x v="87"/>
    <s v="또봇엑스"/>
    <n v="121"/>
  </r>
  <r>
    <s v="stage_reached_350 (App)"/>
    <x v="6"/>
    <x v="14"/>
    <d v="2025-07-16T00:00:00"/>
    <x v="137"/>
    <s v="아주"/>
    <n v="120"/>
  </r>
  <r>
    <s v="stage_reached_350 (App)"/>
    <x v="5"/>
    <x v="14"/>
    <d v="2025-07-15T00:00:00"/>
    <x v="138"/>
    <s v="쿠빈"/>
    <n v="1379"/>
  </r>
  <r>
    <s v="stage_reached_350 (App)"/>
    <x v="3"/>
    <x v="14"/>
    <d v="2025-07-15T00:00:00"/>
    <x v="139"/>
    <s v="소룡녀"/>
    <n v="1603"/>
  </r>
  <r>
    <s v="stage_reached_350 (App)"/>
    <x v="1"/>
    <x v="15"/>
    <d v="2025-07-30T00:00:00"/>
    <x v="64"/>
    <s v="한결도희"/>
    <n v="803"/>
  </r>
  <r>
    <s v="stage_reached_350 (App)"/>
    <x v="14"/>
    <x v="15"/>
    <d v="2025-07-30T00:00:00"/>
    <x v="140"/>
    <s v="이만냥"/>
    <n v="743"/>
  </r>
  <r>
    <s v="stage_reached_350 (App)"/>
    <x v="0"/>
    <x v="15"/>
    <d v="2025-07-29T00:00:00"/>
    <x v="141"/>
    <s v="문순우"/>
    <n v="622"/>
  </r>
  <r>
    <s v="stage_reached_350 (App)"/>
    <x v="1"/>
    <x v="15"/>
    <d v="2025-07-27T00:00:00"/>
    <x v="142"/>
    <s v="후라이드참새"/>
    <n v="543"/>
  </r>
  <r>
    <s v="stage_reached_350 (App)"/>
    <x v="3"/>
    <x v="15"/>
    <d v="2025-07-24T00:00:00"/>
    <x v="86"/>
    <s v="기모찌맨"/>
    <n v="450"/>
  </r>
  <r>
    <s v="stage_reached_350 (App)"/>
    <x v="3"/>
    <x v="15"/>
    <d v="2025-07-25T00:00:00"/>
    <x v="143"/>
    <s v="duha"/>
    <n v="449"/>
  </r>
  <r>
    <s v="stage_reached_350 (App)"/>
    <x v="12"/>
    <x v="15"/>
    <d v="2025-07-25T00:00:00"/>
    <x v="88"/>
    <s v="rubidu"/>
    <n v="403"/>
  </r>
  <r>
    <s v="stage_reached_350 (App)"/>
    <x v="3"/>
    <x v="15"/>
    <d v="2025-07-24T00:00:00"/>
    <x v="108"/>
    <s v="양호두"/>
    <n v="407"/>
  </r>
  <r>
    <s v="stage_reached_350 (App)"/>
    <x v="3"/>
    <x v="15"/>
    <d v="2025-07-23T00:00:00"/>
    <x v="144"/>
    <s v="철도공사"/>
    <n v="309"/>
  </r>
  <r>
    <s v="stage_reached_350 (App)"/>
    <x v="7"/>
    <x v="15"/>
    <d v="2025-07-21T00:00:00"/>
    <x v="145"/>
    <s v="서씨옴"/>
    <n v="274"/>
  </r>
  <r>
    <s v="stage_reached_350 (App)"/>
    <x v="10"/>
    <x v="15"/>
    <d v="2025-07-20T00:00:00"/>
    <x v="146"/>
    <s v="애플청포도"/>
    <n v="260"/>
  </r>
  <r>
    <s v="stage_reached_350 (App)"/>
    <x v="12"/>
    <x v="15"/>
    <d v="2025-07-20T00:00:00"/>
    <x v="87"/>
    <s v="듀랜달"/>
    <n v="247"/>
  </r>
  <r>
    <s v="stage_reached_350 (App)"/>
    <x v="3"/>
    <x v="15"/>
    <d v="2025-07-19T00:00:00"/>
    <x v="147"/>
    <s v="명탐정코난"/>
    <n v="228"/>
  </r>
  <r>
    <s v="stage_reached_350 (App)"/>
    <x v="1"/>
    <x v="15"/>
    <d v="2025-07-19T00:00:00"/>
    <x v="148"/>
    <s v="복실"/>
    <n v="215"/>
  </r>
  <r>
    <s v="stage_reached_350 (App)"/>
    <x v="10"/>
    <x v="15"/>
    <d v="2025-07-18T00:00:00"/>
    <x v="149"/>
    <s v="구독자"/>
    <n v="211"/>
  </r>
  <r>
    <s v="stage_reached_350 (App)"/>
    <x v="2"/>
    <x v="15"/>
    <d v="2025-07-19T00:00:00"/>
    <x v="78"/>
    <s v="루사"/>
    <n v="206"/>
  </r>
  <r>
    <s v="stage_reached_350 (App)"/>
    <x v="3"/>
    <x v="15"/>
    <d v="2025-07-19T00:00:00"/>
    <x v="132"/>
    <s v="물긷는아낙네"/>
    <n v="197"/>
  </r>
  <r>
    <s v="stage_reached_350 (App)"/>
    <x v="3"/>
    <x v="15"/>
    <d v="2025-07-19T00:00:00"/>
    <x v="150"/>
    <s v="당두두당"/>
    <n v="194"/>
  </r>
  <r>
    <s v="stage_reached_350 (App)"/>
    <x v="3"/>
    <x v="15"/>
    <d v="2025-07-18T00:00:00"/>
    <x v="151"/>
    <s v="텐프로"/>
    <n v="198"/>
  </r>
  <r>
    <s v="stage_reached_350 (App)"/>
    <x v="7"/>
    <x v="15"/>
    <d v="2025-07-18T00:00:00"/>
    <x v="152"/>
    <s v="방귀꾼"/>
    <n v="187"/>
  </r>
  <r>
    <s v="stage_reached_350 (App)"/>
    <x v="15"/>
    <x v="15"/>
    <d v="2025-07-18T00:00:00"/>
    <x v="153"/>
    <s v="Henry"/>
    <n v="182"/>
  </r>
  <r>
    <s v="stage_reached_350 (App)"/>
    <x v="12"/>
    <x v="15"/>
    <d v="2025-07-18T00:00:00"/>
    <x v="154"/>
    <s v="비련"/>
    <n v="178"/>
  </r>
  <r>
    <s v="stage_reached_350 (App)"/>
    <x v="12"/>
    <x v="15"/>
    <d v="2025-07-18T00:00:00"/>
    <x v="87"/>
    <s v="도야수"/>
    <n v="179"/>
  </r>
  <r>
    <s v="stage_reached_350 (App)"/>
    <x v="19"/>
    <x v="15"/>
    <d v="2025-07-17T00:00:00"/>
    <x v="155"/>
    <s v="얼발"/>
    <n v="177"/>
  </r>
  <r>
    <s v="stage_reached_350 (App)"/>
    <x v="7"/>
    <x v="15"/>
    <d v="2025-07-17T00:00:00"/>
    <x v="156"/>
    <s v="수비"/>
    <n v="162"/>
  </r>
  <r>
    <s v="stage_reached_350 (App)"/>
    <x v="0"/>
    <x v="15"/>
    <d v="2025-07-16T00:00:00"/>
    <x v="75"/>
    <s v="이로로"/>
    <n v="153"/>
  </r>
  <r>
    <s v="stage_reached_350 (App)"/>
    <x v="4"/>
    <x v="15"/>
    <d v="2025-07-17T00:00:00"/>
    <x v="109"/>
    <s v="지희88"/>
    <n v="151"/>
  </r>
  <r>
    <s v="stage_reached_350 (App)"/>
    <x v="2"/>
    <x v="15"/>
    <d v="2025-07-16T00:00:00"/>
    <x v="157"/>
    <s v="디오"/>
    <n v="140"/>
  </r>
  <r>
    <s v="stage_reached_350 (App)"/>
    <x v="3"/>
    <x v="16"/>
    <d v="2025-07-29T00:00:00"/>
    <x v="118"/>
    <s v="ENS"/>
    <n v="870"/>
  </r>
  <r>
    <s v="stage_reached_350 (App)"/>
    <x v="1"/>
    <x v="16"/>
    <d v="2025-07-30T00:00:00"/>
    <x v="158"/>
    <s v="마늘쫑"/>
    <n v="782"/>
  </r>
  <r>
    <s v="stage_reached_350 (App)"/>
    <x v="3"/>
    <x v="16"/>
    <d v="2025-07-29T00:00:00"/>
    <x v="159"/>
    <s v="히읏"/>
    <n v="726"/>
  </r>
  <r>
    <s v="stage_reached_350 (App)"/>
    <x v="10"/>
    <x v="16"/>
    <d v="2025-07-28T00:00:00"/>
    <x v="160"/>
    <s v="독립"/>
    <n v="693"/>
  </r>
  <r>
    <s v="stage_reached_350 (App)"/>
    <x v="10"/>
    <x v="16"/>
    <d v="2025-07-27T00:00:00"/>
    <x v="161"/>
    <s v="스과"/>
    <n v="594"/>
  </r>
  <r>
    <s v="stage_reached_350 (App)"/>
    <x v="3"/>
    <x v="16"/>
    <d v="2025-07-26T00:00:00"/>
    <x v="162"/>
    <s v="임의변경"/>
    <n v="574"/>
  </r>
  <r>
    <s v="stage_reached_350 (App)"/>
    <x v="11"/>
    <x v="16"/>
    <d v="2025-07-27T00:00:00"/>
    <x v="163"/>
    <s v="제2천마"/>
    <n v="585"/>
  </r>
  <r>
    <s v="stage_reached_350 (App)"/>
    <x v="3"/>
    <x v="16"/>
    <d v="2025-07-26T00:00:00"/>
    <x v="164"/>
    <s v="정동인"/>
    <n v="541"/>
  </r>
  <r>
    <s v="stage_reached_350 (App)"/>
    <x v="4"/>
    <x v="16"/>
    <d v="2025-07-26T00:00:00"/>
    <x v="74"/>
    <s v="타이거통"/>
    <n v="571"/>
  </r>
  <r>
    <s v="stage_reached_350 (App)"/>
    <x v="3"/>
    <x v="16"/>
    <d v="2025-07-26T00:00:00"/>
    <x v="125"/>
    <s v="왈도"/>
    <n v="522"/>
  </r>
  <r>
    <s v="stage_reached_350 (App)"/>
    <x v="3"/>
    <x v="16"/>
    <d v="2025-07-26T00:00:00"/>
    <x v="150"/>
    <s v="고공이"/>
    <n v="519"/>
  </r>
  <r>
    <s v="stage_reached_350 (App)"/>
    <x v="10"/>
    <x v="16"/>
    <d v="2025-07-26T00:00:00"/>
    <x v="96"/>
    <s v="주르"/>
    <n v="572"/>
  </r>
  <r>
    <s v="stage_reached_350 (App)"/>
    <x v="12"/>
    <x v="16"/>
    <d v="2025-07-23T00:00:00"/>
    <x v="125"/>
    <s v="Regret"/>
    <n v="583"/>
  </r>
  <r>
    <s v="stage_reached_350 (App)"/>
    <x v="10"/>
    <x v="16"/>
    <d v="2025-07-23T00:00:00"/>
    <x v="118"/>
    <s v="랴니"/>
    <n v="433"/>
  </r>
  <r>
    <s v="stage_reached_350 (App)"/>
    <x v="7"/>
    <x v="16"/>
    <d v="2025-07-22T00:00:00"/>
    <x v="118"/>
    <s v="돌비개"/>
    <n v="463"/>
  </r>
  <r>
    <s v="stage_reached_350 (App)"/>
    <x v="12"/>
    <x v="16"/>
    <d v="2025-07-23T00:00:00"/>
    <x v="87"/>
    <s v="설흔"/>
    <n v="401"/>
  </r>
  <r>
    <s v="stage_reached_350 (App)"/>
    <x v="4"/>
    <x v="16"/>
    <d v="2025-07-22T00:00:00"/>
    <x v="165"/>
    <s v="봉고"/>
    <n v="330"/>
  </r>
  <r>
    <s v="stage_reached_350 (App)"/>
    <x v="10"/>
    <x v="16"/>
    <d v="2025-07-22T00:00:00"/>
    <x v="147"/>
    <s v="주내"/>
    <n v="319"/>
  </r>
  <r>
    <s v="stage_reached_350 (App)"/>
    <x v="11"/>
    <x v="16"/>
    <d v="2025-07-22T00:00:00"/>
    <x v="87"/>
    <s v="안시성I만춘"/>
    <n v="329"/>
  </r>
  <r>
    <s v="stage_reached_350 (App)"/>
    <x v="12"/>
    <x v="16"/>
    <d v="2025-07-21T00:00:00"/>
    <x v="166"/>
    <s v="게실염"/>
    <n v="312"/>
  </r>
  <r>
    <s v="stage_reached_350 (App)"/>
    <x v="10"/>
    <x v="16"/>
    <d v="2025-07-20T00:00:00"/>
    <x v="118"/>
    <s v="코코봉봉"/>
    <n v="258"/>
  </r>
  <r>
    <s v="stage_reached_350 (App)"/>
    <x v="12"/>
    <x v="16"/>
    <d v="2025-07-20T00:00:00"/>
    <x v="87"/>
    <s v="소전"/>
    <n v="248"/>
  </r>
  <r>
    <s v="stage_reached_350 (App)"/>
    <x v="12"/>
    <x v="16"/>
    <d v="2025-07-18T00:00:00"/>
    <x v="87"/>
    <s v="박달매"/>
    <n v="215"/>
  </r>
  <r>
    <s v="stage_reached_350 (App)"/>
    <x v="3"/>
    <x v="16"/>
    <d v="2025-07-18T00:00:00"/>
    <x v="57"/>
    <s v="SSG랜더스"/>
    <n v="223"/>
  </r>
  <r>
    <s v="stage_reached_350 (App)"/>
    <x v="10"/>
    <x v="16"/>
    <d v="2025-07-17T00:00:00"/>
    <x v="88"/>
    <s v="지냥"/>
    <n v="188"/>
  </r>
  <r>
    <s v="stage_reached_350 (App)"/>
    <x v="10"/>
    <x v="16"/>
    <d v="2025-07-16T00:00:00"/>
    <x v="167"/>
    <s v="우치하이타치"/>
    <n v="180"/>
  </r>
  <r>
    <s v="stage_reached_350 (App)"/>
    <x v="12"/>
    <x v="16"/>
    <d v="2025-07-15T00:00:00"/>
    <x v="114"/>
    <s v="마캔"/>
    <n v="144"/>
  </r>
  <r>
    <s v="stage_reached_350 (App)"/>
    <x v="7"/>
    <x v="17"/>
    <d v="2025-07-29T00:00:00"/>
    <x v="125"/>
    <s v="쵸기"/>
    <n v="796"/>
  </r>
  <r>
    <s v="stage_reached_350 (App)"/>
    <x v="3"/>
    <x v="17"/>
    <d v="2025-07-29T00:00:00"/>
    <x v="168"/>
    <s v="난세난난세"/>
    <n v="782"/>
  </r>
  <r>
    <s v="stage_reached_350 (App)"/>
    <x v="7"/>
    <x v="17"/>
    <d v="2025-07-28T00:00:00"/>
    <x v="142"/>
    <s v="톰달"/>
    <n v="737"/>
  </r>
  <r>
    <s v="stage_reached_350 (App)"/>
    <x v="3"/>
    <x v="17"/>
    <d v="2025-07-28T00:00:00"/>
    <x v="169"/>
    <s v="로마노"/>
    <n v="848"/>
  </r>
  <r>
    <s v="stage_reached_350 (App)"/>
    <x v="0"/>
    <x v="17"/>
    <d v="2025-07-27T00:00:00"/>
    <x v="108"/>
    <s v="바삭"/>
    <n v="766"/>
  </r>
  <r>
    <s v="stage_reached_350 (App)"/>
    <x v="10"/>
    <x v="17"/>
    <d v="2025-07-26T00:00:00"/>
    <x v="150"/>
    <s v="흰눈송이"/>
    <n v="638"/>
  </r>
  <r>
    <s v="stage_reached_350 (App)"/>
    <x v="3"/>
    <x v="17"/>
    <d v="2025-07-26T00:00:00"/>
    <x v="142"/>
    <s v="선학"/>
    <n v="572"/>
  </r>
  <r>
    <s v="stage_reached_350 (App)"/>
    <x v="0"/>
    <x v="17"/>
    <d v="2025-07-26T00:00:00"/>
    <x v="87"/>
    <s v="혼세마왕"/>
    <n v="662"/>
  </r>
  <r>
    <s v="stage_reached_350 (App)"/>
    <x v="10"/>
    <x v="17"/>
    <d v="2025-07-25T00:00:00"/>
    <x v="142"/>
    <s v="별찌"/>
    <n v="494"/>
  </r>
  <r>
    <s v="stage_reached_350 (App)"/>
    <x v="19"/>
    <x v="17"/>
    <d v="2025-07-22T00:00:00"/>
    <x v="89"/>
    <s v="서준아빠"/>
    <n v="517"/>
  </r>
  <r>
    <s v="stage_reached_350 (App)"/>
    <x v="13"/>
    <x v="17"/>
    <d v="2025-07-24T00:00:00"/>
    <x v="108"/>
    <s v="aurora"/>
    <n v="488"/>
  </r>
  <r>
    <s v="stage_reached_350 (App)"/>
    <x v="10"/>
    <x v="17"/>
    <d v="2025-07-23T00:00:00"/>
    <x v="170"/>
    <s v="타샤"/>
    <n v="452"/>
  </r>
  <r>
    <s v="stage_reached_350 (App)"/>
    <x v="1"/>
    <x v="17"/>
    <d v="2025-07-23T00:00:00"/>
    <x v="89"/>
    <s v="nerdy"/>
    <n v="453"/>
  </r>
  <r>
    <s v="stage_reached_350 (App)"/>
    <x v="7"/>
    <x v="17"/>
    <d v="2025-07-23T00:00:00"/>
    <x v="171"/>
    <s v="dndu"/>
    <n v="430"/>
  </r>
  <r>
    <s v="stage_reached_350 (App)"/>
    <x v="3"/>
    <x v="17"/>
    <d v="2025-07-20T00:00:00"/>
    <x v="172"/>
    <s v="느엥"/>
    <n v="389"/>
  </r>
  <r>
    <s v="stage_reached_350 (App)"/>
    <x v="0"/>
    <x v="17"/>
    <d v="2025-07-22T00:00:00"/>
    <x v="87"/>
    <s v="구월삼월"/>
    <n v="367"/>
  </r>
  <r>
    <s v="stage_reached_350 (App)"/>
    <x v="12"/>
    <x v="17"/>
    <d v="2025-07-21T00:00:00"/>
    <x v="173"/>
    <s v="옹이사랑"/>
    <n v="318"/>
  </r>
  <r>
    <s v="stage_reached_350 (App)"/>
    <x v="12"/>
    <x v="17"/>
    <d v="2025-07-21T00:00:00"/>
    <x v="87"/>
    <s v="l네메시스l"/>
    <n v="338"/>
  </r>
  <r>
    <s v="stage_reached_350 (App)"/>
    <x v="6"/>
    <x v="17"/>
    <d v="2025-07-19T00:00:00"/>
    <x v="87"/>
    <s v="해다리리"/>
    <n v="343"/>
  </r>
  <r>
    <s v="stage_reached_350 (App)"/>
    <x v="10"/>
    <x v="17"/>
    <d v="2025-07-21T00:00:00"/>
    <x v="147"/>
    <s v="기린아"/>
    <n v="343"/>
  </r>
  <r>
    <s v="stage_reached_350 (App)"/>
    <x v="4"/>
    <x v="17"/>
    <d v="2025-07-19T00:00:00"/>
    <x v="174"/>
    <s v="썩쏘염염"/>
    <n v="298"/>
  </r>
  <r>
    <s v="stage_reached_350 (App)"/>
    <x v="3"/>
    <x v="17"/>
    <d v="2025-07-20T00:00:00"/>
    <x v="118"/>
    <s v="후하"/>
    <n v="274"/>
  </r>
  <r>
    <s v="stage_reached_350 (App)"/>
    <x v="12"/>
    <x v="17"/>
    <d v="2025-07-19T00:00:00"/>
    <x v="110"/>
    <s v="딸봉바라기"/>
    <n v="277"/>
  </r>
  <r>
    <s v="stage_reached_350 (App)"/>
    <x v="10"/>
    <x v="17"/>
    <d v="2025-07-19T00:00:00"/>
    <x v="51"/>
    <s v="개센놈"/>
    <n v="270"/>
  </r>
  <r>
    <s v="stage_reached_350 (App)"/>
    <x v="3"/>
    <x v="17"/>
    <d v="2025-07-19T00:00:00"/>
    <x v="87"/>
    <s v="깨방"/>
    <n v="267"/>
  </r>
  <r>
    <s v="stage_reached_350 (App)"/>
    <x v="10"/>
    <x v="17"/>
    <d v="2025-07-18T00:00:00"/>
    <x v="87"/>
    <s v="세라라"/>
    <n v="276"/>
  </r>
  <r>
    <s v="stage_reached_350 (App)"/>
    <x v="19"/>
    <x v="17"/>
    <d v="2025-07-18T00:00:00"/>
    <x v="175"/>
    <s v="민들레옹"/>
    <n v="264"/>
  </r>
  <r>
    <s v="stage_reached_350 (App)"/>
    <x v="10"/>
    <x v="17"/>
    <d v="2025-07-18T00:00:00"/>
    <x v="176"/>
    <s v="김민교"/>
    <n v="227"/>
  </r>
  <r>
    <s v="stage_reached_350 (App)"/>
    <x v="7"/>
    <x v="17"/>
    <d v="2025-07-18T00:00:00"/>
    <x v="177"/>
    <s v="몽실몽실"/>
    <n v="240"/>
  </r>
  <r>
    <s v="stage_reached_350 (App)"/>
    <x v="10"/>
    <x v="17"/>
    <d v="2025-07-17T00:00:00"/>
    <x v="178"/>
    <s v="희동삼"/>
    <n v="226"/>
  </r>
  <r>
    <s v="stage_reached_350 (App)"/>
    <x v="11"/>
    <x v="17"/>
    <d v="2025-07-16T00:00:00"/>
    <x v="87"/>
    <s v="하룻밤십만원"/>
    <n v="225"/>
  </r>
  <r>
    <s v="stage_reached_350 (App)"/>
    <x v="4"/>
    <x v="17"/>
    <d v="2025-07-18T00:00:00"/>
    <x v="125"/>
    <s v="일류"/>
    <n v="217"/>
  </r>
  <r>
    <s v="stage_reached_350 (App)"/>
    <x v="10"/>
    <x v="17"/>
    <d v="2025-07-18T00:00:00"/>
    <x v="153"/>
    <s v="붕쯔붕쯔"/>
    <n v="226"/>
  </r>
  <r>
    <s v="stage_reached_350 (App)"/>
    <x v="15"/>
    <x v="17"/>
    <d v="2025-07-16T00:00:00"/>
    <x v="75"/>
    <s v="김햇반"/>
    <n v="214"/>
  </r>
  <r>
    <s v="stage_reached_350 (App)"/>
    <x v="3"/>
    <x v="17"/>
    <d v="2025-07-17T00:00:00"/>
    <x v="164"/>
    <s v="낭만표류기"/>
    <n v="209"/>
  </r>
  <r>
    <s v="stage_reached_350 (App)"/>
    <x v="10"/>
    <x v="17"/>
    <d v="2025-07-16T00:00:00"/>
    <x v="140"/>
    <s v="쮸니"/>
    <n v="206"/>
  </r>
  <r>
    <s v="stage_reached_350 (App)"/>
    <x v="11"/>
    <x v="17"/>
    <d v="2025-07-17T00:00:00"/>
    <x v="110"/>
    <s v="vhl"/>
    <n v="199"/>
  </r>
  <r>
    <s v="stage_reached_350 (App)"/>
    <x v="11"/>
    <x v="17"/>
    <d v="2025-07-16T00:00:00"/>
    <x v="110"/>
    <s v="호미걸이"/>
    <n v="179"/>
  </r>
  <r>
    <s v="stage_reached_350 (App)"/>
    <x v="4"/>
    <x v="18"/>
    <d v="2025-07-27T00:00:00"/>
    <x v="168"/>
    <s v="노이v"/>
    <n v="824"/>
  </r>
  <r>
    <s v="stage_reached_350 (App)"/>
    <x v="3"/>
    <x v="18"/>
    <d v="2025-07-26T00:00:00"/>
    <x v="179"/>
    <s v="헤나"/>
    <n v="714"/>
  </r>
  <r>
    <s v="stage_reached_350 (App)"/>
    <x v="12"/>
    <x v="18"/>
    <d v="2025-07-26T00:00:00"/>
    <x v="87"/>
    <s v="붕어알"/>
    <n v="677"/>
  </r>
  <r>
    <s v="stage_reached_350 (App)"/>
    <x v="2"/>
    <x v="18"/>
    <d v="2025-07-26T00:00:00"/>
    <x v="87"/>
    <s v="Unichef"/>
    <n v="695"/>
  </r>
  <r>
    <s v="stage_reached_350 (App)"/>
    <x v="3"/>
    <x v="18"/>
    <d v="2025-07-26T00:00:00"/>
    <x v="118"/>
    <s v="리프포"/>
    <n v="680"/>
  </r>
  <r>
    <s v="stage_reached_350 (App)"/>
    <x v="13"/>
    <x v="18"/>
    <d v="2025-07-25T00:00:00"/>
    <x v="87"/>
    <s v="간계의승렬"/>
    <n v="603"/>
  </r>
  <r>
    <s v="stage_reached_350 (App)"/>
    <x v="3"/>
    <x v="18"/>
    <d v="2025-07-23T00:00:00"/>
    <x v="86"/>
    <s v="흑요스늬"/>
    <n v="600"/>
  </r>
  <r>
    <s v="stage_reached_350 (App)"/>
    <x v="1"/>
    <x v="18"/>
    <d v="2025-07-25T00:00:00"/>
    <x v="87"/>
    <s v="반늬"/>
    <n v="615"/>
  </r>
  <r>
    <s v="stage_reached_350 (App)"/>
    <x v="11"/>
    <x v="18"/>
    <d v="2025-07-24T00:00:00"/>
    <x v="180"/>
    <s v="랄라링"/>
    <n v="588"/>
  </r>
  <r>
    <s v="stage_reached_350 (App)"/>
    <x v="15"/>
    <x v="18"/>
    <d v="2025-07-25T00:00:00"/>
    <x v="114"/>
    <s v="승환표류기"/>
    <n v="573"/>
  </r>
  <r>
    <s v="stage_reached_350 (App)"/>
    <x v="10"/>
    <x v="18"/>
    <d v="2025-07-23T00:00:00"/>
    <x v="108"/>
    <s v="주현짱"/>
    <n v="530"/>
  </r>
  <r>
    <s v="stage_reached_350 (App)"/>
    <x v="1"/>
    <x v="18"/>
    <d v="2025-07-22T00:00:00"/>
    <x v="110"/>
    <s v="에쎄"/>
    <n v="459"/>
  </r>
  <r>
    <s v="stage_reached_350 (App)"/>
    <x v="3"/>
    <x v="18"/>
    <d v="2025-07-17T00:00:00"/>
    <x v="40"/>
    <s v="해일"/>
    <n v="413"/>
  </r>
  <r>
    <s v="stage_reached_350 (App)"/>
    <x v="10"/>
    <x v="18"/>
    <d v="2025-07-22T00:00:00"/>
    <x v="177"/>
    <s v="흐물이"/>
    <n v="377"/>
  </r>
  <r>
    <s v="stage_reached_350 (App)"/>
    <x v="12"/>
    <x v="18"/>
    <d v="2025-07-21T00:00:00"/>
    <x v="173"/>
    <s v="옹이사랑"/>
    <n v="365"/>
  </r>
  <r>
    <s v="stage_reached_350 (App)"/>
    <x v="11"/>
    <x v="18"/>
    <d v="2025-07-21T00:00:00"/>
    <x v="87"/>
    <s v="내강"/>
    <n v="355"/>
  </r>
  <r>
    <s v="stage_reached_350 (App)"/>
    <x v="1"/>
    <x v="18"/>
    <d v="2025-07-21T00:00:00"/>
    <x v="181"/>
    <s v="채가네김집사"/>
    <n v="435"/>
  </r>
  <r>
    <s v="stage_reached_350 (App)"/>
    <x v="4"/>
    <x v="18"/>
    <d v="2025-07-20T00:00:00"/>
    <x v="129"/>
    <s v="규영"/>
    <n v="323"/>
  </r>
  <r>
    <s v="stage_reached_350 (App)"/>
    <x v="1"/>
    <x v="18"/>
    <d v="2025-07-20T00:00:00"/>
    <x v="87"/>
    <s v="NAC"/>
    <n v="320"/>
  </r>
  <r>
    <s v="stage_reached_350 (App)"/>
    <x v="11"/>
    <x v="18"/>
    <d v="2025-07-20T00:00:00"/>
    <x v="173"/>
    <s v="가륜"/>
    <n v="358"/>
  </r>
  <r>
    <s v="stage_reached_350 (App)"/>
    <x v="3"/>
    <x v="18"/>
    <d v="2025-07-20T00:00:00"/>
    <x v="182"/>
    <s v="구름꽃"/>
    <n v="305"/>
  </r>
  <r>
    <s v="stage_reached_350 (App)"/>
    <x v="13"/>
    <x v="18"/>
    <d v="2025-07-19T00:00:00"/>
    <x v="117"/>
    <s v="이천공안"/>
    <n v="300"/>
  </r>
  <r>
    <s v="stage_reached_350 (App)"/>
    <x v="3"/>
    <x v="18"/>
    <d v="2025-07-20T00:00:00"/>
    <x v="150"/>
    <s v="dongsmas"/>
    <n v="295"/>
  </r>
  <r>
    <s v="stage_reached_350 (App)"/>
    <x v="10"/>
    <x v="18"/>
    <d v="2025-07-20T00:00:00"/>
    <x v="183"/>
    <s v="막내키키"/>
    <n v="290"/>
  </r>
  <r>
    <s v="stage_reached_350 (App)"/>
    <x v="14"/>
    <x v="18"/>
    <d v="2025-07-19T00:00:00"/>
    <x v="104"/>
    <s v="신비로운다람쥐"/>
    <n v="285"/>
  </r>
  <r>
    <s v="stage_reached_350 (App)"/>
    <x v="12"/>
    <x v="18"/>
    <d v="2025-07-19T00:00:00"/>
    <x v="75"/>
    <s v="쥐돌이"/>
    <n v="273"/>
  </r>
  <r>
    <s v="stage_reached_350 (App)"/>
    <x v="3"/>
    <x v="18"/>
    <d v="2025-07-19T00:00:00"/>
    <x v="111"/>
    <s v="무향후"/>
    <n v="292"/>
  </r>
  <r>
    <s v="stage_reached_350 (App)"/>
    <x v="10"/>
    <x v="18"/>
    <d v="2025-07-19T00:00:00"/>
    <x v="184"/>
    <s v="아쿠마"/>
    <n v="268"/>
  </r>
  <r>
    <s v="stage_reached_350 (App)"/>
    <x v="10"/>
    <x v="18"/>
    <d v="2025-07-19T00:00:00"/>
    <x v="185"/>
    <s v="흑사초롱"/>
    <n v="277"/>
  </r>
  <r>
    <s v="stage_reached_350 (App)"/>
    <x v="10"/>
    <x v="18"/>
    <d v="2025-07-18T00:00:00"/>
    <x v="87"/>
    <s v="reso"/>
    <n v="264"/>
  </r>
  <r>
    <s v="stage_reached_350 (App)"/>
    <x v="3"/>
    <x v="18"/>
    <d v="2025-07-18T00:00:00"/>
    <x v="87"/>
    <s v="감녕"/>
    <n v="263"/>
  </r>
  <r>
    <s v="stage_reached_350 (App)"/>
    <x v="12"/>
    <x v="18"/>
    <d v="2025-07-17T00:00:00"/>
    <x v="87"/>
    <s v="감자맛"/>
    <n v="317"/>
  </r>
  <r>
    <s v="stage_reached_350 (App)"/>
    <x v="10"/>
    <x v="18"/>
    <d v="2025-07-17T00:00:00"/>
    <x v="87"/>
    <s v="다댕이죠"/>
    <n v="243"/>
  </r>
  <r>
    <s v="stage_reached_350 (App)"/>
    <x v="6"/>
    <x v="18"/>
    <d v="2025-07-17T00:00:00"/>
    <x v="129"/>
    <s v="이플"/>
    <n v="238"/>
  </r>
  <r>
    <s v="stage_reached_350 (App)"/>
    <x v="3"/>
    <x v="18"/>
    <d v="2025-07-17T00:00:00"/>
    <x v="87"/>
    <s v="미역"/>
    <n v="226"/>
  </r>
  <r>
    <s v="stage_reached_350 (App)"/>
    <x v="3"/>
    <x v="18"/>
    <d v="2025-07-16T00:00:00"/>
    <x v="87"/>
    <s v="돼지수"/>
    <n v="227"/>
  </r>
  <r>
    <s v="stage_reached_350 (App)"/>
    <x v="3"/>
    <x v="18"/>
    <d v="2025-07-16T00:00:00"/>
    <x v="127"/>
    <s v="가든"/>
    <n v="202"/>
  </r>
  <r>
    <s v="stage_reached_350 (App)"/>
    <x v="4"/>
    <x v="18"/>
    <d v="2025-07-16T00:00:00"/>
    <x v="125"/>
    <s v="마니비니"/>
    <n v="209"/>
  </r>
  <r>
    <s v="stage_reached_350 (App)"/>
    <x v="10"/>
    <x v="18"/>
    <d v="2025-07-16T00:00:00"/>
    <x v="114"/>
    <s v="열전"/>
    <n v="199"/>
  </r>
  <r>
    <s v="stage_reached_350 (App)"/>
    <x v="3"/>
    <x v="18"/>
    <d v="2025-07-16T00:00:00"/>
    <x v="87"/>
    <s v="팝콘티비시후"/>
    <n v="197"/>
  </r>
  <r>
    <s v="stage_reached_350 (App)"/>
    <x v="4"/>
    <x v="19"/>
    <d v="2025-07-27T00:00:00"/>
    <x v="186"/>
    <s v="남해"/>
    <n v="757"/>
  </r>
  <r>
    <s v="stage_reached_350 (App)"/>
    <x v="12"/>
    <x v="19"/>
    <d v="2025-07-26T00:00:00"/>
    <x v="87"/>
    <s v="모하는겜인고"/>
    <n v="810"/>
  </r>
  <r>
    <s v="stage_reached_350 (App)"/>
    <x v="10"/>
    <x v="19"/>
    <d v="2025-07-27T00:00:00"/>
    <x v="111"/>
    <s v="제이엠"/>
    <n v="787"/>
  </r>
  <r>
    <s v="stage_reached_350 (App)"/>
    <x v="5"/>
    <x v="19"/>
    <d v="2025-07-26T00:00:00"/>
    <x v="87"/>
    <s v="양키"/>
    <n v="794"/>
  </r>
  <r>
    <s v="stage_reached_350 (App)"/>
    <x v="3"/>
    <x v="19"/>
    <d v="2025-07-26T00:00:00"/>
    <x v="171"/>
    <s v="례진"/>
    <n v="858"/>
  </r>
  <r>
    <s v="stage_reached_350 (App)"/>
    <x v="3"/>
    <x v="19"/>
    <d v="2025-07-26T00:00:00"/>
    <x v="87"/>
    <s v="홈과보리"/>
    <n v="708"/>
  </r>
  <r>
    <s v="stage_reached_350 (App)"/>
    <x v="3"/>
    <x v="19"/>
    <d v="2025-07-24T00:00:00"/>
    <x v="110"/>
    <s v="비깨도"/>
    <n v="778"/>
  </r>
  <r>
    <s v="stage_reached_350 (App)"/>
    <x v="12"/>
    <x v="19"/>
    <d v="2025-07-26T00:00:00"/>
    <x v="187"/>
    <s v="시정잡배"/>
    <n v="719"/>
  </r>
  <r>
    <s v="stage_reached_350 (App)"/>
    <x v="10"/>
    <x v="19"/>
    <d v="2025-07-25T00:00:00"/>
    <x v="186"/>
    <s v="코리안소드마스터"/>
    <n v="686"/>
  </r>
  <r>
    <s v="stage_reached_350 (App)"/>
    <x v="11"/>
    <x v="19"/>
    <d v="2025-07-24T00:00:00"/>
    <x v="110"/>
    <s v="XIA"/>
    <n v="692"/>
  </r>
  <r>
    <s v="stage_reached_350 (App)"/>
    <x v="10"/>
    <x v="19"/>
    <d v="2025-07-25T00:00:00"/>
    <x v="188"/>
    <s v="기동대"/>
    <n v="690"/>
  </r>
  <r>
    <s v="stage_reached_350 (App)"/>
    <x v="7"/>
    <x v="19"/>
    <d v="2025-07-25T00:00:00"/>
    <x v="87"/>
    <s v="봉기"/>
    <n v="619"/>
  </r>
  <r>
    <s v="stage_reached_350 (App)"/>
    <x v="3"/>
    <x v="19"/>
    <d v="2025-07-23T00:00:00"/>
    <x v="60"/>
    <s v="덕덕"/>
    <n v="625"/>
  </r>
  <r>
    <s v="stage_reached_350 (App)"/>
    <x v="4"/>
    <x v="19"/>
    <d v="2025-07-23T00:00:00"/>
    <x v="189"/>
    <s v="리신"/>
    <n v="621"/>
  </r>
  <r>
    <s v="stage_reached_350 (App)"/>
    <x v="2"/>
    <x v="19"/>
    <d v="2025-07-24T00:00:00"/>
    <x v="125"/>
    <s v="음싸"/>
    <n v="615"/>
  </r>
  <r>
    <s v="stage_reached_350 (App)"/>
    <x v="10"/>
    <x v="19"/>
    <d v="2025-07-23T00:00:00"/>
    <x v="110"/>
    <s v="전위"/>
    <n v="550"/>
  </r>
  <r>
    <s v="stage_reached_350 (App)"/>
    <x v="10"/>
    <x v="19"/>
    <d v="2025-07-22T00:00:00"/>
    <x v="125"/>
    <s v="솜유이"/>
    <n v="575"/>
  </r>
  <r>
    <s v="stage_reached_350 (App)"/>
    <x v="10"/>
    <x v="19"/>
    <d v="2025-07-23T00:00:00"/>
    <x v="118"/>
    <s v="무식한놈"/>
    <n v="537"/>
  </r>
  <r>
    <s v="stage_reached_350 (App)"/>
    <x v="4"/>
    <x v="19"/>
    <d v="2025-07-23T00:00:00"/>
    <x v="87"/>
    <s v="이즈니"/>
    <n v="525"/>
  </r>
  <r>
    <s v="stage_reached_350 (App)"/>
    <x v="3"/>
    <x v="19"/>
    <d v="2025-07-23T00:00:00"/>
    <x v="104"/>
    <s v="하누크"/>
    <n v="510"/>
  </r>
  <r>
    <s v="stage_reached_350 (App)"/>
    <x v="12"/>
    <x v="19"/>
    <d v="2025-07-20T00:00:00"/>
    <x v="87"/>
    <s v="네모네모"/>
    <n v="524"/>
  </r>
  <r>
    <s v="stage_reached_350 (App)"/>
    <x v="4"/>
    <x v="19"/>
    <d v="2025-07-21T00:00:00"/>
    <x v="190"/>
    <s v="구도"/>
    <n v="491"/>
  </r>
  <r>
    <s v="stage_reached_350 (App)"/>
    <x v="10"/>
    <x v="19"/>
    <d v="2025-07-22T00:00:00"/>
    <x v="87"/>
    <s v="난세영웅임"/>
    <n v="486"/>
  </r>
  <r>
    <s v="stage_reached_350 (App)"/>
    <x v="4"/>
    <x v="19"/>
    <d v="2025-07-22T00:00:00"/>
    <x v="87"/>
    <s v="한뚜혁"/>
    <n v="510"/>
  </r>
  <r>
    <s v="stage_reached_350 (App)"/>
    <x v="15"/>
    <x v="19"/>
    <d v="2025-07-22T00:00:00"/>
    <x v="121"/>
    <s v="보보부복"/>
    <n v="464"/>
  </r>
  <r>
    <s v="stage_reached_350 (App)"/>
    <x v="2"/>
    <x v="19"/>
    <d v="2025-07-21T00:00:00"/>
    <x v="87"/>
    <s v="MSTY"/>
    <n v="439"/>
  </r>
  <r>
    <s v="stage_reached_350 (App)"/>
    <x v="10"/>
    <x v="19"/>
    <d v="2025-07-21T00:00:00"/>
    <x v="165"/>
    <s v="수라드"/>
    <n v="404"/>
  </r>
  <r>
    <s v="stage_reached_350 (App)"/>
    <x v="3"/>
    <x v="19"/>
    <d v="2025-07-21T00:00:00"/>
    <x v="87"/>
    <s v="시스렌"/>
    <n v="424"/>
  </r>
  <r>
    <s v="stage_reached_350 (App)"/>
    <x v="7"/>
    <x v="19"/>
    <d v="2025-07-19T00:00:00"/>
    <x v="186"/>
    <s v="슭삯"/>
    <n v="386"/>
  </r>
  <r>
    <s v="stage_reached_350 (App)"/>
    <x v="3"/>
    <x v="19"/>
    <d v="2025-07-20T00:00:00"/>
    <x v="125"/>
    <s v="종만"/>
    <n v="479"/>
  </r>
  <r>
    <s v="stage_reached_350 (App)"/>
    <x v="3"/>
    <x v="19"/>
    <d v="2025-07-19T00:00:00"/>
    <x v="191"/>
    <s v="초록메뚜기"/>
    <n v="355"/>
  </r>
  <r>
    <s v="stage_reached_350 (App)"/>
    <x v="10"/>
    <x v="19"/>
    <d v="2025-07-19T00:00:00"/>
    <x v="157"/>
    <s v="태굥"/>
    <n v="343"/>
  </r>
  <r>
    <s v="stage_reached_350 (App)"/>
    <x v="6"/>
    <x v="19"/>
    <d v="2025-07-19T00:00:00"/>
    <x v="87"/>
    <s v="용용비트"/>
    <n v="324"/>
  </r>
  <r>
    <s v="stage_reached_350 (App)"/>
    <x v="3"/>
    <x v="19"/>
    <d v="2025-07-19T00:00:00"/>
    <x v="88"/>
    <s v="JMG"/>
    <n v="320"/>
  </r>
  <r>
    <s v="stage_reached_350 (App)"/>
    <x v="4"/>
    <x v="19"/>
    <d v="2025-07-18T00:00:00"/>
    <x v="173"/>
    <s v="탄코"/>
    <n v="309"/>
  </r>
  <r>
    <s v="stage_reached_350 (App)"/>
    <x v="3"/>
    <x v="19"/>
    <d v="2025-07-19T00:00:00"/>
    <x v="87"/>
    <s v="홍삼나무"/>
    <n v="303"/>
  </r>
  <r>
    <s v="stage_reached_350 (App)"/>
    <x v="0"/>
    <x v="19"/>
    <d v="2025-07-19T00:00:00"/>
    <x v="125"/>
    <s v="미남고릴라"/>
    <n v="299"/>
  </r>
  <r>
    <s v="stage_reached_350 (App)"/>
    <x v="1"/>
    <x v="19"/>
    <d v="2025-07-19T00:00:00"/>
    <x v="173"/>
    <s v="에스카라"/>
    <n v="296"/>
  </r>
  <r>
    <s v="stage_reached_350 (App)"/>
    <x v="3"/>
    <x v="19"/>
    <d v="2025-07-19T00:00:00"/>
    <x v="87"/>
    <s v="그레이스"/>
    <n v="302"/>
  </r>
  <r>
    <s v="stage_reached_350 (App)"/>
    <x v="7"/>
    <x v="19"/>
    <d v="2025-07-19T00:00:00"/>
    <x v="165"/>
    <s v="오동"/>
    <n v="291"/>
  </r>
  <r>
    <s v="stage_reached_350 (App)"/>
    <x v="20"/>
    <x v="19"/>
    <d v="2025-07-18T00:00:00"/>
    <x v="192"/>
    <s v="살아남는자"/>
    <n v="295"/>
  </r>
  <r>
    <s v="stage_reached_350 (App)"/>
    <x v="15"/>
    <x v="19"/>
    <d v="2025-07-18T00:00:00"/>
    <x v="193"/>
    <s v="아밍"/>
    <n v="295"/>
  </r>
  <r>
    <s v="stage_reached_350 (App)"/>
    <x v="7"/>
    <x v="19"/>
    <d v="2025-07-18T00:00:00"/>
    <x v="194"/>
    <s v="K8"/>
    <n v="288"/>
  </r>
  <r>
    <s v="stage_reached_350 (App)"/>
    <x v="11"/>
    <x v="19"/>
    <d v="2025-07-18T00:00:00"/>
    <x v="51"/>
    <s v="Suzzy"/>
    <n v="263"/>
  </r>
  <r>
    <s v="stage_reached_350 (App)"/>
    <x v="10"/>
    <x v="19"/>
    <d v="2025-07-17T00:00:00"/>
    <x v="141"/>
    <s v="하나공공"/>
    <n v="259"/>
  </r>
  <r>
    <s v="stage_reached_350 (App)"/>
    <x v="3"/>
    <x v="19"/>
    <d v="2025-07-16T00:00:00"/>
    <x v="87"/>
    <s v="환세취호전"/>
    <n v="237"/>
  </r>
  <r>
    <s v="stage_reached_350 (App)"/>
    <x v="0"/>
    <x v="19"/>
    <d v="2025-07-16T00:00:00"/>
    <x v="87"/>
    <s v="청명신"/>
    <n v="227"/>
  </r>
  <r>
    <s v="stage_reached_350 (App)"/>
    <x v="10"/>
    <x v="19"/>
    <d v="2025-07-15T00:00:00"/>
    <x v="188"/>
    <s v="난세GPT"/>
    <n v="222"/>
  </r>
  <r>
    <s v="stage_reached_350 (App)"/>
    <x v="3"/>
    <x v="20"/>
    <d v="2025-07-25T00:00:00"/>
    <x v="87"/>
    <s v="건거니"/>
    <n v="789"/>
  </r>
  <r>
    <s v="stage_reached_350 (App)"/>
    <x v="3"/>
    <x v="20"/>
    <d v="2025-07-26T00:00:00"/>
    <x v="195"/>
    <s v="최쿠로"/>
    <n v="838"/>
  </r>
  <r>
    <s v="stage_reached_350 (App)"/>
    <x v="3"/>
    <x v="20"/>
    <d v="2025-07-26T00:00:00"/>
    <x v="87"/>
    <s v="헤모"/>
    <n v="833"/>
  </r>
  <r>
    <s v="stage_reached_350 (App)"/>
    <x v="6"/>
    <x v="20"/>
    <d v="2025-07-26T00:00:00"/>
    <x v="162"/>
    <s v="길동사마"/>
    <n v="766"/>
  </r>
  <r>
    <s v="stage_reached_350 (App)"/>
    <x v="4"/>
    <x v="20"/>
    <d v="2025-07-25T00:00:00"/>
    <x v="87"/>
    <s v="아비라파"/>
    <n v="725"/>
  </r>
  <r>
    <s v="stage_reached_350 (App)"/>
    <x v="6"/>
    <x v="20"/>
    <d v="2025-07-25T00:00:00"/>
    <x v="177"/>
    <s v="허세이돈"/>
    <n v="682"/>
  </r>
  <r>
    <s v="stage_reached_350 (App)"/>
    <x v="7"/>
    <x v="20"/>
    <d v="2025-07-24T00:00:00"/>
    <x v="87"/>
    <s v="무락카"/>
    <n v="679"/>
  </r>
  <r>
    <s v="stage_reached_350 (App)"/>
    <x v="4"/>
    <x v="20"/>
    <d v="2025-07-24T00:00:00"/>
    <x v="182"/>
    <s v="애쁠"/>
    <n v="653"/>
  </r>
  <r>
    <s v="stage_reached_350 (App)"/>
    <x v="10"/>
    <x v="20"/>
    <d v="2025-07-24T00:00:00"/>
    <x v="87"/>
    <s v="하이파파"/>
    <n v="630"/>
  </r>
  <r>
    <s v="stage_reached_350 (App)"/>
    <x v="3"/>
    <x v="20"/>
    <d v="2025-07-24T00:00:00"/>
    <x v="87"/>
    <s v="다이스"/>
    <n v="651"/>
  </r>
  <r>
    <s v="stage_reached_350 (App)"/>
    <x v="10"/>
    <x v="20"/>
    <d v="2025-07-23T00:00:00"/>
    <x v="159"/>
    <s v="조선칼잽이"/>
    <n v="680"/>
  </r>
  <r>
    <s v="stage_reached_350 (App)"/>
    <x v="4"/>
    <x v="20"/>
    <d v="2025-07-23T00:00:00"/>
    <x v="177"/>
    <s v="fr쿠마"/>
    <n v="619"/>
  </r>
  <r>
    <s v="stage_reached_350 (App)"/>
    <x v="3"/>
    <x v="20"/>
    <d v="2025-07-23T00:00:00"/>
    <x v="196"/>
    <s v="하드"/>
    <n v="605"/>
  </r>
  <r>
    <s v="stage_reached_350 (App)"/>
    <x v="17"/>
    <x v="20"/>
    <d v="2025-07-23T00:00:00"/>
    <x v="87"/>
    <s v="안양초불주먹"/>
    <n v="583"/>
  </r>
  <r>
    <s v="stage_reached_350 (App)"/>
    <x v="4"/>
    <x v="20"/>
    <d v="2025-07-23T00:00:00"/>
    <x v="147"/>
    <s v="대두"/>
    <n v="585"/>
  </r>
  <r>
    <s v="stage_reached_350 (App)"/>
    <x v="0"/>
    <x v="20"/>
    <d v="2025-07-23T00:00:00"/>
    <x v="87"/>
    <s v="블레스뮤"/>
    <n v="580"/>
  </r>
  <r>
    <s v="stage_reached_350 (App)"/>
    <x v="3"/>
    <x v="20"/>
    <d v="2025-07-23T00:00:00"/>
    <x v="87"/>
    <s v="qpalzm"/>
    <n v="569"/>
  </r>
  <r>
    <s v="stage_reached_350 (App)"/>
    <x v="0"/>
    <x v="20"/>
    <d v="2025-07-22T00:00:00"/>
    <x v="189"/>
    <s v="신지무념"/>
    <n v="572"/>
  </r>
  <r>
    <s v="stage_reached_350 (App)"/>
    <x v="3"/>
    <x v="20"/>
    <d v="2025-07-21T00:00:00"/>
    <x v="185"/>
    <s v="귤귤귤귤"/>
    <n v="553"/>
  </r>
  <r>
    <s v="stage_reached_350 (App)"/>
    <x v="3"/>
    <x v="20"/>
    <d v="2025-07-21T00:00:00"/>
    <x v="110"/>
    <s v="출장"/>
    <n v="515"/>
  </r>
  <r>
    <s v="stage_reached_350 (App)"/>
    <x v="10"/>
    <x v="20"/>
    <d v="2025-07-21T00:00:00"/>
    <x v="147"/>
    <s v="간고등어"/>
    <n v="499"/>
  </r>
  <r>
    <s v="stage_reached_350 (App)"/>
    <x v="11"/>
    <x v="20"/>
    <d v="2025-07-20T00:00:00"/>
    <x v="186"/>
    <s v="척준겸"/>
    <n v="510"/>
  </r>
  <r>
    <s v="stage_reached_350 (App)"/>
    <x v="7"/>
    <x v="20"/>
    <d v="2025-07-20T00:00:00"/>
    <x v="87"/>
    <s v="치킨조아"/>
    <n v="445"/>
  </r>
  <r>
    <s v="stage_reached_350 (App)"/>
    <x v="3"/>
    <x v="20"/>
    <d v="2025-07-21T00:00:00"/>
    <x v="117"/>
    <s v="수민이"/>
    <n v="452"/>
  </r>
  <r>
    <s v="stage_reached_350 (App)"/>
    <x v="7"/>
    <x v="20"/>
    <d v="2025-07-20T00:00:00"/>
    <x v="171"/>
    <s v="까페라떼"/>
    <n v="453"/>
  </r>
  <r>
    <s v="stage_reached_350 (App)"/>
    <x v="0"/>
    <x v="20"/>
    <d v="2025-07-19T00:00:00"/>
    <x v="180"/>
    <s v="강통"/>
    <n v="428"/>
  </r>
  <r>
    <s v="stage_reached_350 (App)"/>
    <x v="3"/>
    <x v="20"/>
    <d v="2025-07-19T00:00:00"/>
    <x v="87"/>
    <s v="서누"/>
    <n v="424"/>
  </r>
  <r>
    <s v="stage_reached_350 (App)"/>
    <x v="7"/>
    <x v="20"/>
    <d v="2025-07-19T00:00:00"/>
    <x v="129"/>
    <s v="비긴이계인"/>
    <n v="431"/>
  </r>
  <r>
    <s v="stage_reached_350 (App)"/>
    <x v="19"/>
    <x v="20"/>
    <d v="2025-07-20T00:00:00"/>
    <x v="191"/>
    <s v="랑방"/>
    <n v="431"/>
  </r>
  <r>
    <s v="stage_reached_350 (App)"/>
    <x v="14"/>
    <x v="20"/>
    <d v="2025-07-19T00:00:00"/>
    <x v="91"/>
    <s v="무적권"/>
    <n v="411"/>
  </r>
  <r>
    <s v="stage_reached_350 (App)"/>
    <x v="3"/>
    <x v="20"/>
    <d v="2025-07-20T00:00:00"/>
    <x v="111"/>
    <s v="나태지옥"/>
    <n v="410"/>
  </r>
  <r>
    <s v="stage_reached_350 (App)"/>
    <x v="1"/>
    <x v="20"/>
    <d v="2025-07-19T00:00:00"/>
    <x v="197"/>
    <s v="Nospoon"/>
    <n v="390"/>
  </r>
  <r>
    <s v="stage_reached_350 (App)"/>
    <x v="15"/>
    <x v="20"/>
    <d v="2025-07-19T00:00:00"/>
    <x v="198"/>
    <s v="주세요"/>
    <n v="411"/>
  </r>
  <r>
    <s v="stage_reached_350 (App)"/>
    <x v="4"/>
    <x v="20"/>
    <d v="2025-07-19T00:00:00"/>
    <x v="87"/>
    <s v="Toc"/>
    <n v="408"/>
  </r>
  <r>
    <s v="stage_reached_350 (App)"/>
    <x v="10"/>
    <x v="20"/>
    <d v="2025-07-20T00:00:00"/>
    <x v="159"/>
    <s v="깔루아밀크"/>
    <n v="402"/>
  </r>
  <r>
    <s v="stage_reached_350 (App)"/>
    <x v="4"/>
    <x v="20"/>
    <d v="2025-07-19T00:00:00"/>
    <x v="199"/>
    <s v="한방에블루스"/>
    <n v="367"/>
  </r>
  <r>
    <s v="stage_reached_350 (App)"/>
    <x v="12"/>
    <x v="20"/>
    <d v="2025-07-19T00:00:00"/>
    <x v="87"/>
    <s v="타노"/>
    <n v="379"/>
  </r>
  <r>
    <s v="stage_reached_350 (App)"/>
    <x v="3"/>
    <x v="20"/>
    <d v="2025-07-19T00:00:00"/>
    <x v="173"/>
    <s v="짱짱막창"/>
    <n v="390"/>
  </r>
  <r>
    <s v="stage_reached_350 (App)"/>
    <x v="2"/>
    <x v="20"/>
    <d v="2025-07-18T00:00:00"/>
    <x v="87"/>
    <s v="정튀"/>
    <n v="378"/>
  </r>
  <r>
    <s v="stage_reached_350 (App)"/>
    <x v="4"/>
    <x v="20"/>
    <d v="2025-07-18T00:00:00"/>
    <x v="151"/>
    <s v="복마니1"/>
    <n v="412"/>
  </r>
  <r>
    <s v="stage_reached_350 (App)"/>
    <x v="3"/>
    <x v="20"/>
    <d v="2025-07-19T00:00:00"/>
    <x v="87"/>
    <s v="꼬마악사"/>
    <n v="374"/>
  </r>
  <r>
    <s v="stage_reached_350 (App)"/>
    <x v="3"/>
    <x v="20"/>
    <d v="2025-07-19T00:00:00"/>
    <x v="110"/>
    <s v="루이아범"/>
    <n v="367"/>
  </r>
  <r>
    <s v="stage_reached_350 (App)"/>
    <x v="4"/>
    <x v="20"/>
    <d v="2025-07-19T00:00:00"/>
    <x v="118"/>
    <s v="삼겹살이젤좋아"/>
    <n v="355"/>
  </r>
  <r>
    <s v="stage_reached_350 (App)"/>
    <x v="0"/>
    <x v="20"/>
    <d v="2025-07-19T00:00:00"/>
    <x v="86"/>
    <s v="현쪄깅"/>
    <n v="389"/>
  </r>
  <r>
    <s v="stage_reached_350 (App)"/>
    <x v="10"/>
    <x v="20"/>
    <d v="2025-07-18T00:00:00"/>
    <x v="188"/>
    <s v="뉴진스해린"/>
    <n v="374"/>
  </r>
  <r>
    <s v="stage_reached_350 (App)"/>
    <x v="10"/>
    <x v="20"/>
    <d v="2025-07-16T00:00:00"/>
    <x v="125"/>
    <s v="긍가긍가"/>
    <n v="330"/>
  </r>
  <r>
    <s v="stage_reached_350 (App)"/>
    <x v="11"/>
    <x v="20"/>
    <d v="2025-07-19T00:00:00"/>
    <x v="200"/>
    <s v="Gargamel"/>
    <n v="326"/>
  </r>
  <r>
    <s v="stage_reached_350 (App)"/>
    <x v="7"/>
    <x v="20"/>
    <d v="2025-07-18T00:00:00"/>
    <x v="87"/>
    <s v="포차"/>
    <n v="338"/>
  </r>
  <r>
    <s v="stage_reached_350 (App)"/>
    <x v="3"/>
    <x v="20"/>
    <d v="2025-07-18T00:00:00"/>
    <x v="201"/>
    <s v="세이러브"/>
    <n v="323"/>
  </r>
  <r>
    <s v="stage_reached_350 (App)"/>
    <x v="10"/>
    <x v="20"/>
    <d v="2025-07-18T00:00:00"/>
    <x v="87"/>
    <s v="국세청"/>
    <n v="321"/>
  </r>
  <r>
    <s v="stage_reached_350 (App)"/>
    <x v="1"/>
    <x v="20"/>
    <d v="2025-07-17T00:00:00"/>
    <x v="193"/>
    <s v="기풍한1"/>
    <n v="324"/>
  </r>
  <r>
    <s v="stage_reached_350 (App)"/>
    <x v="2"/>
    <x v="20"/>
    <d v="2025-07-18T00:00:00"/>
    <x v="87"/>
    <s v="표류중"/>
    <n v="286"/>
  </r>
  <r>
    <s v="stage_reached_350 (App)"/>
    <x v="11"/>
    <x v="20"/>
    <d v="2025-07-18T00:00:00"/>
    <x v="87"/>
    <s v="주식"/>
    <n v="388"/>
  </r>
  <r>
    <s v="stage_reached_350 (App)"/>
    <x v="12"/>
    <x v="20"/>
    <d v="2025-07-17T00:00:00"/>
    <x v="87"/>
    <s v="뱅포에틱"/>
    <n v="286"/>
  </r>
  <r>
    <s v="stage_reached_350 (App)"/>
    <x v="10"/>
    <x v="20"/>
    <d v="2025-07-16T00:00:00"/>
    <x v="87"/>
    <s v="쿵쿵이"/>
    <n v="292"/>
  </r>
  <r>
    <s v="stage_reached_350 (App)"/>
    <x v="4"/>
    <x v="20"/>
    <d v="2025-07-17T00:00:00"/>
    <x v="186"/>
    <s v="떨구"/>
    <n v="273"/>
  </r>
  <r>
    <s v="stage_reached_350 (App)"/>
    <x v="4"/>
    <x v="20"/>
    <d v="2025-07-17T00:00:00"/>
    <x v="87"/>
    <s v="장일소"/>
    <n v="269"/>
  </r>
  <r>
    <s v="stage_reached_350 (App)"/>
    <x v="3"/>
    <x v="20"/>
    <d v="2025-07-16T00:00:00"/>
    <x v="87"/>
    <s v="신무호"/>
    <n v="317"/>
  </r>
  <r>
    <s v="stage_reached_350 (App)"/>
    <x v="3"/>
    <x v="20"/>
    <d v="2025-07-16T00:00:00"/>
    <x v="110"/>
    <s v="Zaru"/>
    <n v="250"/>
  </r>
  <r>
    <s v="stage_reached_350 (App)"/>
    <x v="10"/>
    <x v="20"/>
    <d v="2025-07-16T00:00:00"/>
    <x v="87"/>
    <s v="맹맹"/>
    <n v="246"/>
  </r>
  <r>
    <s v="stage_reached_350 (App)"/>
    <x v="11"/>
    <x v="21"/>
    <d v="2025-07-23T00:00:00"/>
    <x v="87"/>
    <s v="2an"/>
    <n v="818"/>
  </r>
  <r>
    <s v="stage_reached_350 (App)"/>
    <x v="3"/>
    <x v="21"/>
    <d v="2025-07-25T00:00:00"/>
    <x v="87"/>
    <s v="닼미"/>
    <n v="810"/>
  </r>
  <r>
    <s v="stage_reached_350 (App)"/>
    <x v="3"/>
    <x v="21"/>
    <d v="2025-07-25T00:00:00"/>
    <x v="202"/>
    <s v="여씨표류기"/>
    <n v="770"/>
  </r>
  <r>
    <s v="stage_reached_350 (App)"/>
    <x v="14"/>
    <x v="21"/>
    <d v="2025-07-24T00:00:00"/>
    <x v="203"/>
    <s v="히키"/>
    <n v="776"/>
  </r>
  <r>
    <s v="stage_reached_350 (App)"/>
    <x v="14"/>
    <x v="21"/>
    <d v="2025-07-24T00:00:00"/>
    <x v="204"/>
    <s v="개패는처녀"/>
    <n v="697"/>
  </r>
  <r>
    <s v="stage_reached_350 (App)"/>
    <x v="13"/>
    <x v="21"/>
    <d v="2025-07-23T00:00:00"/>
    <x v="87"/>
    <s v="알파카"/>
    <n v="661"/>
  </r>
  <r>
    <s v="stage_reached_350 (App)"/>
    <x v="3"/>
    <x v="21"/>
    <d v="2025-07-23T00:00:00"/>
    <x v="127"/>
    <s v="느쩨"/>
    <n v="633"/>
  </r>
  <r>
    <s v="stage_reached_350 (App)"/>
    <x v="6"/>
    <x v="21"/>
    <d v="2025-07-23T00:00:00"/>
    <x v="177"/>
    <s v="금콩"/>
    <n v="665"/>
  </r>
  <r>
    <s v="stage_reached_350 (App)"/>
    <x v="10"/>
    <x v="21"/>
    <d v="2025-07-22T00:00:00"/>
    <x v="205"/>
    <s v="fourzero"/>
    <n v="609"/>
  </r>
  <r>
    <s v="stage_reached_350 (App)"/>
    <x v="4"/>
    <x v="21"/>
    <d v="2025-07-21T00:00:00"/>
    <x v="87"/>
    <s v="리듬왕"/>
    <n v="605"/>
  </r>
  <r>
    <s v="stage_reached_350 (App)"/>
    <x v="15"/>
    <x v="21"/>
    <d v="2025-07-22T00:00:00"/>
    <x v="206"/>
    <s v="지채문"/>
    <n v="656"/>
  </r>
  <r>
    <s v="stage_reached_350 (App)"/>
    <x v="10"/>
    <x v="21"/>
    <d v="2025-07-21T00:00:00"/>
    <x v="110"/>
    <s v="go박사"/>
    <n v="561"/>
  </r>
  <r>
    <s v="stage_reached_350 (App)"/>
    <x v="1"/>
    <x v="21"/>
    <d v="2025-07-21T00:00:00"/>
    <x v="177"/>
    <s v="뿌돔"/>
    <n v="571"/>
  </r>
  <r>
    <s v="stage_reached_350 (App)"/>
    <x v="10"/>
    <x v="21"/>
    <d v="2025-07-21T00:00:00"/>
    <x v="75"/>
    <s v="성도"/>
    <n v="520"/>
  </r>
  <r>
    <s v="stage_reached_350 (App)"/>
    <x v="10"/>
    <x v="21"/>
    <d v="2025-07-21T00:00:00"/>
    <x v="87"/>
    <s v="김순돌"/>
    <n v="572"/>
  </r>
  <r>
    <s v="stage_reached_350 (App)"/>
    <x v="3"/>
    <x v="21"/>
    <d v="2025-07-21T00:00:00"/>
    <x v="110"/>
    <s v="티반"/>
    <n v="529"/>
  </r>
  <r>
    <s v="stage_reached_350 (App)"/>
    <x v="4"/>
    <x v="21"/>
    <d v="2025-07-18T00:00:00"/>
    <x v="104"/>
    <s v="엄애숙"/>
    <n v="534"/>
  </r>
  <r>
    <s v="stage_reached_350 (App)"/>
    <x v="7"/>
    <x v="21"/>
    <d v="2025-07-21T00:00:00"/>
    <x v="87"/>
    <s v="카이져"/>
    <n v="560"/>
  </r>
  <r>
    <s v="stage_reached_350 (App)"/>
    <x v="7"/>
    <x v="21"/>
    <d v="2025-07-20T00:00:00"/>
    <x v="87"/>
    <s v="블루베리티라노"/>
    <n v="498"/>
  </r>
  <r>
    <s v="stage_reached_350 (App)"/>
    <x v="13"/>
    <x v="21"/>
    <d v="2025-07-16T00:00:00"/>
    <x v="188"/>
    <s v="으니화니"/>
    <n v="471"/>
  </r>
  <r>
    <s v="stage_reached_350 (App)"/>
    <x v="4"/>
    <x v="21"/>
    <d v="2025-07-19T00:00:00"/>
    <x v="87"/>
    <s v="퓨딜"/>
    <n v="479"/>
  </r>
  <r>
    <s v="stage_reached_350 (App)"/>
    <x v="11"/>
    <x v="21"/>
    <d v="2025-07-20T00:00:00"/>
    <x v="87"/>
    <s v="맑을린"/>
    <n v="462"/>
  </r>
  <r>
    <s v="stage_reached_350 (App)"/>
    <x v="4"/>
    <x v="21"/>
    <d v="2025-07-20T00:00:00"/>
    <x v="87"/>
    <s v="TMB"/>
    <n v="465"/>
  </r>
  <r>
    <s v="stage_reached_350 (App)"/>
    <x v="3"/>
    <x v="21"/>
    <d v="2025-07-19T00:00:00"/>
    <x v="188"/>
    <s v="픽셀"/>
    <n v="445"/>
  </r>
  <r>
    <s v="stage_reached_350 (App)"/>
    <x v="7"/>
    <x v="21"/>
    <d v="2025-07-19T00:00:00"/>
    <x v="87"/>
    <s v="개꿀한방"/>
    <n v="453"/>
  </r>
  <r>
    <s v="stage_reached_350 (App)"/>
    <x v="4"/>
    <x v="21"/>
    <d v="2025-07-19T00:00:00"/>
    <x v="87"/>
    <s v="릭시드"/>
    <n v="452"/>
  </r>
  <r>
    <s v="stage_reached_350 (App)"/>
    <x v="1"/>
    <x v="21"/>
    <d v="2025-07-18T00:00:00"/>
    <x v="87"/>
    <s v="도휼"/>
    <n v="424"/>
  </r>
  <r>
    <s v="stage_reached_350 (App)"/>
    <x v="7"/>
    <x v="21"/>
    <d v="2025-07-18T00:00:00"/>
    <x v="196"/>
    <s v="으누"/>
    <n v="422"/>
  </r>
  <r>
    <s v="stage_reached_350 (App)"/>
    <x v="4"/>
    <x v="21"/>
    <d v="2025-07-19T00:00:00"/>
    <x v="171"/>
    <s v="송송송"/>
    <n v="417"/>
  </r>
  <r>
    <s v="stage_reached_350 (App)"/>
    <x v="3"/>
    <x v="21"/>
    <d v="2025-07-18T00:00:00"/>
    <x v="207"/>
    <s v="호동생"/>
    <n v="414"/>
  </r>
  <r>
    <s v="stage_reached_350 (App)"/>
    <x v="15"/>
    <x v="21"/>
    <d v="2025-07-19T00:00:00"/>
    <x v="87"/>
    <s v="마롱"/>
    <n v="411"/>
  </r>
  <r>
    <s v="stage_reached_350 (App)"/>
    <x v="12"/>
    <x v="21"/>
    <d v="2025-07-18T00:00:00"/>
    <x v="127"/>
    <s v="벼리벼리"/>
    <n v="400"/>
  </r>
  <r>
    <s v="stage_reached_350 (App)"/>
    <x v="7"/>
    <x v="21"/>
    <d v="2025-07-19T00:00:00"/>
    <x v="190"/>
    <s v="왕호야"/>
    <n v="402"/>
  </r>
  <r>
    <s v="stage_reached_350 (App)"/>
    <x v="8"/>
    <x v="21"/>
    <d v="2025-07-19T00:00:00"/>
    <x v="129"/>
    <s v="믹스넛스낵"/>
    <n v="390"/>
  </r>
  <r>
    <s v="stage_reached_350 (App)"/>
    <x v="7"/>
    <x v="21"/>
    <d v="2025-07-18T00:00:00"/>
    <x v="87"/>
    <s v="김인서"/>
    <n v="383"/>
  </r>
  <r>
    <s v="stage_reached_350 (App)"/>
    <x v="10"/>
    <x v="21"/>
    <d v="2025-07-18T00:00:00"/>
    <x v="87"/>
    <s v="킹한길"/>
    <n v="370"/>
  </r>
  <r>
    <s v="stage_reached_350 (App)"/>
    <x v="10"/>
    <x v="21"/>
    <d v="2025-07-18T00:00:00"/>
    <x v="114"/>
    <s v="제네럴이순신"/>
    <n v="367"/>
  </r>
  <r>
    <s v="stage_reached_350 (App)"/>
    <x v="10"/>
    <x v="21"/>
    <d v="2025-07-18T00:00:00"/>
    <x v="87"/>
    <s v="퇴근후취미"/>
    <n v="365"/>
  </r>
  <r>
    <s v="stage_reached_350 (App)"/>
    <x v="10"/>
    <x v="21"/>
    <d v="2025-07-18T00:00:00"/>
    <x v="118"/>
    <s v="재아님"/>
    <n v="361"/>
  </r>
  <r>
    <s v="stage_reached_350 (App)"/>
    <x v="10"/>
    <x v="21"/>
    <d v="2025-07-18T00:00:00"/>
    <x v="110"/>
    <s v="kwr9458"/>
    <n v="369"/>
  </r>
  <r>
    <s v="stage_reached_350 (App)"/>
    <x v="11"/>
    <x v="21"/>
    <d v="2025-07-16T00:00:00"/>
    <x v="208"/>
    <s v="지피지기"/>
    <n v="349"/>
  </r>
  <r>
    <s v="stage_reached_350 (App)"/>
    <x v="1"/>
    <x v="21"/>
    <d v="2025-07-18T00:00:00"/>
    <x v="157"/>
    <s v="얌고"/>
    <n v="359"/>
  </r>
  <r>
    <s v="stage_reached_350 (App)"/>
    <x v="3"/>
    <x v="21"/>
    <d v="2025-07-17T00:00:00"/>
    <x v="172"/>
    <s v="마갈곤"/>
    <n v="369"/>
  </r>
  <r>
    <s v="stage_reached_350 (App)"/>
    <x v="15"/>
    <x v="21"/>
    <d v="2025-07-18T00:00:00"/>
    <x v="209"/>
    <s v="25월즈파엠쵸비"/>
    <n v="355"/>
  </r>
  <r>
    <s v="stage_reached_350 (App)"/>
    <x v="10"/>
    <x v="21"/>
    <d v="2025-07-17T00:00:00"/>
    <x v="78"/>
    <s v="대칭"/>
    <n v="372"/>
  </r>
  <r>
    <s v="stage_reached_350 (App)"/>
    <x v="10"/>
    <x v="21"/>
    <d v="2025-07-16T00:00:00"/>
    <x v="87"/>
    <s v="엽이"/>
    <n v="368"/>
  </r>
  <r>
    <s v="stage_reached_350 (App)"/>
    <x v="1"/>
    <x v="21"/>
    <d v="2025-07-17T00:00:00"/>
    <x v="87"/>
    <s v="탄이"/>
    <n v="360"/>
  </r>
  <r>
    <s v="stage_reached_350 (App)"/>
    <x v="10"/>
    <x v="21"/>
    <d v="2025-07-17T00:00:00"/>
    <x v="210"/>
    <s v="왕배"/>
    <n v="305"/>
  </r>
  <r>
    <s v="stage_reached_350 (App)"/>
    <x v="15"/>
    <x v="21"/>
    <d v="2025-07-17T00:00:00"/>
    <x v="125"/>
    <s v="독각룡"/>
    <n v="324"/>
  </r>
  <r>
    <s v="stage_reached_350 (App)"/>
    <x v="7"/>
    <x v="21"/>
    <d v="2025-07-16T00:00:00"/>
    <x v="198"/>
    <s v="밈찌"/>
    <n v="287"/>
  </r>
  <r>
    <s v="stage_reached_350 (App)"/>
    <x v="3"/>
    <x v="22"/>
    <d v="2025-07-23T00:00:00"/>
    <x v="87"/>
    <s v="내안에이무기"/>
    <n v="796"/>
  </r>
  <r>
    <s v="stage_reached_350 (App)"/>
    <x v="10"/>
    <x v="22"/>
    <d v="2025-07-24T00:00:00"/>
    <x v="87"/>
    <s v="변호찬"/>
    <n v="744"/>
  </r>
  <r>
    <s v="stage_reached_350 (App)"/>
    <x v="3"/>
    <x v="22"/>
    <d v="2025-07-23T00:00:00"/>
    <x v="110"/>
    <s v="쵸코"/>
    <n v="758"/>
  </r>
  <r>
    <s v="stage_reached_350 (App)"/>
    <x v="5"/>
    <x v="22"/>
    <d v="2025-07-23T00:00:00"/>
    <x v="87"/>
    <s v="룰라"/>
    <n v="717"/>
  </r>
  <r>
    <s v="stage_reached_350 (App)"/>
    <x v="10"/>
    <x v="22"/>
    <d v="2025-07-22T00:00:00"/>
    <x v="110"/>
    <s v="소시미"/>
    <n v="716"/>
  </r>
  <r>
    <s v="stage_reached_350 (App)"/>
    <x v="7"/>
    <x v="22"/>
    <d v="2025-07-22T00:00:00"/>
    <x v="87"/>
    <s v="chovy"/>
    <n v="700"/>
  </r>
  <r>
    <s v="stage_reached_350 (App)"/>
    <x v="4"/>
    <x v="22"/>
    <d v="2025-07-22T00:00:00"/>
    <x v="127"/>
    <s v="아무거나함"/>
    <n v="716"/>
  </r>
  <r>
    <s v="stage_reached_350 (App)"/>
    <x v="3"/>
    <x v="22"/>
    <d v="2025-07-21T00:00:00"/>
    <x v="87"/>
    <s v="아무것도몰라"/>
    <n v="715"/>
  </r>
  <r>
    <s v="stage_reached_350 (App)"/>
    <x v="10"/>
    <x v="22"/>
    <d v="2025-07-20T00:00:00"/>
    <x v="87"/>
    <s v="엄블리"/>
    <n v="581"/>
  </r>
  <r>
    <s v="stage_reached_350 (App)"/>
    <x v="14"/>
    <x v="22"/>
    <d v="2025-07-20T00:00:00"/>
    <x v="107"/>
    <s v="한료타"/>
    <n v="515"/>
  </r>
  <r>
    <s v="stage_reached_350 (App)"/>
    <x v="6"/>
    <x v="22"/>
    <d v="2025-07-20T00:00:00"/>
    <x v="125"/>
    <s v="고운찡"/>
    <n v="580"/>
  </r>
  <r>
    <s v="stage_reached_350 (App)"/>
    <x v="7"/>
    <x v="22"/>
    <d v="2025-07-20T00:00:00"/>
    <x v="193"/>
    <s v="장씬종"/>
    <n v="572"/>
  </r>
  <r>
    <s v="stage_reached_350 (App)"/>
    <x v="1"/>
    <x v="22"/>
    <d v="2025-07-20T00:00:00"/>
    <x v="87"/>
    <s v="8군단장"/>
    <n v="567"/>
  </r>
  <r>
    <s v="stage_reached_350 (App)"/>
    <x v="10"/>
    <x v="22"/>
    <d v="2025-07-18T00:00:00"/>
    <x v="150"/>
    <s v="카리나v"/>
    <n v="563"/>
  </r>
  <r>
    <s v="stage_reached_350 (App)"/>
    <x v="12"/>
    <x v="22"/>
    <d v="2025-07-18T00:00:00"/>
    <x v="186"/>
    <s v="키썽"/>
    <n v="1153"/>
  </r>
  <r>
    <s v="stage_reached_350 (App)"/>
    <x v="7"/>
    <x v="22"/>
    <d v="2025-07-20T00:00:00"/>
    <x v="110"/>
    <s v="화니화니96"/>
    <n v="520"/>
  </r>
  <r>
    <s v="stage_reached_350 (App)"/>
    <x v="4"/>
    <x v="22"/>
    <d v="2025-07-19T00:00:00"/>
    <x v="211"/>
    <s v="제갈민"/>
    <n v="506"/>
  </r>
  <r>
    <s v="stage_reached_350 (App)"/>
    <x v="10"/>
    <x v="22"/>
    <d v="2025-07-16T00:00:00"/>
    <x v="173"/>
    <s v="로나"/>
    <n v="597"/>
  </r>
  <r>
    <s v="stage_reached_350 (App)"/>
    <x v="3"/>
    <x v="22"/>
    <d v="2025-07-20T00:00:00"/>
    <x v="87"/>
    <s v="Rox"/>
    <n v="553"/>
  </r>
  <r>
    <s v="stage_reached_350 (App)"/>
    <x v="4"/>
    <x v="22"/>
    <d v="2025-07-19T00:00:00"/>
    <x v="125"/>
    <s v="꾹아재"/>
    <n v="523"/>
  </r>
  <r>
    <s v="stage_reached_350 (App)"/>
    <x v="4"/>
    <x v="22"/>
    <d v="2025-07-19T00:00:00"/>
    <x v="87"/>
    <s v="도쿠가와이에야스"/>
    <n v="494"/>
  </r>
  <r>
    <s v="stage_reached_350 (App)"/>
    <x v="10"/>
    <x v="22"/>
    <d v="2025-07-18T00:00:00"/>
    <x v="87"/>
    <s v="공산당이싫어요"/>
    <n v="476"/>
  </r>
  <r>
    <s v="stage_reached_350 (App)"/>
    <x v="10"/>
    <x v="22"/>
    <d v="2025-07-19T00:00:00"/>
    <x v="87"/>
    <s v="조버미"/>
    <n v="590"/>
  </r>
  <r>
    <s v="stage_reached_350 (App)"/>
    <x v="10"/>
    <x v="22"/>
    <d v="2025-07-19T00:00:00"/>
    <x v="87"/>
    <s v="Pisces"/>
    <n v="469"/>
  </r>
  <r>
    <s v="stage_reached_350 (App)"/>
    <x v="12"/>
    <x v="22"/>
    <d v="2025-07-19T00:00:00"/>
    <x v="110"/>
    <s v="아와드"/>
    <n v="716"/>
  </r>
  <r>
    <s v="stage_reached_350 (App)"/>
    <x v="10"/>
    <x v="22"/>
    <d v="2025-07-19T00:00:00"/>
    <x v="87"/>
    <s v="농협"/>
    <n v="464"/>
  </r>
  <r>
    <s v="stage_reached_350 (App)"/>
    <x v="10"/>
    <x v="22"/>
    <d v="2025-07-19T00:00:00"/>
    <x v="125"/>
    <s v="김투명"/>
    <n v="448"/>
  </r>
  <r>
    <s v="stage_reached_350 (App)"/>
    <x v="3"/>
    <x v="22"/>
    <d v="2025-07-17T00:00:00"/>
    <x v="87"/>
    <s v="둘리동욱"/>
    <n v="475"/>
  </r>
  <r>
    <s v="stage_reached_350 (App)"/>
    <x v="11"/>
    <x v="22"/>
    <d v="2025-07-18T00:00:00"/>
    <x v="87"/>
    <s v="위니랑"/>
    <n v="433"/>
  </r>
  <r>
    <s v="stage_reached_350 (App)"/>
    <x v="10"/>
    <x v="22"/>
    <d v="2025-07-17T00:00:00"/>
    <x v="87"/>
    <s v="방랑자장씨"/>
    <n v="417"/>
  </r>
  <r>
    <s v="stage_reached_350 (App)"/>
    <x v="3"/>
    <x v="22"/>
    <d v="2025-07-18T00:00:00"/>
    <x v="110"/>
    <s v="블루딩굴"/>
    <n v="417"/>
  </r>
  <r>
    <s v="stage_reached_350 (App)"/>
    <x v="14"/>
    <x v="22"/>
    <d v="2025-07-18T00:00:00"/>
    <x v="190"/>
    <s v="구구가가"/>
    <n v="416"/>
  </r>
  <r>
    <s v="stage_reached_350 (App)"/>
    <x v="15"/>
    <x v="22"/>
    <d v="2025-07-18T00:00:00"/>
    <x v="87"/>
    <s v="황금중독"/>
    <n v="411"/>
  </r>
  <r>
    <s v="stage_reached_350 (App)"/>
    <x v="10"/>
    <x v="22"/>
    <d v="2025-07-18T00:00:00"/>
    <x v="87"/>
    <s v="이오스"/>
    <n v="402"/>
  </r>
  <r>
    <s v="stage_reached_350 (App)"/>
    <x v="7"/>
    <x v="22"/>
    <d v="2025-07-17T00:00:00"/>
    <x v="212"/>
    <s v="부가땅"/>
    <n v="413"/>
  </r>
  <r>
    <s v="stage_reached_350 (App)"/>
    <x v="4"/>
    <x v="22"/>
    <d v="2025-07-17T00:00:00"/>
    <x v="75"/>
    <s v="l3est"/>
    <n v="491"/>
  </r>
  <r>
    <s v="stage_reached_350 (App)"/>
    <x v="1"/>
    <x v="22"/>
    <d v="2025-07-17T00:00:00"/>
    <x v="193"/>
    <s v="십정동꿀주먹"/>
    <n v="388"/>
  </r>
  <r>
    <s v="stage_reached_350 (App)"/>
    <x v="10"/>
    <x v="22"/>
    <d v="2025-07-17T00:00:00"/>
    <x v="213"/>
    <s v="안티왕"/>
    <n v="367"/>
  </r>
  <r>
    <s v="stage_reached_350 (App)"/>
    <x v="0"/>
    <x v="22"/>
    <d v="2025-07-17T00:00:00"/>
    <x v="214"/>
    <s v="권대훈"/>
    <n v="341"/>
  </r>
  <r>
    <s v="stage_reached_350 (App)"/>
    <x v="10"/>
    <x v="22"/>
    <d v="2025-07-16T00:00:00"/>
    <x v="150"/>
    <s v="쩰리"/>
    <n v="341"/>
  </r>
  <r>
    <s v="stage_reached_350 (App)"/>
    <x v="10"/>
    <x v="22"/>
    <d v="2025-07-16T00:00:00"/>
    <x v="127"/>
    <s v="위도리"/>
    <n v="340"/>
  </r>
  <r>
    <s v="stage_reached_350 (App)"/>
    <x v="3"/>
    <x v="22"/>
    <d v="2025-07-16T00:00:00"/>
    <x v="87"/>
    <s v="사철"/>
    <n v="348"/>
  </r>
  <r>
    <s v="stage_reached_350 (App)"/>
    <x v="10"/>
    <x v="22"/>
    <d v="2025-07-16T00:00:00"/>
    <x v="87"/>
    <s v="검계수장"/>
    <n v="323"/>
  </r>
  <r>
    <s v="stage_reached_350 (App)"/>
    <x v="7"/>
    <x v="22"/>
    <d v="2025-07-15T00:00:00"/>
    <x v="87"/>
    <s v="룽이"/>
    <n v="327"/>
  </r>
  <r>
    <s v="stage_reached_350 (App)"/>
    <x v="7"/>
    <x v="22"/>
    <d v="2025-07-16T00:00:00"/>
    <x v="173"/>
    <s v="도플라밍고"/>
    <n v="303"/>
  </r>
  <r>
    <s v="stage_reached_350 (App)"/>
    <x v="3"/>
    <x v="23"/>
    <d v="2025-07-21T00:00:00"/>
    <x v="215"/>
    <s v="디와이"/>
    <n v="1024"/>
  </r>
  <r>
    <s v="stage_reached_350 (App)"/>
    <x v="10"/>
    <x v="23"/>
    <d v="2025-07-23T00:00:00"/>
    <x v="216"/>
    <s v="행수"/>
    <n v="755"/>
  </r>
  <r>
    <s v="stage_reached_350 (App)"/>
    <x v="3"/>
    <x v="23"/>
    <d v="2025-07-23T00:00:00"/>
    <x v="87"/>
    <s v="대니팬텀"/>
    <n v="793"/>
  </r>
  <r>
    <s v="stage_reached_350 (App)"/>
    <x v="3"/>
    <x v="23"/>
    <d v="2025-07-23T00:00:00"/>
    <x v="87"/>
    <s v="ellquine"/>
    <n v="766"/>
  </r>
  <r>
    <s v="stage_reached_350 (App)"/>
    <x v="10"/>
    <x v="23"/>
    <d v="2025-07-20T00:00:00"/>
    <x v="177"/>
    <s v="반달"/>
    <n v="738"/>
  </r>
  <r>
    <s v="stage_reached_350 (App)"/>
    <x v="3"/>
    <x v="23"/>
    <d v="2025-07-20T00:00:00"/>
    <x v="129"/>
    <s v="안산한량"/>
    <n v="738"/>
  </r>
  <r>
    <s v="stage_reached_350 (App)"/>
    <x v="0"/>
    <x v="23"/>
    <d v="2025-07-22T00:00:00"/>
    <x v="87"/>
    <s v="polaris1"/>
    <n v="740"/>
  </r>
  <r>
    <s v="stage_reached_350 (App)"/>
    <x v="10"/>
    <x v="23"/>
    <d v="2025-07-22T00:00:00"/>
    <x v="87"/>
    <s v="어왔니"/>
    <n v="729"/>
  </r>
  <r>
    <s v="stage_reached_350 (App)"/>
    <x v="1"/>
    <x v="23"/>
    <d v="2025-07-22T00:00:00"/>
    <x v="118"/>
    <s v="이슬공주"/>
    <n v="704"/>
  </r>
  <r>
    <s v="stage_reached_350 (App)"/>
    <x v="10"/>
    <x v="23"/>
    <d v="2025-07-19T00:00:00"/>
    <x v="87"/>
    <s v="황천사자"/>
    <n v="683"/>
  </r>
  <r>
    <s v="stage_reached_350 (App)"/>
    <x v="7"/>
    <x v="23"/>
    <d v="2025-07-20T00:00:00"/>
    <x v="169"/>
    <s v="안양잠룡"/>
    <n v="681"/>
  </r>
  <r>
    <s v="stage_reached_350 (App)"/>
    <x v="10"/>
    <x v="23"/>
    <d v="2025-07-20T00:00:00"/>
    <x v="87"/>
    <s v="코플레"/>
    <n v="727"/>
  </r>
  <r>
    <s v="stage_reached_350 (App)"/>
    <x v="3"/>
    <x v="23"/>
    <d v="2025-07-21T00:00:00"/>
    <x v="87"/>
    <s v="오롯"/>
    <n v="638"/>
  </r>
  <r>
    <s v="stage_reached_350 (App)"/>
    <x v="11"/>
    <x v="23"/>
    <d v="2025-07-18T00:00:00"/>
    <x v="87"/>
    <s v="희망아빠"/>
    <n v="656"/>
  </r>
  <r>
    <s v="stage_reached_350 (App)"/>
    <x v="3"/>
    <x v="23"/>
    <d v="2025-07-21T00:00:00"/>
    <x v="87"/>
    <s v="아이디이이"/>
    <n v="812"/>
  </r>
  <r>
    <s v="stage_reached_350 (App)"/>
    <x v="4"/>
    <x v="23"/>
    <d v="2025-07-21T00:00:00"/>
    <x v="87"/>
    <s v="뭐왜뭐가"/>
    <n v="636"/>
  </r>
  <r>
    <s v="stage_reached_350 (App)"/>
    <x v="10"/>
    <x v="23"/>
    <d v="2025-07-21T00:00:00"/>
    <x v="217"/>
    <s v="아기왕자"/>
    <n v="627"/>
  </r>
  <r>
    <s v="stage_reached_350 (App)"/>
    <x v="10"/>
    <x v="23"/>
    <d v="2025-07-19T00:00:00"/>
    <x v="87"/>
    <s v="보집물"/>
    <n v="649"/>
  </r>
  <r>
    <s v="stage_reached_350 (App)"/>
    <x v="3"/>
    <x v="23"/>
    <d v="2025-07-20T00:00:00"/>
    <x v="87"/>
    <s v="태조쿠마"/>
    <n v="610"/>
  </r>
  <r>
    <s v="stage_reached_350 (App)"/>
    <x v="3"/>
    <x v="23"/>
    <d v="2025-07-19T00:00:00"/>
    <x v="87"/>
    <s v="돌민"/>
    <n v="643"/>
  </r>
  <r>
    <s v="stage_reached_350 (App)"/>
    <x v="3"/>
    <x v="23"/>
    <d v="2025-07-19T00:00:00"/>
    <x v="171"/>
    <s v="신선놀음"/>
    <n v="600"/>
  </r>
  <r>
    <s v="stage_reached_350 (App)"/>
    <x v="17"/>
    <x v="23"/>
    <d v="2025-07-20T00:00:00"/>
    <x v="173"/>
    <s v="난중일"/>
    <n v="598"/>
  </r>
  <r>
    <s v="stage_reached_350 (App)"/>
    <x v="6"/>
    <x v="23"/>
    <d v="2025-07-20T00:00:00"/>
    <x v="87"/>
    <s v="프라함"/>
    <n v="586"/>
  </r>
  <r>
    <s v="stage_reached_350 (App)"/>
    <x v="3"/>
    <x v="23"/>
    <d v="2025-07-19T00:00:00"/>
    <x v="202"/>
    <s v="초슈익"/>
    <n v="577"/>
  </r>
  <r>
    <s v="stage_reached_350 (App)"/>
    <x v="7"/>
    <x v="23"/>
    <d v="2025-07-20T00:00:00"/>
    <x v="87"/>
    <s v="게으름주의"/>
    <n v="597"/>
  </r>
  <r>
    <s v="stage_reached_350 (App)"/>
    <x v="2"/>
    <x v="23"/>
    <d v="2025-07-19T00:00:00"/>
    <x v="87"/>
    <s v="룰루루"/>
    <n v="545"/>
  </r>
  <r>
    <s v="stage_reached_350 (App)"/>
    <x v="7"/>
    <x v="23"/>
    <d v="2025-07-19T00:00:00"/>
    <x v="173"/>
    <s v="트리플채"/>
    <n v="553"/>
  </r>
  <r>
    <s v="stage_reached_350 (App)"/>
    <x v="10"/>
    <x v="23"/>
    <d v="2025-07-19T00:00:00"/>
    <x v="87"/>
    <s v="옐로우콘"/>
    <n v="529"/>
  </r>
  <r>
    <s v="stage_reached_350 (App)"/>
    <x v="7"/>
    <x v="23"/>
    <d v="2025-07-19T00:00:00"/>
    <x v="186"/>
    <s v="재밌는친구"/>
    <n v="534"/>
  </r>
  <r>
    <s v="stage_reached_350 (App)"/>
    <x v="6"/>
    <x v="23"/>
    <d v="2025-07-19T00:00:00"/>
    <x v="173"/>
    <s v="애국열사"/>
    <n v="541"/>
  </r>
  <r>
    <s v="stage_reached_350 (App)"/>
    <x v="1"/>
    <x v="23"/>
    <d v="2025-07-18T00:00:00"/>
    <x v="87"/>
    <s v="효자동용가리"/>
    <n v="604"/>
  </r>
  <r>
    <s v="stage_reached_350 (App)"/>
    <x v="15"/>
    <x v="23"/>
    <d v="2025-07-19T00:00:00"/>
    <x v="110"/>
    <s v="노블"/>
    <n v="501"/>
  </r>
  <r>
    <s v="stage_reached_350 (App)"/>
    <x v="4"/>
    <x v="23"/>
    <d v="2025-07-19T00:00:00"/>
    <x v="165"/>
    <s v="쫑쫑이"/>
    <n v="553"/>
  </r>
  <r>
    <s v="stage_reached_350 (App)"/>
    <x v="10"/>
    <x v="23"/>
    <d v="2025-07-18T00:00:00"/>
    <x v="127"/>
    <s v="홀로핑"/>
    <n v="494"/>
  </r>
  <r>
    <s v="stage_reached_350 (App)"/>
    <x v="10"/>
    <x v="23"/>
    <d v="2025-07-18T00:00:00"/>
    <x v="125"/>
    <s v="타이거즈"/>
    <n v="491"/>
  </r>
  <r>
    <s v="stage_reached_350 (App)"/>
    <x v="11"/>
    <x v="23"/>
    <d v="2025-07-18T00:00:00"/>
    <x v="173"/>
    <s v="강함과걍함사이"/>
    <n v="480"/>
  </r>
  <r>
    <s v="stage_reached_350 (App)"/>
    <x v="10"/>
    <x v="23"/>
    <d v="2025-07-18T00:00:00"/>
    <x v="87"/>
    <s v="샥련"/>
    <n v="476"/>
  </r>
  <r>
    <s v="stage_reached_350 (App)"/>
    <x v="7"/>
    <x v="23"/>
    <d v="2025-07-18T00:00:00"/>
    <x v="87"/>
    <s v="다이빙"/>
    <n v="472"/>
  </r>
  <r>
    <s v="stage_reached_350 (App)"/>
    <x v="4"/>
    <x v="23"/>
    <d v="2025-07-18T00:00:00"/>
    <x v="125"/>
    <s v="하또짜"/>
    <n v="487"/>
  </r>
  <r>
    <s v="stage_reached_350 (App)"/>
    <x v="15"/>
    <x v="23"/>
    <d v="2025-07-18T00:00:00"/>
    <x v="140"/>
    <s v="아자핑"/>
    <n v="468"/>
  </r>
  <r>
    <s v="stage_reached_350 (App)"/>
    <x v="7"/>
    <x v="23"/>
    <d v="2025-07-17T00:00:00"/>
    <x v="87"/>
    <s v="용우니"/>
    <n v="430"/>
  </r>
  <r>
    <s v="stage_reached_350 (App)"/>
    <x v="3"/>
    <x v="23"/>
    <d v="2025-07-17T00:00:00"/>
    <x v="188"/>
    <s v="그래도살아야지"/>
    <n v="465"/>
  </r>
  <r>
    <s v="stage_reached_350 (App)"/>
    <x v="0"/>
    <x v="23"/>
    <d v="2025-07-17T00:00:00"/>
    <x v="113"/>
    <s v="E우주"/>
    <n v="428"/>
  </r>
  <r>
    <s v="stage_reached_350 (App)"/>
    <x v="11"/>
    <x v="23"/>
    <d v="2025-07-16T00:00:00"/>
    <x v="186"/>
    <s v="tmsjvl"/>
    <n v="431"/>
  </r>
  <r>
    <s v="stage_reached_350 (App)"/>
    <x v="14"/>
    <x v="23"/>
    <d v="2025-07-16T00:00:00"/>
    <x v="51"/>
    <n v="13453"/>
    <n v="398"/>
  </r>
  <r>
    <s v="stage_reached_350 (App)"/>
    <x v="10"/>
    <x v="23"/>
    <d v="2025-07-17T00:00:00"/>
    <x v="173"/>
    <s v="김로나"/>
    <n v="396"/>
  </r>
  <r>
    <s v="stage_reached_350 (App)"/>
    <x v="10"/>
    <x v="23"/>
    <d v="2025-07-16T00:00:00"/>
    <x v="118"/>
    <s v="땅더비"/>
    <n v="376"/>
  </r>
  <r>
    <s v="stage_reached_350 (App)"/>
    <x v="21"/>
    <x v="23"/>
    <d v="2025-07-16T00:00:00"/>
    <x v="87"/>
    <s v="꽁꽁이"/>
    <n v="417"/>
  </r>
  <r>
    <s v="stage_reached_350 (App)"/>
    <x v="7"/>
    <x v="23"/>
    <d v="2025-07-16T00:00:00"/>
    <x v="87"/>
    <s v="피릿"/>
    <n v="372"/>
  </r>
  <r>
    <s v="stage_reached_350 (App)"/>
    <x v="14"/>
    <x v="23"/>
    <d v="2025-07-16T00:00:00"/>
    <x v="87"/>
    <s v="내가구운와플"/>
    <n v="348"/>
  </r>
  <r>
    <s v="stage_reached_350 (App)"/>
    <x v="14"/>
    <x v="23"/>
    <d v="2025-07-16T00:00:00"/>
    <x v="87"/>
    <s v="뱅섭"/>
    <n v="330"/>
  </r>
  <r>
    <s v="stage_reached_350 (App)"/>
    <x v="3"/>
    <x v="23"/>
    <d v="2025-07-15T00:00:00"/>
    <x v="180"/>
    <s v="트리니타스"/>
    <n v="330"/>
  </r>
  <r>
    <s v="stage_reached_350 (App)"/>
    <x v="4"/>
    <x v="24"/>
    <d v="2025-07-20T00:00:00"/>
    <x v="87"/>
    <s v="짱호"/>
    <n v="773"/>
  </r>
  <r>
    <s v="stage_reached_350 (App)"/>
    <x v="4"/>
    <x v="24"/>
    <d v="2025-07-22T00:00:00"/>
    <x v="87"/>
    <s v="밍글이"/>
    <n v="770"/>
  </r>
  <r>
    <s v="stage_reached_350 (App)"/>
    <x v="15"/>
    <x v="24"/>
    <d v="2025-07-21T00:00:00"/>
    <x v="87"/>
    <s v="핫걸"/>
    <n v="770"/>
  </r>
  <r>
    <s v="stage_reached_350 (App)"/>
    <x v="4"/>
    <x v="24"/>
    <d v="2025-07-20T00:00:00"/>
    <x v="87"/>
    <s v="신죠오사사게오"/>
    <n v="841"/>
  </r>
  <r>
    <s v="stage_reached_350 (App)"/>
    <x v="6"/>
    <x v="24"/>
    <d v="2025-07-21T00:00:00"/>
    <x v="218"/>
    <s v="에반게리"/>
    <n v="728"/>
  </r>
  <r>
    <s v="stage_reached_350 (App)"/>
    <x v="3"/>
    <x v="24"/>
    <d v="2025-07-21T00:00:00"/>
    <x v="87"/>
    <s v="빼빼로"/>
    <n v="769"/>
  </r>
  <r>
    <s v="stage_reached_350 (App)"/>
    <x v="3"/>
    <x v="24"/>
    <d v="2025-07-19T00:00:00"/>
    <x v="87"/>
    <s v="라고메"/>
    <n v="681"/>
  </r>
  <r>
    <s v="stage_reached_350 (App)"/>
    <x v="3"/>
    <x v="24"/>
    <d v="2025-07-20T00:00:00"/>
    <x v="87"/>
    <s v="호랑이기우니"/>
    <n v="682"/>
  </r>
  <r>
    <s v="stage_reached_350 (App)"/>
    <x v="12"/>
    <x v="24"/>
    <d v="2025-07-20T00:00:00"/>
    <x v="87"/>
    <s v="지금여기"/>
    <n v="676"/>
  </r>
  <r>
    <s v="stage_reached_350 (App)"/>
    <x v="10"/>
    <x v="24"/>
    <d v="2025-07-20T00:00:00"/>
    <x v="87"/>
    <s v="DoorTin"/>
    <n v="671"/>
  </r>
  <r>
    <s v="stage_reached_350 (App)"/>
    <x v="22"/>
    <x v="24"/>
    <d v="2025-07-20T00:00:00"/>
    <x v="78"/>
    <s v="퍼떡내놔라"/>
    <n v="675"/>
  </r>
  <r>
    <s v="stage_reached_350 (App)"/>
    <x v="4"/>
    <x v="24"/>
    <d v="2025-07-20T00:00:00"/>
    <x v="118"/>
    <s v="요와가와"/>
    <n v="646"/>
  </r>
  <r>
    <s v="stage_reached_350 (App)"/>
    <x v="10"/>
    <x v="24"/>
    <d v="2025-07-20T00:00:00"/>
    <x v="87"/>
    <s v="캐누"/>
    <n v="641"/>
  </r>
  <r>
    <s v="stage_reached_350 (App)"/>
    <x v="4"/>
    <x v="24"/>
    <d v="2025-07-20T00:00:00"/>
    <x v="87"/>
    <s v="술재이"/>
    <n v="635"/>
  </r>
  <r>
    <s v="stage_reached_350 (App)"/>
    <x v="12"/>
    <x v="24"/>
    <d v="2025-07-20T00:00:00"/>
    <x v="87"/>
    <s v="하지닝"/>
    <n v="718"/>
  </r>
  <r>
    <s v="stage_reached_350 (App)"/>
    <x v="10"/>
    <x v="24"/>
    <d v="2025-07-20T00:00:00"/>
    <x v="87"/>
    <s v="우빵맨"/>
    <n v="632"/>
  </r>
  <r>
    <s v="stage_reached_350 (App)"/>
    <x v="1"/>
    <x v="24"/>
    <d v="2025-07-20T00:00:00"/>
    <x v="87"/>
    <s v="김표류"/>
    <n v="609"/>
  </r>
  <r>
    <s v="stage_reached_350 (App)"/>
    <x v="4"/>
    <x v="24"/>
    <d v="2025-07-20T00:00:00"/>
    <x v="190"/>
    <s v="불빠따"/>
    <n v="677"/>
  </r>
  <r>
    <s v="stage_reached_350 (App)"/>
    <x v="3"/>
    <x v="24"/>
    <d v="2025-07-19T00:00:00"/>
    <x v="78"/>
    <s v="의천대협"/>
    <n v="650"/>
  </r>
  <r>
    <s v="stage_reached_350 (App)"/>
    <x v="3"/>
    <x v="24"/>
    <d v="2025-07-20T00:00:00"/>
    <x v="87"/>
    <s v="Munsu19"/>
    <n v="688"/>
  </r>
  <r>
    <s v="stage_reached_350 (App)"/>
    <x v="3"/>
    <x v="24"/>
    <d v="2025-07-19T00:00:00"/>
    <x v="87"/>
    <s v="뚜앙"/>
    <n v="655"/>
  </r>
  <r>
    <s v="stage_reached_350 (App)"/>
    <x v="3"/>
    <x v="24"/>
    <d v="2025-07-18T00:00:00"/>
    <x v="87"/>
    <s v="초코파르페"/>
    <n v="653"/>
  </r>
  <r>
    <s v="stage_reached_350 (App)"/>
    <x v="13"/>
    <x v="24"/>
    <d v="2025-07-18T00:00:00"/>
    <x v="110"/>
    <s v="쿠두스"/>
    <n v="625"/>
  </r>
  <r>
    <s v="stage_reached_350 (App)"/>
    <x v="14"/>
    <x v="24"/>
    <d v="2025-07-18T00:00:00"/>
    <x v="147"/>
    <s v="야생화살"/>
    <n v="582"/>
  </r>
  <r>
    <s v="stage_reached_350 (App)"/>
    <x v="7"/>
    <x v="24"/>
    <d v="2025-07-18T00:00:00"/>
    <x v="87"/>
    <s v="운빨존망"/>
    <n v="592"/>
  </r>
  <r>
    <s v="stage_reached_350 (App)"/>
    <x v="7"/>
    <x v="24"/>
    <d v="2025-07-18T00:00:00"/>
    <x v="87"/>
    <s v="미카형"/>
    <n v="568"/>
  </r>
  <r>
    <s v="stage_reached_350 (App)"/>
    <x v="6"/>
    <x v="24"/>
    <d v="2025-07-18T00:00:00"/>
    <x v="87"/>
    <s v="카마신"/>
    <n v="681"/>
  </r>
  <r>
    <s v="stage_reached_350 (App)"/>
    <x v="16"/>
    <x v="24"/>
    <d v="2025-07-18T00:00:00"/>
    <x v="87"/>
    <s v="성명현"/>
    <n v="516"/>
  </r>
  <r>
    <s v="stage_reached_350 (App)"/>
    <x v="3"/>
    <x v="24"/>
    <d v="2025-07-18T00:00:00"/>
    <x v="219"/>
    <s v="조폭여친"/>
    <n v="513"/>
  </r>
  <r>
    <s v="stage_reached_350 (App)"/>
    <x v="4"/>
    <x v="24"/>
    <d v="2025-07-18T00:00:00"/>
    <x v="87"/>
    <s v="마틴왕"/>
    <n v="529"/>
  </r>
  <r>
    <s v="stage_reached_350 (App)"/>
    <x v="4"/>
    <x v="24"/>
    <d v="2025-07-18T00:00:00"/>
    <x v="87"/>
    <s v="홍이장군"/>
    <n v="525"/>
  </r>
  <r>
    <s v="stage_reached_350 (App)"/>
    <x v="14"/>
    <x v="24"/>
    <d v="2025-07-17T00:00:00"/>
    <x v="171"/>
    <s v="구자윤"/>
    <n v="528"/>
  </r>
  <r>
    <s v="stage_reached_350 (App)"/>
    <x v="3"/>
    <x v="24"/>
    <d v="2025-07-17T00:00:00"/>
    <x v="87"/>
    <s v="re001"/>
    <n v="528"/>
  </r>
  <r>
    <s v="stage_reached_350 (App)"/>
    <x v="3"/>
    <x v="24"/>
    <d v="2025-07-17T00:00:00"/>
    <x v="169"/>
    <s v="jene"/>
    <n v="508"/>
  </r>
  <r>
    <s v="stage_reached_350 (App)"/>
    <x v="10"/>
    <x v="24"/>
    <d v="2025-07-17T00:00:00"/>
    <x v="87"/>
    <s v="싸우전드"/>
    <n v="489"/>
  </r>
  <r>
    <s v="stage_reached_350 (App)"/>
    <x v="3"/>
    <x v="24"/>
    <d v="2025-07-17T00:00:00"/>
    <x v="87"/>
    <s v="배똥꾸멍"/>
    <n v="496"/>
  </r>
  <r>
    <s v="stage_reached_350 (App)"/>
    <x v="3"/>
    <x v="24"/>
    <d v="2025-07-18T00:00:00"/>
    <x v="87"/>
    <s v="탕만추"/>
    <n v="469"/>
  </r>
  <r>
    <s v="stage_reached_350 (App)"/>
    <x v="4"/>
    <x v="24"/>
    <d v="2025-07-17T00:00:00"/>
    <x v="87"/>
    <s v="웅냐"/>
    <n v="475"/>
  </r>
  <r>
    <s v="stage_reached_350 (App)"/>
    <x v="0"/>
    <x v="24"/>
    <d v="2025-07-17T00:00:00"/>
    <x v="110"/>
    <s v="주동이"/>
    <n v="579"/>
  </r>
  <r>
    <s v="stage_reached_350 (App)"/>
    <x v="14"/>
    <x v="24"/>
    <d v="2025-07-16T00:00:00"/>
    <x v="114"/>
    <s v="S썽아찌S"/>
    <n v="463"/>
  </r>
  <r>
    <s v="stage_reached_350 (App)"/>
    <x v="3"/>
    <x v="24"/>
    <d v="2025-07-17T00:00:00"/>
    <x v="87"/>
    <s v="어노인팅"/>
    <n v="474"/>
  </r>
  <r>
    <s v="stage_reached_350 (App)"/>
    <x v="3"/>
    <x v="24"/>
    <d v="2025-07-17T00:00:00"/>
    <x v="87"/>
    <s v="qwer999"/>
    <n v="473"/>
  </r>
  <r>
    <s v="stage_reached_350 (App)"/>
    <x v="10"/>
    <x v="24"/>
    <d v="2025-07-17T00:00:00"/>
    <x v="173"/>
    <s v="Atom"/>
    <n v="454"/>
  </r>
  <r>
    <s v="stage_reached_350 (App)"/>
    <x v="7"/>
    <x v="24"/>
    <d v="2025-07-17T00:00:00"/>
    <x v="87"/>
    <s v="최민석민석"/>
    <n v="479"/>
  </r>
  <r>
    <s v="stage_reached_350 (App)"/>
    <x v="14"/>
    <x v="24"/>
    <d v="2025-07-16T00:00:00"/>
    <x v="188"/>
    <s v="밤두가"/>
    <n v="450"/>
  </r>
  <r>
    <s v="stage_reached_350 (App)"/>
    <x v="3"/>
    <x v="24"/>
    <d v="2025-07-16T00:00:00"/>
    <x v="87"/>
    <s v="데퐁"/>
    <n v="448"/>
  </r>
  <r>
    <s v="stage_reached_350 (App)"/>
    <x v="10"/>
    <x v="24"/>
    <d v="2025-07-16T00:00:00"/>
    <x v="179"/>
    <s v="페코"/>
    <n v="422"/>
  </r>
  <r>
    <s v="stage_reached_350 (App)"/>
    <x v="14"/>
    <x v="24"/>
    <d v="2025-07-16T00:00:00"/>
    <x v="220"/>
    <s v="시인아이"/>
    <n v="436"/>
  </r>
  <r>
    <s v="stage_reached_350 (App)"/>
    <x v="3"/>
    <x v="24"/>
    <d v="2025-07-16T00:00:00"/>
    <x v="87"/>
    <s v="허씨"/>
    <n v="417"/>
  </r>
  <r>
    <s v="stage_reached_350 (App)"/>
    <x v="15"/>
    <x v="24"/>
    <d v="2025-07-16T00:00:00"/>
    <x v="170"/>
    <s v="골덕"/>
    <n v="390"/>
  </r>
  <r>
    <s v="stage_reached_350 (App)"/>
    <x v="7"/>
    <x v="24"/>
    <d v="2025-07-15T00:00:00"/>
    <x v="211"/>
    <s v="아이구"/>
    <n v="1453"/>
  </r>
  <r>
    <s v="stage_reached_350 (App)"/>
    <x v="10"/>
    <x v="24"/>
    <d v="2025-07-15T00:00:00"/>
    <x v="125"/>
    <s v="삼둥이아빠"/>
    <n v="1370"/>
  </r>
  <r>
    <s v="stage_reached_350 (App)"/>
    <x v="4"/>
    <x v="25"/>
    <d v="2025-07-21T00:00:00"/>
    <x v="110"/>
    <s v="송학림"/>
    <n v="812"/>
  </r>
  <r>
    <s v="stage_reached_350 (App)"/>
    <x v="13"/>
    <x v="25"/>
    <d v="2025-07-19T00:00:00"/>
    <x v="87"/>
    <s v="마니버렁"/>
    <n v="907"/>
  </r>
  <r>
    <s v="stage_reached_350 (App)"/>
    <x v="4"/>
    <x v="25"/>
    <d v="2025-07-19T00:00:00"/>
    <x v="87"/>
    <s v="유베"/>
    <n v="826"/>
  </r>
  <r>
    <s v="stage_reached_350 (App)"/>
    <x v="13"/>
    <x v="25"/>
    <d v="2025-07-20T00:00:00"/>
    <x v="87"/>
    <s v="너구리먹어요"/>
    <n v="735"/>
  </r>
  <r>
    <s v="stage_reached_350 (App)"/>
    <x v="11"/>
    <x v="25"/>
    <d v="2025-07-20T00:00:00"/>
    <x v="87"/>
    <s v="구름임금"/>
    <n v="782"/>
  </r>
  <r>
    <s v="stage_reached_350 (App)"/>
    <x v="2"/>
    <x v="25"/>
    <d v="2025-07-19T00:00:00"/>
    <x v="108"/>
    <s v="위인전"/>
    <n v="881"/>
  </r>
  <r>
    <s v="stage_reached_350 (App)"/>
    <x v="7"/>
    <x v="25"/>
    <d v="2025-07-19T00:00:00"/>
    <x v="111"/>
    <s v="Sora"/>
    <n v="719"/>
  </r>
  <r>
    <s v="stage_reached_350 (App)"/>
    <x v="10"/>
    <x v="25"/>
    <d v="2025-07-18T00:00:00"/>
    <x v="188"/>
    <s v="지능"/>
    <n v="732"/>
  </r>
  <r>
    <s v="stage_reached_350 (App)"/>
    <x v="10"/>
    <x v="25"/>
    <d v="2025-07-18T00:00:00"/>
    <x v="164"/>
    <s v="춘하"/>
    <n v="710"/>
  </r>
  <r>
    <s v="stage_reached_350 (App)"/>
    <x v="10"/>
    <x v="25"/>
    <d v="2025-07-17T00:00:00"/>
    <x v="87"/>
    <s v="전신"/>
    <n v="713"/>
  </r>
  <r>
    <s v="stage_reached_350 (App)"/>
    <x v="4"/>
    <x v="25"/>
    <d v="2025-07-19T00:00:00"/>
    <x v="87"/>
    <s v="카넬리안"/>
    <n v="692"/>
  </r>
  <r>
    <s v="stage_reached_350 (App)"/>
    <x v="4"/>
    <x v="25"/>
    <d v="2025-07-19T00:00:00"/>
    <x v="87"/>
    <s v="꾸꾸83"/>
    <n v="709"/>
  </r>
  <r>
    <s v="stage_reached_350 (App)"/>
    <x v="10"/>
    <x v="25"/>
    <d v="2025-07-18T00:00:00"/>
    <x v="87"/>
    <s v="단밤"/>
    <n v="679"/>
  </r>
  <r>
    <s v="stage_reached_350 (App)"/>
    <x v="10"/>
    <x v="25"/>
    <d v="2025-07-19T00:00:00"/>
    <x v="173"/>
    <s v="의천사"/>
    <n v="676"/>
  </r>
  <r>
    <s v="stage_reached_350 (App)"/>
    <x v="3"/>
    <x v="25"/>
    <d v="2025-07-18T00:00:00"/>
    <x v="87"/>
    <s v="gamian"/>
    <n v="702"/>
  </r>
  <r>
    <s v="stage_reached_350 (App)"/>
    <x v="3"/>
    <x v="25"/>
    <d v="2025-07-19T00:00:00"/>
    <x v="87"/>
    <s v="슈다뇽"/>
    <n v="753"/>
  </r>
  <r>
    <s v="stage_reached_350 (App)"/>
    <x v="6"/>
    <x v="25"/>
    <d v="2025-07-19T00:00:00"/>
    <x v="147"/>
    <s v="돗개"/>
    <n v="668"/>
  </r>
  <r>
    <s v="stage_reached_350 (App)"/>
    <x v="11"/>
    <x v="25"/>
    <d v="2025-07-19T00:00:00"/>
    <x v="78"/>
    <s v="야유"/>
    <n v="654"/>
  </r>
  <r>
    <s v="stage_reached_350 (App)"/>
    <x v="10"/>
    <x v="25"/>
    <d v="2025-07-18T00:00:00"/>
    <x v="87"/>
    <s v="juseho"/>
    <n v="623"/>
  </r>
  <r>
    <s v="stage_reached_350 (App)"/>
    <x v="3"/>
    <x v="25"/>
    <d v="2025-07-19T00:00:00"/>
    <x v="87"/>
    <s v="월이"/>
    <n v="632"/>
  </r>
  <r>
    <s v="stage_reached_350 (App)"/>
    <x v="0"/>
    <x v="25"/>
    <d v="2025-07-19T00:00:00"/>
    <x v="180"/>
    <s v="남궁세가"/>
    <n v="707"/>
  </r>
  <r>
    <s v="stage_reached_350 (App)"/>
    <x v="10"/>
    <x v="25"/>
    <d v="2025-07-19T00:00:00"/>
    <x v="87"/>
    <s v="크라운큐비"/>
    <n v="633"/>
  </r>
  <r>
    <s v="stage_reached_350 (App)"/>
    <x v="3"/>
    <x v="25"/>
    <d v="2025-07-18T00:00:00"/>
    <x v="173"/>
    <s v="달빛나린아이"/>
    <n v="650"/>
  </r>
  <r>
    <s v="stage_reached_350 (App)"/>
    <x v="14"/>
    <x v="25"/>
    <d v="2025-07-18T00:00:00"/>
    <x v="125"/>
    <s v="비슷"/>
    <n v="671"/>
  </r>
  <r>
    <s v="stage_reached_350 (App)"/>
    <x v="10"/>
    <x v="25"/>
    <d v="2025-07-18T00:00:00"/>
    <x v="177"/>
    <s v="로윤로하"/>
    <n v="767"/>
  </r>
  <r>
    <s v="stage_reached_350 (App)"/>
    <x v="5"/>
    <x v="25"/>
    <d v="2025-07-18T00:00:00"/>
    <x v="87"/>
    <s v="넘어가"/>
    <n v="598"/>
  </r>
  <r>
    <s v="stage_reached_350 (App)"/>
    <x v="4"/>
    <x v="25"/>
    <d v="2025-07-18T00:00:00"/>
    <x v="78"/>
    <s v="허허참"/>
    <n v="626"/>
  </r>
  <r>
    <s v="stage_reached_350 (App)"/>
    <x v="15"/>
    <x v="25"/>
    <d v="2025-07-16T00:00:00"/>
    <x v="87"/>
    <s v="환상의분수쇼"/>
    <n v="572"/>
  </r>
  <r>
    <s v="stage_reached_350 (App)"/>
    <x v="7"/>
    <x v="25"/>
    <d v="2025-07-18T00:00:00"/>
    <x v="87"/>
    <s v="하슈"/>
    <n v="579"/>
  </r>
  <r>
    <s v="stage_reached_350 (App)"/>
    <x v="1"/>
    <x v="25"/>
    <d v="2025-07-17T00:00:00"/>
    <x v="87"/>
    <s v="술홍"/>
    <n v="573"/>
  </r>
  <r>
    <s v="stage_reached_350 (App)"/>
    <x v="15"/>
    <x v="25"/>
    <d v="2025-07-17T00:00:00"/>
    <x v="188"/>
    <s v="일론머스크"/>
    <n v="562"/>
  </r>
  <r>
    <s v="stage_reached_350 (App)"/>
    <x v="4"/>
    <x v="25"/>
    <d v="2025-07-16T00:00:00"/>
    <x v="147"/>
    <s v="만슈리"/>
    <n v="648"/>
  </r>
  <r>
    <s v="stage_reached_350 (App)"/>
    <x v="10"/>
    <x v="25"/>
    <d v="2025-07-17T00:00:00"/>
    <x v="87"/>
    <s v="부노"/>
    <n v="550"/>
  </r>
  <r>
    <s v="stage_reached_350 (App)"/>
    <x v="3"/>
    <x v="25"/>
    <d v="2025-07-16T00:00:00"/>
    <x v="167"/>
    <s v="삼다"/>
    <n v="581"/>
  </r>
  <r>
    <s v="stage_reached_350 (App)"/>
    <x v="3"/>
    <x v="25"/>
    <d v="2025-07-17T00:00:00"/>
    <x v="87"/>
    <s v="쁘니크미"/>
    <n v="557"/>
  </r>
  <r>
    <s v="stage_reached_350 (App)"/>
    <x v="3"/>
    <x v="25"/>
    <d v="2025-07-17T00:00:00"/>
    <x v="87"/>
    <s v="이별"/>
    <n v="518"/>
  </r>
  <r>
    <s v="stage_reached_350 (App)"/>
    <x v="11"/>
    <x v="25"/>
    <d v="2025-07-16T00:00:00"/>
    <x v="127"/>
    <s v="고려제일검사"/>
    <n v="515"/>
  </r>
  <r>
    <s v="stage_reached_350 (App)"/>
    <x v="10"/>
    <x v="25"/>
    <d v="2025-07-17T00:00:00"/>
    <x v="87"/>
    <s v="라니아빠"/>
    <n v="514"/>
  </r>
  <r>
    <s v="stage_reached_350 (App)"/>
    <x v="3"/>
    <x v="25"/>
    <d v="2025-07-17T00:00:00"/>
    <x v="87"/>
    <s v="총총이"/>
    <n v="677"/>
  </r>
  <r>
    <s v="stage_reached_350 (App)"/>
    <x v="7"/>
    <x v="25"/>
    <d v="2025-07-16T00:00:00"/>
    <x v="87"/>
    <s v="주동자자"/>
    <n v="669"/>
  </r>
  <r>
    <s v="stage_reached_350 (App)"/>
    <x v="1"/>
    <x v="25"/>
    <d v="2025-07-17T00:00:00"/>
    <x v="87"/>
    <s v="귀염이들"/>
    <n v="503"/>
  </r>
  <r>
    <s v="stage_reached_350 (App)"/>
    <x v="1"/>
    <x v="25"/>
    <d v="2025-07-16T00:00:00"/>
    <x v="175"/>
    <s v="박진석"/>
    <n v="489"/>
  </r>
  <r>
    <s v="stage_reached_350 (App)"/>
    <x v="3"/>
    <x v="26"/>
    <d v="2025-07-18T00:00:00"/>
    <x v="87"/>
    <s v="군감"/>
    <n v="794"/>
  </r>
  <r>
    <s v="stage_reached_350 (App)"/>
    <x v="10"/>
    <x v="26"/>
    <d v="2025-07-20T00:00:00"/>
    <x v="204"/>
    <s v="망월동아파트"/>
    <n v="786"/>
  </r>
  <r>
    <s v="stage_reached_350 (App)"/>
    <x v="3"/>
    <x v="26"/>
    <d v="2025-07-20T00:00:00"/>
    <x v="87"/>
    <s v="스승"/>
    <n v="743"/>
  </r>
  <r>
    <s v="stage_reached_350 (App)"/>
    <x v="10"/>
    <x v="26"/>
    <d v="2025-07-18T00:00:00"/>
    <x v="188"/>
    <s v="완즈이"/>
    <n v="756"/>
  </r>
  <r>
    <s v="stage_reached_350 (App)"/>
    <x v="15"/>
    <x v="26"/>
    <d v="2025-07-19T00:00:00"/>
    <x v="186"/>
    <s v="공쿤"/>
    <n v="735"/>
  </r>
  <r>
    <s v="stage_reached_350 (App)"/>
    <x v="10"/>
    <x v="26"/>
    <d v="2025-07-18T00:00:00"/>
    <x v="87"/>
    <s v="천룡"/>
    <n v="846"/>
  </r>
  <r>
    <s v="stage_reached_350 (App)"/>
    <x v="12"/>
    <x v="26"/>
    <d v="2025-07-18T00:00:00"/>
    <x v="87"/>
    <s v="김프로"/>
    <n v="742"/>
  </r>
  <r>
    <s v="stage_reached_350 (App)"/>
    <x v="7"/>
    <x v="26"/>
    <d v="2025-07-19T00:00:00"/>
    <x v="211"/>
    <s v="그칸당"/>
    <n v="803"/>
  </r>
  <r>
    <s v="stage_reached_350 (App)"/>
    <x v="3"/>
    <x v="26"/>
    <d v="2025-07-19T00:00:00"/>
    <x v="125"/>
    <s v="토리9"/>
    <n v="756"/>
  </r>
  <r>
    <s v="stage_reached_350 (App)"/>
    <x v="3"/>
    <x v="26"/>
    <d v="2025-07-19T00:00:00"/>
    <x v="87"/>
    <s v="불타는불곰"/>
    <n v="711"/>
  </r>
  <r>
    <s v="stage_reached_350 (App)"/>
    <x v="3"/>
    <x v="26"/>
    <d v="2025-07-19T00:00:00"/>
    <x v="87"/>
    <s v="개밥은줬는가"/>
    <n v="690"/>
  </r>
  <r>
    <s v="stage_reached_350 (App)"/>
    <x v="3"/>
    <x v="26"/>
    <d v="2025-07-19T00:00:00"/>
    <x v="125"/>
    <s v="꿀곰"/>
    <n v="704"/>
  </r>
  <r>
    <s v="stage_reached_350 (App)"/>
    <x v="3"/>
    <x v="26"/>
    <d v="2025-07-19T00:00:00"/>
    <x v="87"/>
    <s v="슭슭"/>
    <n v="729"/>
  </r>
  <r>
    <s v="stage_reached_350 (App)"/>
    <x v="3"/>
    <x v="26"/>
    <d v="2025-07-18T00:00:00"/>
    <x v="87"/>
    <s v="홍길동이"/>
    <n v="657"/>
  </r>
  <r>
    <s v="stage_reached_350 (App)"/>
    <x v="15"/>
    <x v="26"/>
    <d v="2025-07-18T00:00:00"/>
    <x v="188"/>
    <s v="아리오나"/>
    <n v="678"/>
  </r>
  <r>
    <s v="stage_reached_350 (App)"/>
    <x v="12"/>
    <x v="26"/>
    <d v="2025-07-16T00:00:00"/>
    <x v="221"/>
    <s v="꿀망고"/>
    <n v="697"/>
  </r>
  <r>
    <s v="stage_reached_350 (App)"/>
    <x v="1"/>
    <x v="26"/>
    <d v="2025-07-18T00:00:00"/>
    <x v="87"/>
    <s v="떠우떠누"/>
    <n v="693"/>
  </r>
  <r>
    <s v="stage_reached_350 (App)"/>
    <x v="7"/>
    <x v="26"/>
    <d v="2025-07-17T00:00:00"/>
    <x v="87"/>
    <s v="라크"/>
    <n v="675"/>
  </r>
  <r>
    <s v="stage_reached_350 (App)"/>
    <x v="7"/>
    <x v="26"/>
    <d v="2025-07-18T00:00:00"/>
    <x v="87"/>
    <s v="은혼"/>
    <n v="646"/>
  </r>
  <r>
    <s v="stage_reached_350 (App)"/>
    <x v="3"/>
    <x v="26"/>
    <d v="2025-07-18T00:00:00"/>
    <x v="87"/>
    <s v="응가삐아"/>
    <n v="697"/>
  </r>
  <r>
    <s v="stage_reached_350 (App)"/>
    <x v="3"/>
    <x v="26"/>
    <d v="2025-07-18T00:00:00"/>
    <x v="170"/>
    <s v="콩돌이"/>
    <n v="630"/>
  </r>
  <r>
    <s v="stage_reached_350 (App)"/>
    <x v="3"/>
    <x v="26"/>
    <d v="2025-07-18T00:00:00"/>
    <x v="87"/>
    <s v="초롱아놀자"/>
    <n v="629"/>
  </r>
  <r>
    <s v="stage_reached_350 (App)"/>
    <x v="13"/>
    <x v="26"/>
    <d v="2025-07-17T00:00:00"/>
    <x v="58"/>
    <s v="시리찡"/>
    <n v="680"/>
  </r>
  <r>
    <s v="stage_reached_350 (App)"/>
    <x v="11"/>
    <x v="26"/>
    <d v="2025-07-16T00:00:00"/>
    <x v="173"/>
    <s v="마초하"/>
    <n v="609"/>
  </r>
  <r>
    <s v="stage_reached_350 (App)"/>
    <x v="7"/>
    <x v="26"/>
    <d v="2025-07-17T00:00:00"/>
    <x v="87"/>
    <s v="sinbbai"/>
    <n v="611"/>
  </r>
  <r>
    <s v="stage_reached_350 (App)"/>
    <x v="3"/>
    <x v="26"/>
    <d v="2025-07-17T00:00:00"/>
    <x v="87"/>
    <s v="자갈치700원"/>
    <n v="601"/>
  </r>
  <r>
    <s v="stage_reached_350 (App)"/>
    <x v="1"/>
    <x v="26"/>
    <d v="2025-07-16T00:00:00"/>
    <x v="87"/>
    <s v="무신현"/>
    <n v="502"/>
  </r>
  <r>
    <s v="stage_reached_350 (App)"/>
    <x v="14"/>
    <x v="26"/>
    <d v="2025-07-15T00:00:00"/>
    <x v="87"/>
    <s v="twvking"/>
    <n v="1372"/>
  </r>
  <r>
    <s v="stage_reached_350 (App)"/>
    <x v="1"/>
    <x v="27"/>
    <d v="2025-07-19T00:00:00"/>
    <x v="87"/>
    <s v="세음"/>
    <n v="845"/>
  </r>
  <r>
    <s v="stage_reached_350 (App)"/>
    <x v="3"/>
    <x v="27"/>
    <d v="2025-07-19T00:00:00"/>
    <x v="87"/>
    <s v="가쥬아"/>
    <n v="823"/>
  </r>
  <r>
    <s v="stage_reached_350 (App)"/>
    <x v="1"/>
    <x v="27"/>
    <d v="2025-07-19T00:00:00"/>
    <x v="129"/>
    <s v="드웨인종슨"/>
    <n v="838"/>
  </r>
  <r>
    <s v="stage_reached_350 (App)"/>
    <x v="0"/>
    <x v="27"/>
    <d v="2025-07-19T00:00:00"/>
    <x v="87"/>
    <s v="불타는곰팅"/>
    <n v="765"/>
  </r>
  <r>
    <s v="stage_reached_350 (App)"/>
    <x v="4"/>
    <x v="27"/>
    <d v="2025-07-19T00:00:00"/>
    <x v="87"/>
    <s v="호담시"/>
    <n v="785"/>
  </r>
  <r>
    <s v="stage_reached_350 (App)"/>
    <x v="3"/>
    <x v="27"/>
    <d v="2025-07-18T00:00:00"/>
    <x v="87"/>
    <s v="움망"/>
    <n v="795"/>
  </r>
  <r>
    <s v="stage_reached_350 (App)"/>
    <x v="4"/>
    <x v="27"/>
    <d v="2025-07-18T00:00:00"/>
    <x v="87"/>
    <s v="인민대생"/>
    <n v="740"/>
  </r>
  <r>
    <s v="stage_reached_350 (App)"/>
    <x v="10"/>
    <x v="27"/>
    <d v="2025-07-18T00:00:00"/>
    <x v="188"/>
    <s v="깅상"/>
    <n v="747"/>
  </r>
  <r>
    <s v="stage_reached_350 (App)"/>
    <x v="4"/>
    <x v="27"/>
    <d v="2025-07-19T00:00:00"/>
    <x v="211"/>
    <s v="박대감"/>
    <n v="825"/>
  </r>
  <r>
    <s v="stage_reached_350 (App)"/>
    <x v="4"/>
    <x v="27"/>
    <d v="2025-07-18T00:00:00"/>
    <x v="87"/>
    <s v="이나코스"/>
    <n v="765"/>
  </r>
  <r>
    <s v="stage_reached_350 (App)"/>
    <x v="3"/>
    <x v="27"/>
    <d v="2025-07-19T00:00:00"/>
    <x v="87"/>
    <s v="김아무개"/>
    <n v="860"/>
  </r>
  <r>
    <s v="stage_reached_350 (App)"/>
    <x v="3"/>
    <x v="27"/>
    <d v="2025-07-18T00:00:00"/>
    <x v="87"/>
    <s v="병삼"/>
    <n v="761"/>
  </r>
  <r>
    <s v="stage_reached_350 (App)"/>
    <x v="1"/>
    <x v="27"/>
    <d v="2025-07-18T00:00:00"/>
    <x v="87"/>
    <s v="skyway"/>
    <n v="732"/>
  </r>
  <r>
    <s v="stage_reached_350 (App)"/>
    <x v="1"/>
    <x v="27"/>
    <d v="2025-07-18T00:00:00"/>
    <x v="173"/>
    <s v="시멘디"/>
    <n v="712"/>
  </r>
  <r>
    <s v="stage_reached_350 (App)"/>
    <x v="0"/>
    <x v="27"/>
    <d v="2025-07-18T00:00:00"/>
    <x v="188"/>
    <s v="충겨과공포"/>
    <n v="706"/>
  </r>
  <r>
    <s v="stage_reached_350 (App)"/>
    <x v="3"/>
    <x v="27"/>
    <d v="2025-07-17T00:00:00"/>
    <x v="87"/>
    <s v="제명"/>
    <n v="672"/>
  </r>
  <r>
    <s v="stage_reached_350 (App)"/>
    <x v="4"/>
    <x v="27"/>
    <d v="2025-07-17T00:00:00"/>
    <x v="87"/>
    <s v="Rio"/>
    <n v="652"/>
  </r>
  <r>
    <s v="stage_reached_350 (App)"/>
    <x v="4"/>
    <x v="28"/>
    <d v="2025-07-18T00:00:00"/>
    <x v="87"/>
    <s v="고호고로"/>
    <n v="810"/>
  </r>
  <r>
    <s v="stage_reached_350 (App)"/>
    <x v="6"/>
    <x v="28"/>
    <d v="2025-07-18T00:00:00"/>
    <x v="87"/>
    <s v="로빈홋"/>
    <n v="843"/>
  </r>
  <r>
    <s v="stage_reached_350 (App)"/>
    <x v="1"/>
    <x v="28"/>
    <d v="2025-07-18T00:00:00"/>
    <x v="118"/>
    <s v="샹이"/>
    <n v="788"/>
  </r>
  <r>
    <s v="stage_reached_350 (App)"/>
    <x v="3"/>
    <x v="28"/>
    <d v="2025-07-17T00:00:00"/>
    <x v="87"/>
    <s v="최난세"/>
    <n v="835"/>
  </r>
  <r>
    <s v="stage_reached_350 (App)"/>
    <x v="3"/>
    <x v="28"/>
    <d v="2025-07-18T00:00:00"/>
    <x v="173"/>
    <s v="이일이"/>
    <n v="833"/>
  </r>
  <r>
    <s v="stage_reached_350 (App)"/>
    <x v="23"/>
    <x v="28"/>
    <d v="2025-07-18T00:00:00"/>
    <x v="87"/>
    <s v="짱단지"/>
    <n v="752"/>
  </r>
  <r>
    <s v="stage_reached_350 (App)"/>
    <x v="1"/>
    <x v="28"/>
    <d v="2025-07-18T00:00:00"/>
    <x v="87"/>
    <s v="꿀딴지"/>
    <n v="772"/>
  </r>
  <r>
    <s v="stage_reached_350 (App)"/>
    <x v="1"/>
    <x v="28"/>
    <d v="2025-07-17T00:00:00"/>
    <x v="87"/>
    <s v="에오메르"/>
    <n v="732"/>
  </r>
  <r>
    <s v="stage_reached_350 (App)"/>
    <x v="5"/>
    <x v="28"/>
    <d v="2025-07-16T00:00:00"/>
    <x v="222"/>
    <s v="닝기밍"/>
    <n v="631"/>
  </r>
  <r>
    <s v="stage_reached_350 (App)"/>
    <x v="3"/>
    <x v="28"/>
    <d v="2025-07-16T00:00:00"/>
    <x v="87"/>
    <s v="kreams"/>
    <n v="627"/>
  </r>
  <r>
    <s v="stage_reached_350 (App)"/>
    <x v="3"/>
    <x v="29"/>
    <d v="2025-07-17T00:00:00"/>
    <x v="223"/>
    <s v="노기"/>
    <n v="784"/>
  </r>
  <r>
    <s v="stage_reached_350 (App)"/>
    <x v="11"/>
    <x v="29"/>
    <d v="2025-07-16T00:00:00"/>
    <x v="173"/>
    <s v="인덕원사거리"/>
    <n v="721"/>
  </r>
  <r>
    <s v="stage_reached_350 (App)"/>
    <x v="12"/>
    <x v="29"/>
    <d v="2025-07-16T00:00:00"/>
    <x v="78"/>
    <s v="이유따위"/>
    <n v="756"/>
  </r>
  <r>
    <s v="stage_reached_350 (App)"/>
    <x v="1"/>
    <x v="29"/>
    <d v="2025-07-16T00:00:00"/>
    <x v="86"/>
    <s v="kuwoo"/>
    <n v="704"/>
  </r>
  <r>
    <s v="stage_reached_350 (App)"/>
    <x v="10"/>
    <x v="30"/>
    <d v="2024-11-29T00:00:00"/>
    <x v="173"/>
    <s v="찌부"/>
    <n v="1381"/>
  </r>
  <r>
    <s v="Event Category,"/>
    <x v="24"/>
    <x v="31"/>
    <s v="install_day"/>
    <x v="224"/>
    <s v="user_name"/>
    <s v="user_rank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s v="stage_reached_450 (App)"/>
    <x v="0"/>
    <x v="0"/>
    <d v="2025-08-01T00:00:00"/>
    <x v="0"/>
    <s v="소담소민"/>
    <n v="42"/>
  </r>
  <r>
    <s v="stage_reached_450 (App)"/>
    <x v="1"/>
    <x v="1"/>
    <d v="2025-08-03T00:00:00"/>
    <x v="1"/>
    <s v="오디나무"/>
    <n v="50"/>
  </r>
  <r>
    <s v="stage_reached_450 (App)"/>
    <x v="2"/>
    <x v="1"/>
    <d v="2025-07-27T00:00:00"/>
    <x v="2"/>
    <s v="A파도"/>
    <n v="30"/>
  </r>
  <r>
    <s v="stage_reached_450 (App)"/>
    <x v="1"/>
    <x v="2"/>
    <d v="2025-08-04T00:00:00"/>
    <x v="3"/>
    <s v="조승연"/>
    <n v="57"/>
  </r>
  <r>
    <s v="stage_reached_450 (App)"/>
    <x v="3"/>
    <x v="3"/>
    <d v="2025-07-27T00:00:00"/>
    <x v="4"/>
    <s v="오랑케"/>
    <n v="41"/>
  </r>
  <r>
    <s v="stage_reached_450 (App)"/>
    <x v="3"/>
    <x v="4"/>
    <d v="2025-07-30T00:00:00"/>
    <x v="5"/>
    <s v="이야이"/>
    <n v="47"/>
  </r>
  <r>
    <s v="stage_reached_450 (App)"/>
    <x v="0"/>
    <x v="4"/>
    <d v="2025-07-27T00:00:00"/>
    <x v="6"/>
    <s v="집안구석"/>
    <n v="41"/>
  </r>
  <r>
    <s v="stage_reached_450 (App)"/>
    <x v="1"/>
    <x v="5"/>
    <d v="2025-08-04T00:00:00"/>
    <x v="7"/>
    <s v="금재곱"/>
    <n v="92"/>
  </r>
  <r>
    <s v="stage_reached_450 (App)"/>
    <x v="0"/>
    <x v="6"/>
    <d v="2025-07-29T00:00:00"/>
    <x v="8"/>
    <s v="둥근해"/>
    <n v="58"/>
  </r>
  <r>
    <s v="stage_reached_450 (App)"/>
    <x v="1"/>
    <x v="6"/>
    <d v="2025-07-22T00:00:00"/>
    <x v="9"/>
    <s v="킴혀노"/>
    <n v="34"/>
  </r>
  <r>
    <s v="stage_reached_450 (App)"/>
    <x v="2"/>
    <x v="6"/>
    <d v="2025-07-18T00:00:00"/>
    <x v="10"/>
    <s v="개근남"/>
    <n v="27"/>
  </r>
  <r>
    <s v="stage_reached_450 (App)"/>
    <x v="4"/>
    <x v="7"/>
    <d v="2025-07-19T00:00:00"/>
    <x v="11"/>
    <s v="신펜"/>
    <n v="28"/>
  </r>
  <r>
    <s v="stage_reached_450 (App)"/>
    <x v="5"/>
    <x v="7"/>
    <d v="2025-07-19T00:00:00"/>
    <x v="12"/>
    <s v="태풍표류기"/>
    <n v="28"/>
  </r>
  <r>
    <s v="stage_reached_450 (App)"/>
    <x v="5"/>
    <x v="8"/>
    <d v="2025-07-31T00:00:00"/>
    <x v="13"/>
    <s v="옥지의빵빵이"/>
    <n v="78"/>
  </r>
  <r>
    <s v="stage_reached_450 (App)"/>
    <x v="6"/>
    <x v="8"/>
    <d v="2025-07-30T00:00:00"/>
    <x v="14"/>
    <s v="코리아se스머신"/>
    <n v="69"/>
  </r>
  <r>
    <s v="stage_reached_450 (App)"/>
    <x v="2"/>
    <x v="8"/>
    <d v="2025-07-22T00:00:00"/>
    <x v="15"/>
    <s v="여름이니까"/>
    <n v="47"/>
  </r>
  <r>
    <s v="stage_reached_450 (App)"/>
    <x v="6"/>
    <x v="8"/>
    <d v="2025-07-20T00:00:00"/>
    <x v="15"/>
    <s v="GC"/>
    <n v="44"/>
  </r>
  <r>
    <s v="stage_reached_450 (App)"/>
    <x v="5"/>
    <x v="8"/>
    <d v="2025-07-18T00:00:00"/>
    <x v="16"/>
    <s v="절대무적"/>
    <n v="32"/>
  </r>
  <r>
    <s v="stage_reached_450 (App)"/>
    <x v="7"/>
    <x v="8"/>
    <d v="2025-07-19T00:00:00"/>
    <x v="17"/>
    <s v="껸네"/>
    <n v="32"/>
  </r>
  <r>
    <s v="stage_reached_450 (App)"/>
    <x v="1"/>
    <x v="8"/>
    <d v="2025-07-16T00:00:00"/>
    <x v="18"/>
    <s v="김승원"/>
    <n v="27"/>
  </r>
  <r>
    <s v="stage_reached_450 (App)"/>
    <x v="1"/>
    <x v="8"/>
    <d v="2025-07-16T00:00:00"/>
    <x v="19"/>
    <s v="넌누구니"/>
    <n v="24"/>
  </r>
  <r>
    <s v="stage_reached_450 (App)"/>
    <x v="2"/>
    <x v="9"/>
    <d v="2025-07-29T00:00:00"/>
    <x v="20"/>
    <s v="일해라정차장"/>
    <n v="89"/>
  </r>
  <r>
    <s v="stage_reached_450 (App)"/>
    <x v="2"/>
    <x v="9"/>
    <d v="2025-07-26T00:00:00"/>
    <x v="21"/>
    <s v="그루터기"/>
    <n v="59"/>
  </r>
  <r>
    <s v="stage_reached_450 (App)"/>
    <x v="7"/>
    <x v="9"/>
    <d v="2025-07-19T00:00:00"/>
    <x v="22"/>
    <s v="사랑잉"/>
    <n v="37"/>
  </r>
  <r>
    <s v="stage_reached_450 (App)"/>
    <x v="1"/>
    <x v="9"/>
    <d v="2025-07-17T00:00:00"/>
    <x v="13"/>
    <s v="틸라스"/>
    <n v="28"/>
  </r>
  <r>
    <s v="stage_reached_450 (App)"/>
    <x v="7"/>
    <x v="10"/>
    <d v="2025-07-27T00:00:00"/>
    <x v="23"/>
    <s v="줏태"/>
    <n v="65"/>
  </r>
  <r>
    <s v="stage_reached_450 (App)"/>
    <x v="1"/>
    <x v="10"/>
    <d v="2025-07-23T00:00:00"/>
    <x v="24"/>
    <s v="국뿅"/>
    <n v="52"/>
  </r>
  <r>
    <s v="stage_reached_450 (App)"/>
    <x v="5"/>
    <x v="10"/>
    <d v="2025-07-21T00:00:00"/>
    <x v="25"/>
    <s v="베노미"/>
    <n v="44"/>
  </r>
  <r>
    <s v="stage_reached_450 (App)"/>
    <x v="1"/>
    <x v="10"/>
    <d v="2025-07-19T00:00:00"/>
    <x v="26"/>
    <s v="대명"/>
    <n v="38"/>
  </r>
  <r>
    <s v="stage_reached_450 (App)"/>
    <x v="1"/>
    <x v="11"/>
    <d v="2025-07-18T00:00:00"/>
    <x v="27"/>
    <s v="태백"/>
    <n v="43"/>
  </r>
  <r>
    <s v="stage_reached_450 (App)"/>
    <x v="8"/>
    <x v="11"/>
    <d v="2025-07-19T00:00:00"/>
    <x v="28"/>
    <s v="쟁요"/>
    <n v="41"/>
  </r>
  <r>
    <s v="stage_reached_450 (App)"/>
    <x v="2"/>
    <x v="12"/>
    <d v="2025-07-28T00:00:00"/>
    <x v="29"/>
    <s v="진우서우"/>
    <n v="81"/>
  </r>
  <r>
    <s v="stage_reached_450 (App)"/>
    <x v="0"/>
    <x v="12"/>
    <d v="2025-07-24T00:00:00"/>
    <x v="30"/>
    <s v="백진"/>
    <n v="73"/>
  </r>
  <r>
    <s v="stage_reached_450 (App)"/>
    <x v="2"/>
    <x v="12"/>
    <d v="2025-07-20T00:00:00"/>
    <x v="31"/>
    <s v="헤롱이"/>
    <n v="48"/>
  </r>
  <r>
    <s v="stage_reached_450 (App)"/>
    <x v="6"/>
    <x v="12"/>
    <d v="2025-07-16T00:00:00"/>
    <x v="32"/>
    <s v="만마앙복"/>
    <n v="38"/>
  </r>
  <r>
    <s v="stage_reached_450 (App)"/>
    <x v="5"/>
    <x v="13"/>
    <d v="2025-07-22T00:00:00"/>
    <x v="33"/>
    <s v="곰표"/>
    <n v="84"/>
  </r>
  <r>
    <s v="stage_reached_450 (App)"/>
    <x v="9"/>
    <x v="13"/>
    <d v="2025-07-23T00:00:00"/>
    <x v="34"/>
    <s v="쿠쿵"/>
    <n v="61"/>
  </r>
  <r>
    <s v="stage_reached_450 (App)"/>
    <x v="1"/>
    <x v="13"/>
    <d v="2025-07-18T00:00:00"/>
    <x v="35"/>
    <s v="유태"/>
    <n v="44"/>
  </r>
  <r>
    <s v="stage_reached_450 (App)"/>
    <x v="1"/>
    <x v="13"/>
    <d v="2025-07-17T00:00:00"/>
    <x v="36"/>
    <s v="은월랑"/>
    <n v="38"/>
  </r>
  <r>
    <s v="stage_reached_450 (App)"/>
    <x v="7"/>
    <x v="13"/>
    <d v="2025-07-17T00:00:00"/>
    <x v="37"/>
    <s v="디우"/>
    <n v="39"/>
  </r>
  <r>
    <s v="stage_reached_450 (App)"/>
    <x v="1"/>
    <x v="14"/>
    <d v="2025-07-27T00:00:00"/>
    <x v="38"/>
    <s v="허어어니"/>
    <n v="83"/>
  </r>
  <r>
    <s v="stage_reached_450 (App)"/>
    <x v="2"/>
    <x v="14"/>
    <d v="2025-07-19T00:00:00"/>
    <x v="39"/>
    <s v="쉬밤꺼"/>
    <n v="55"/>
  </r>
  <r>
    <s v="stage_reached_450 (App)"/>
    <x v="5"/>
    <x v="15"/>
    <d v="2025-07-21T00:00:00"/>
    <x v="40"/>
    <s v="미율"/>
    <n v="66"/>
  </r>
  <r>
    <s v="stage_reached_450 (App)"/>
    <x v="10"/>
    <x v="15"/>
    <d v="2025-07-22T00:00:00"/>
    <x v="41"/>
    <s v="두율대디"/>
    <n v="63"/>
  </r>
  <r>
    <s v="stage_reached_450 (App)"/>
    <x v="5"/>
    <x v="15"/>
    <d v="2025-07-18T00:00:00"/>
    <x v="42"/>
    <s v="줸줸"/>
    <n v="52"/>
  </r>
  <r>
    <s v="stage_reached_450 (App)"/>
    <x v="2"/>
    <x v="15"/>
    <d v="2025-07-17T00:00:00"/>
    <x v="43"/>
    <s v="황장우"/>
    <n v="48"/>
  </r>
  <r>
    <s v="stage_reached_450 (App)"/>
    <x v="7"/>
    <x v="16"/>
    <d v="2025-07-20T00:00:00"/>
    <x v="44"/>
    <s v="광따"/>
    <n v="60"/>
  </r>
  <r>
    <s v="stage_reached_450 (App)"/>
    <x v="5"/>
    <x v="16"/>
    <d v="2025-07-18T00:00:00"/>
    <x v="45"/>
    <s v="심대표"/>
    <n v="55"/>
  </r>
  <r>
    <s v="stage_reached_450 (App)"/>
    <x v="11"/>
    <x v="17"/>
    <d v="2025-07-21T00:00:00"/>
    <x v="43"/>
    <s v="콩쥐"/>
    <n v="72"/>
  </r>
  <r>
    <s v="stage_reached_450 (App)"/>
    <x v="4"/>
    <x v="17"/>
    <d v="2025-07-17T00:00:00"/>
    <x v="46"/>
    <s v="한국완주"/>
    <n v="56"/>
  </r>
  <r>
    <s v="stage_reached_450 (App)"/>
    <x v="1"/>
    <x v="18"/>
    <d v="2025-07-22T00:00:00"/>
    <x v="47"/>
    <s v="누나좋아"/>
    <n v="91"/>
  </r>
  <r>
    <s v="stage_reached_450 (App)"/>
    <x v="1"/>
    <x v="18"/>
    <d v="2025-07-21T00:00:00"/>
    <x v="48"/>
    <s v="조노비"/>
    <n v="79"/>
  </r>
  <r>
    <s v="stage_reached_450 (App)"/>
    <x v="6"/>
    <x v="18"/>
    <d v="2025-07-19T00:00:00"/>
    <x v="49"/>
    <s v="태연이"/>
    <n v="72"/>
  </r>
  <r>
    <s v="stage_reached_450 (App)"/>
    <x v="7"/>
    <x v="18"/>
    <d v="2025-07-17T00:00:00"/>
    <x v="50"/>
    <s v="국산뽀또"/>
    <n v="63"/>
  </r>
  <r>
    <s v="stage_reached_450 (App)"/>
    <x v="5"/>
    <x v="19"/>
    <d v="2025-07-20T00:00:00"/>
    <x v="27"/>
    <s v="짭서스"/>
    <n v="82"/>
  </r>
  <r>
    <s v="stage_reached_450 (App)"/>
    <x v="1"/>
    <x v="19"/>
    <d v="2025-07-18T00:00:00"/>
    <x v="51"/>
    <s v="일주일만"/>
    <n v="71"/>
  </r>
  <r>
    <s v="stage_reached_450 (App)"/>
    <x v="6"/>
    <x v="19"/>
    <d v="2025-07-17T00:00:00"/>
    <x v="52"/>
    <s v="난중일기"/>
    <n v="67"/>
  </r>
  <r>
    <s v="stage_reached_450 (App)"/>
    <x v="12"/>
    <x v="20"/>
    <d v="2025-07-18T00:00:00"/>
    <x v="53"/>
    <s v="딱쎄"/>
    <n v="81"/>
  </r>
  <r>
    <s v="stage_reached_450 (App)"/>
    <x v="6"/>
    <x v="20"/>
    <d v="2025-07-19T00:00:00"/>
    <x v="54"/>
    <s v="비스트롱"/>
    <n v="76"/>
  </r>
  <r>
    <s v="stage_reached_450 (App)"/>
    <x v="6"/>
    <x v="20"/>
    <d v="2025-07-15T00:00:00"/>
    <x v="55"/>
    <s v="마캔"/>
    <n v="69"/>
  </r>
  <r>
    <s v="stage_reached_450 (App)"/>
    <x v="0"/>
    <x v="21"/>
    <d v="2025-07-15T00:00:00"/>
    <x v="56"/>
    <s v="아마테라스"/>
    <n v="75"/>
  </r>
  <r>
    <s v="stage_reached_450 (App)"/>
    <x v="0"/>
    <x v="22"/>
    <d v="2025-07-18T00:00:00"/>
    <x v="57"/>
    <s v="아즈"/>
    <n v="82"/>
  </r>
  <r>
    <s v="stage_reached_450 (App)"/>
    <x v="6"/>
    <x v="23"/>
    <d v="2025-06-20T00:00:00"/>
    <x v="58"/>
    <s v="하늘영"/>
    <n v="711"/>
  </r>
  <r>
    <s v="stage_reached_450 (App)"/>
    <x v="1"/>
    <x v="24"/>
    <d v="2024-11-27T00:00:00"/>
    <x v="59"/>
    <s v="싸늘한이버"/>
    <n v="712"/>
  </r>
  <r>
    <s v="stage_reached_450 (App)"/>
    <x v="0"/>
    <x v="25"/>
    <d v="2025-02-17T00:00:00"/>
    <x v="60"/>
    <s v="하다온"/>
    <n v="7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277A1-F52B-47C6-8D68-DCE8BC83C07D}" name="피벗 테이블7" cacheId="5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B40" firstHeaderRow="1" firstDataRow="1" firstDataCol="1"/>
  <pivotFields count="7">
    <pivotField showAll="0"/>
    <pivotField showAll="0"/>
    <pivotField axis="axisRow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dataField="1" showAll="0">
      <items count="190">
        <item x="120"/>
        <item x="186"/>
        <item x="119"/>
        <item x="47"/>
        <item x="161"/>
        <item x="185"/>
        <item x="160"/>
        <item x="118"/>
        <item x="175"/>
        <item x="89"/>
        <item x="144"/>
        <item x="143"/>
        <item x="107"/>
        <item x="106"/>
        <item x="142"/>
        <item x="169"/>
        <item x="141"/>
        <item x="184"/>
        <item x="159"/>
        <item x="174"/>
        <item x="105"/>
        <item x="140"/>
        <item x="104"/>
        <item x="139"/>
        <item x="138"/>
        <item x="137"/>
        <item x="103"/>
        <item x="158"/>
        <item x="102"/>
        <item x="173"/>
        <item x="168"/>
        <item x="167"/>
        <item x="136"/>
        <item x="135"/>
        <item x="101"/>
        <item x="134"/>
        <item x="180"/>
        <item x="133"/>
        <item x="132"/>
        <item x="166"/>
        <item x="100"/>
        <item x="117"/>
        <item x="88"/>
        <item x="74"/>
        <item x="157"/>
        <item x="99"/>
        <item x="116"/>
        <item x="182"/>
        <item x="156"/>
        <item x="155"/>
        <item x="131"/>
        <item x="172"/>
        <item x="98"/>
        <item x="115"/>
        <item x="114"/>
        <item x="130"/>
        <item x="97"/>
        <item x="113"/>
        <item x="154"/>
        <item x="153"/>
        <item x="165"/>
        <item x="152"/>
        <item x="151"/>
        <item x="171"/>
        <item x="87"/>
        <item x="41"/>
        <item x="129"/>
        <item x="183"/>
        <item x="128"/>
        <item x="127"/>
        <item x="164"/>
        <item x="112"/>
        <item x="150"/>
        <item x="73"/>
        <item x="126"/>
        <item x="86"/>
        <item x="46"/>
        <item x="31"/>
        <item x="59"/>
        <item x="40"/>
        <item x="85"/>
        <item x="96"/>
        <item x="84"/>
        <item x="125"/>
        <item x="179"/>
        <item x="111"/>
        <item x="163"/>
        <item x="95"/>
        <item x="58"/>
        <item x="72"/>
        <item x="178"/>
        <item x="124"/>
        <item x="123"/>
        <item x="57"/>
        <item x="149"/>
        <item x="83"/>
        <item x="45"/>
        <item x="148"/>
        <item x="177"/>
        <item x="71"/>
        <item x="110"/>
        <item x="181"/>
        <item x="56"/>
        <item x="44"/>
        <item x="82"/>
        <item x="39"/>
        <item x="70"/>
        <item x="69"/>
        <item x="68"/>
        <item x="147"/>
        <item x="94"/>
        <item x="93"/>
        <item x="92"/>
        <item x="162"/>
        <item x="55"/>
        <item x="67"/>
        <item x="66"/>
        <item x="65"/>
        <item x="54"/>
        <item x="38"/>
        <item x="30"/>
        <item x="81"/>
        <item x="64"/>
        <item x="80"/>
        <item x="79"/>
        <item x="63"/>
        <item x="37"/>
        <item x="122"/>
        <item x="78"/>
        <item x="53"/>
        <item x="21"/>
        <item x="29"/>
        <item x="77"/>
        <item x="170"/>
        <item x="36"/>
        <item x="146"/>
        <item x="28"/>
        <item x="109"/>
        <item x="145"/>
        <item x="108"/>
        <item x="52"/>
        <item x="20"/>
        <item x="35"/>
        <item x="11"/>
        <item x="19"/>
        <item x="18"/>
        <item x="27"/>
        <item x="121"/>
        <item x="91"/>
        <item x="26"/>
        <item x="43"/>
        <item x="76"/>
        <item x="25"/>
        <item x="13"/>
        <item x="17"/>
        <item x="34"/>
        <item x="10"/>
        <item x="75"/>
        <item x="62"/>
        <item x="24"/>
        <item x="16"/>
        <item x="61"/>
        <item x="33"/>
        <item x="176"/>
        <item x="15"/>
        <item x="60"/>
        <item x="9"/>
        <item x="51"/>
        <item x="23"/>
        <item x="32"/>
        <item x="8"/>
        <item x="7"/>
        <item x="187"/>
        <item x="50"/>
        <item x="49"/>
        <item x="42"/>
        <item x="14"/>
        <item x="48"/>
        <item x="0"/>
        <item x="6"/>
        <item x="2"/>
        <item x="5"/>
        <item x="12"/>
        <item x="1"/>
        <item x="4"/>
        <item x="90"/>
        <item x="22"/>
        <item x="3"/>
        <item x="188"/>
        <item t="default"/>
      </items>
    </pivotField>
    <pivotField showAll="0">
      <items count="1338">
        <item x="397"/>
        <item x="1314"/>
        <item x="341"/>
        <item x="1121"/>
        <item x="38"/>
        <item x="813"/>
        <item x="1094"/>
        <item x="129"/>
        <item x="1148"/>
        <item x="1172"/>
        <item x="480"/>
        <item x="404"/>
        <item x="1029"/>
        <item x="627"/>
        <item x="470"/>
        <item x="814"/>
        <item x="847"/>
        <item x="1333"/>
        <item x="452"/>
        <item x="784"/>
        <item x="542"/>
        <item x="16"/>
        <item x="936"/>
        <item x="815"/>
        <item x="605"/>
        <item x="600"/>
        <item x="1328"/>
        <item x="87"/>
        <item x="159"/>
        <item x="501"/>
        <item x="241"/>
        <item x="524"/>
        <item x="873"/>
        <item x="155"/>
        <item x="516"/>
        <item x="1067"/>
        <item x="219"/>
        <item x="942"/>
        <item x="1119"/>
        <item x="151"/>
        <item x="598"/>
        <item x="729"/>
        <item x="278"/>
        <item x="785"/>
        <item x="338"/>
        <item x="1260"/>
        <item x="214"/>
        <item x="1154"/>
        <item x="215"/>
        <item x="1042"/>
        <item x="1287"/>
        <item x="646"/>
        <item x="569"/>
        <item x="1282"/>
        <item x="322"/>
        <item x="1186"/>
        <item x="1290"/>
        <item x="387"/>
        <item x="1307"/>
        <item x="122"/>
        <item x="1106"/>
        <item x="599"/>
        <item x="669"/>
        <item x="903"/>
        <item x="1251"/>
        <item x="728"/>
        <item x="433"/>
        <item x="1245"/>
        <item x="909"/>
        <item x="994"/>
        <item x="953"/>
        <item x="367"/>
        <item x="720"/>
        <item x="239"/>
        <item x="290"/>
        <item x="885"/>
        <item x="965"/>
        <item x="463"/>
        <item x="787"/>
        <item x="437"/>
        <item x="727"/>
        <item x="1308"/>
        <item x="820"/>
        <item x="89"/>
        <item x="921"/>
        <item x="1294"/>
        <item x="1005"/>
        <item x="138"/>
        <item x="75"/>
        <item x="1117"/>
        <item x="323"/>
        <item x="1306"/>
        <item x="708"/>
        <item x="1215"/>
        <item x="410"/>
        <item x="628"/>
        <item x="413"/>
        <item x="176"/>
        <item x="821"/>
        <item x="277"/>
        <item x="698"/>
        <item x="1302"/>
        <item x="1241"/>
        <item x="52"/>
        <item x="518"/>
        <item x="1237"/>
        <item x="737"/>
        <item x="500"/>
        <item x="651"/>
        <item x="882"/>
        <item x="1020"/>
        <item x="67"/>
        <item x="222"/>
        <item x="1068"/>
        <item x="248"/>
        <item x="1170"/>
        <item x="71"/>
        <item x="1205"/>
        <item x="754"/>
        <item x="189"/>
        <item x="1074"/>
        <item x="970"/>
        <item x="1142"/>
        <item x="902"/>
        <item x="778"/>
        <item x="1028"/>
        <item x="1161"/>
        <item x="442"/>
        <item x="203"/>
        <item x="1007"/>
        <item x="48"/>
        <item x="216"/>
        <item x="666"/>
        <item x="201"/>
        <item x="88"/>
        <item x="510"/>
        <item x="817"/>
        <item x="324"/>
        <item x="777"/>
        <item x="134"/>
        <item x="1336"/>
        <item x="370"/>
        <item x="874"/>
        <item x="567"/>
        <item x="32"/>
        <item x="1056"/>
        <item x="1244"/>
        <item x="375"/>
        <item x="13"/>
        <item x="1200"/>
        <item x="681"/>
        <item x="697"/>
        <item x="1313"/>
        <item x="105"/>
        <item x="43"/>
        <item x="1102"/>
        <item x="245"/>
        <item x="457"/>
        <item x="157"/>
        <item x="249"/>
        <item x="424"/>
        <item x="967"/>
        <item x="1043"/>
        <item x="898"/>
        <item x="959"/>
        <item x="704"/>
        <item x="310"/>
        <item x="1152"/>
        <item x="782"/>
        <item x="560"/>
        <item x="513"/>
        <item x="1300"/>
        <item x="951"/>
        <item x="687"/>
        <item x="308"/>
        <item x="188"/>
        <item x="30"/>
        <item x="1190"/>
        <item x="490"/>
        <item x="262"/>
        <item x="643"/>
        <item x="1051"/>
        <item x="928"/>
        <item x="175"/>
        <item x="629"/>
        <item x="736"/>
        <item x="677"/>
        <item x="1041"/>
        <item x="225"/>
        <item x="809"/>
        <item x="34"/>
        <item x="1193"/>
        <item x="743"/>
        <item x="269"/>
        <item x="1162"/>
        <item x="1289"/>
        <item x="572"/>
        <item x="449"/>
        <item x="858"/>
        <item x="1248"/>
        <item x="514"/>
        <item x="979"/>
        <item x="360"/>
        <item x="641"/>
        <item x="1269"/>
        <item x="475"/>
        <item x="487"/>
        <item x="235"/>
        <item x="187"/>
        <item x="1165"/>
        <item x="143"/>
        <item x="1004"/>
        <item x="512"/>
        <item x="173"/>
        <item x="321"/>
        <item x="652"/>
        <item x="960"/>
        <item x="1006"/>
        <item x="259"/>
        <item x="111"/>
        <item x="992"/>
        <item x="421"/>
        <item x="35"/>
        <item x="862"/>
        <item x="49"/>
        <item x="591"/>
        <item x="77"/>
        <item x="550"/>
        <item x="680"/>
        <item x="554"/>
        <item x="393"/>
        <item x="883"/>
        <item x="1270"/>
        <item x="205"/>
        <item x="168"/>
        <item x="280"/>
        <item x="1246"/>
        <item x="1070"/>
        <item x="828"/>
        <item x="389"/>
        <item x="146"/>
        <item x="947"/>
        <item x="417"/>
        <item x="46"/>
        <item x="571"/>
        <item x="1199"/>
        <item x="1147"/>
        <item x="1000"/>
        <item x="4"/>
        <item x="657"/>
        <item x="365"/>
        <item x="585"/>
        <item x="164"/>
        <item x="448"/>
        <item x="974"/>
        <item x="836"/>
        <item x="549"/>
        <item x="144"/>
        <item x="648"/>
        <item x="1182"/>
        <item x="822"/>
        <item x="28"/>
        <item x="805"/>
        <item x="723"/>
        <item x="783"/>
        <item x="141"/>
        <item x="347"/>
        <item x="258"/>
        <item x="684"/>
        <item x="740"/>
        <item x="1016"/>
        <item x="1124"/>
        <item x="574"/>
        <item x="794"/>
        <item x="72"/>
        <item x="635"/>
        <item x="1262"/>
        <item x="180"/>
        <item x="120"/>
        <item x="1229"/>
        <item x="842"/>
        <item x="631"/>
        <item x="1002"/>
        <item x="1109"/>
        <item x="588"/>
        <item x="156"/>
        <item x="1312"/>
        <item x="562"/>
        <item x="726"/>
        <item x="172"/>
        <item x="613"/>
        <item x="270"/>
        <item x="1054"/>
        <item x="788"/>
        <item x="326"/>
        <item x="833"/>
        <item x="94"/>
        <item x="428"/>
        <item x="107"/>
        <item x="1011"/>
        <item x="1180"/>
        <item x="557"/>
        <item x="800"/>
        <item x="1023"/>
        <item x="466"/>
        <item x="1037"/>
        <item x="790"/>
        <item x="282"/>
        <item x="901"/>
        <item x="1034"/>
        <item x="1271"/>
        <item x="1123"/>
        <item x="843"/>
        <item x="283"/>
        <item x="319"/>
        <item x="925"/>
        <item x="962"/>
        <item x="185"/>
        <item x="547"/>
        <item x="320"/>
        <item x="394"/>
        <item x="852"/>
        <item x="1288"/>
        <item x="739"/>
        <item x="799"/>
        <item x="780"/>
        <item x="1045"/>
        <item x="573"/>
        <item x="910"/>
        <item x="476"/>
        <item x="776"/>
        <item x="797"/>
        <item x="170"/>
        <item x="725"/>
        <item x="445"/>
        <item x="64"/>
        <item x="11"/>
        <item x="502"/>
        <item x="1090"/>
        <item x="864"/>
        <item x="839"/>
        <item x="841"/>
        <item x="924"/>
        <item x="558"/>
        <item x="418"/>
        <item x="171"/>
        <item x="870"/>
        <item x="1179"/>
        <item x="1201"/>
        <item x="1202"/>
        <item x="986"/>
        <item x="899"/>
        <item x="981"/>
        <item x="260"/>
        <item x="760"/>
        <item x="1140"/>
        <item x="149"/>
        <item x="66"/>
        <item x="304"/>
        <item x="108"/>
        <item x="388"/>
        <item x="1048"/>
        <item x="1189"/>
        <item x="237"/>
        <item x="359"/>
        <item x="376"/>
        <item x="1238"/>
        <item x="1130"/>
        <item x="971"/>
        <item x="1120"/>
        <item x="335"/>
        <item x="701"/>
        <item x="896"/>
        <item x="637"/>
        <item x="401"/>
        <item x="597"/>
        <item x="581"/>
        <item x="904"/>
        <item x="724"/>
        <item x="1096"/>
        <item x="440"/>
        <item x="1243"/>
        <item x="978"/>
        <item x="493"/>
        <item x="961"/>
        <item x="835"/>
        <item x="1017"/>
        <item x="358"/>
        <item x="1329"/>
        <item x="610"/>
        <item x="327"/>
        <item x="892"/>
        <item x="499"/>
        <item x="369"/>
        <item x="1039"/>
        <item x="311"/>
        <item x="65"/>
        <item x="929"/>
        <item x="716"/>
        <item x="47"/>
        <item x="337"/>
        <item x="1304"/>
        <item x="1107"/>
        <item x="771"/>
        <item x="1057"/>
        <item x="40"/>
        <item x="462"/>
        <item x="27"/>
        <item x="868"/>
        <item x="430"/>
        <item x="845"/>
        <item x="328"/>
        <item x="454"/>
        <item x="1159"/>
        <item x="114"/>
        <item x="473"/>
        <item x="861"/>
        <item x="210"/>
        <item x="897"/>
        <item x="1033"/>
        <item x="1212"/>
        <item x="853"/>
        <item x="1127"/>
        <item x="706"/>
        <item x="1087"/>
        <item x="990"/>
        <item x="779"/>
        <item x="68"/>
        <item x="987"/>
        <item x="735"/>
        <item x="419"/>
        <item x="995"/>
        <item x="104"/>
        <item x="396"/>
        <item x="830"/>
        <item x="810"/>
        <item x="1047"/>
        <item x="650"/>
        <item x="450"/>
        <item x="366"/>
        <item x="53"/>
        <item x="827"/>
        <item x="802"/>
        <item x="1235"/>
        <item x="166"/>
        <item x="663"/>
        <item x="983"/>
        <item x="291"/>
        <item x="876"/>
        <item x="479"/>
        <item x="395"/>
        <item x="2"/>
        <item x="1194"/>
        <item x="721"/>
        <item x="752"/>
        <item x="926"/>
        <item x="509"/>
        <item x="768"/>
        <item x="1178"/>
        <item x="973"/>
        <item x="1050"/>
        <item x="999"/>
        <item x="1111"/>
        <item x="231"/>
        <item x="1097"/>
        <item x="194"/>
        <item x="703"/>
        <item x="209"/>
        <item x="1137"/>
        <item x="1219"/>
        <item x="1168"/>
        <item x="102"/>
        <item x="543"/>
        <item x="888"/>
        <item x="1301"/>
        <item x="228"/>
        <item x="786"/>
        <item x="1216"/>
        <item x="133"/>
        <item x="796"/>
        <item x="829"/>
        <item x="816"/>
        <item x="1134"/>
        <item x="12"/>
        <item x="570"/>
        <item x="351"/>
        <item x="1317"/>
        <item x="993"/>
        <item x="732"/>
        <item x="950"/>
        <item x="530"/>
        <item x="1091"/>
        <item x="196"/>
        <item x="100"/>
        <item x="619"/>
        <item x="857"/>
        <item x="44"/>
        <item x="195"/>
        <item x="1150"/>
        <item x="931"/>
        <item x="908"/>
        <item x="165"/>
        <item x="355"/>
        <item x="42"/>
        <item x="517"/>
        <item x="906"/>
        <item x="446"/>
        <item x="140"/>
        <item x="940"/>
        <item x="757"/>
        <item x="840"/>
        <item x="1232"/>
        <item x="478"/>
        <item x="647"/>
        <item x="639"/>
        <item x="207"/>
        <item x="792"/>
        <item x="1171"/>
        <item x="682"/>
        <item x="1013"/>
        <item x="139"/>
        <item x="431"/>
        <item x="213"/>
        <item x="1122"/>
        <item x="1298"/>
        <item x="1064"/>
        <item x="208"/>
        <item x="427"/>
        <item x="593"/>
        <item x="299"/>
        <item x="875"/>
        <item x="1330"/>
        <item x="1257"/>
        <item x="124"/>
        <item x="1088"/>
        <item x="1191"/>
        <item x="464"/>
        <item x="1203"/>
        <item x="242"/>
        <item x="667"/>
        <item x="982"/>
        <item x="1139"/>
        <item x="773"/>
        <item x="1281"/>
        <item x="497"/>
        <item x="267"/>
        <item x="82"/>
        <item x="356"/>
        <item x="1114"/>
        <item x="575"/>
        <item x="183"/>
        <item x="18"/>
        <item x="594"/>
        <item x="288"/>
        <item x="932"/>
        <item x="121"/>
        <item x="1331"/>
        <item x="1082"/>
        <item x="623"/>
        <item x="1053"/>
        <item x="229"/>
        <item x="1092"/>
        <item x="305"/>
        <item x="1040"/>
        <item x="334"/>
        <item x="759"/>
        <item x="886"/>
        <item x="576"/>
        <item x="948"/>
        <item x="1297"/>
        <item x="606"/>
        <item x="217"/>
        <item x="935"/>
        <item x="1052"/>
        <item x="420"/>
        <item x="658"/>
        <item x="887"/>
        <item x="1076"/>
        <item x="50"/>
        <item x="851"/>
        <item x="190"/>
        <item x="916"/>
        <item x="832"/>
        <item x="1157"/>
        <item x="1275"/>
        <item x="911"/>
        <item x="315"/>
        <item x="964"/>
        <item x="268"/>
        <item x="244"/>
        <item x="891"/>
        <item x="566"/>
        <item x="115"/>
        <item x="831"/>
        <item x="590"/>
        <item x="690"/>
        <item x="113"/>
        <item x="329"/>
        <item x="889"/>
        <item x="895"/>
        <item x="850"/>
        <item x="1138"/>
        <item x="1079"/>
        <item x="644"/>
        <item x="1009"/>
        <item x="734"/>
        <item x="484"/>
        <item x="17"/>
        <item x="1210"/>
        <item x="1063"/>
        <item x="307"/>
        <item x="402"/>
        <item x="844"/>
        <item x="145"/>
        <item x="1320"/>
        <item x="1112"/>
        <item x="503"/>
        <item x="1065"/>
        <item x="112"/>
        <item x="624"/>
        <item x="103"/>
        <item x="722"/>
        <item x="182"/>
        <item x="1046"/>
        <item x="1254"/>
        <item x="63"/>
        <item x="158"/>
        <item x="400"/>
        <item x="1276"/>
        <item x="538"/>
        <item x="1115"/>
        <item x="642"/>
        <item x="1225"/>
        <item x="167"/>
        <item x="546"/>
        <item x="1323"/>
        <item x="1156"/>
        <item x="683"/>
        <item x="717"/>
        <item x="1149"/>
        <item x="1100"/>
        <item x="243"/>
        <item x="379"/>
        <item x="1008"/>
        <item x="238"/>
        <item x="227"/>
        <item x="469"/>
        <item x="694"/>
        <item x="403"/>
        <item x="675"/>
        <item x="506"/>
        <item x="177"/>
        <item x="377"/>
        <item x="565"/>
        <item x="274"/>
        <item x="583"/>
        <item x="662"/>
        <item x="492"/>
        <item x="1223"/>
        <item x="616"/>
        <item x="527"/>
        <item x="941"/>
        <item x="426"/>
        <item x="301"/>
        <item x="1332"/>
        <item x="1167"/>
        <item x="24"/>
        <item x="97"/>
        <item x="57"/>
        <item x="306"/>
        <item x="1032"/>
        <item x="233"/>
        <item x="1166"/>
        <item x="528"/>
        <item x="488"/>
        <item x="1310"/>
        <item x="811"/>
        <item x="271"/>
        <item x="357"/>
        <item x="966"/>
        <item x="618"/>
        <item x="664"/>
        <item x="130"/>
        <item x="561"/>
        <item x="988"/>
        <item x="1233"/>
        <item x="975"/>
        <item x="161"/>
        <item x="90"/>
        <item x="640"/>
        <item x="1024"/>
        <item x="247"/>
        <item x="80"/>
        <item x="540"/>
        <item x="1175"/>
        <item x="83"/>
        <item x="435"/>
        <item x="135"/>
        <item x="1277"/>
        <item x="436"/>
        <item x="765"/>
        <item x="1327"/>
        <item x="1099"/>
        <item x="250"/>
        <item x="414"/>
        <item x="348"/>
        <item x="345"/>
        <item x="976"/>
        <item x="3"/>
        <item x="671"/>
        <item x="191"/>
        <item x="1274"/>
        <item x="45"/>
        <item x="412"/>
        <item x="58"/>
        <item x="795"/>
        <item x="150"/>
        <item x="556"/>
        <item x="702"/>
        <item x="791"/>
        <item x="1145"/>
        <item x="1224"/>
        <item x="939"/>
        <item x="1153"/>
        <item x="443"/>
        <item x="339"/>
        <item x="715"/>
        <item x="1266"/>
        <item x="1278"/>
        <item x="539"/>
        <item x="866"/>
        <item x="521"/>
        <item x="37"/>
        <item x="317"/>
        <item x="626"/>
        <item x="154"/>
        <item x="1073"/>
        <item x="586"/>
        <item x="1012"/>
        <item x="1236"/>
        <item x="392"/>
        <item x="611"/>
        <item x="1"/>
        <item x="384"/>
        <item x="1093"/>
        <item x="78"/>
        <item x="298"/>
        <item x="748"/>
        <item x="922"/>
        <item x="432"/>
        <item x="1030"/>
        <item x="246"/>
        <item x="789"/>
        <item x="380"/>
        <item x="1125"/>
        <item x="292"/>
        <item x="775"/>
        <item x="200"/>
        <item x="1253"/>
        <item x="354"/>
        <item x="74"/>
        <item x="855"/>
        <item x="318"/>
        <item x="342"/>
        <item x="147"/>
        <item x="969"/>
        <item x="894"/>
        <item x="1293"/>
        <item x="19"/>
        <item x="1144"/>
        <item x="276"/>
        <item x="769"/>
        <item x="54"/>
        <item x="693"/>
        <item x="535"/>
        <item x="0"/>
        <item x="660"/>
        <item x="659"/>
        <item x="255"/>
        <item x="555"/>
        <item x="1252"/>
        <item x="920"/>
        <item x="86"/>
        <item x="481"/>
        <item x="678"/>
        <item x="1279"/>
        <item x="956"/>
        <item x="589"/>
        <item x="679"/>
        <item x="409"/>
        <item x="212"/>
        <item x="399"/>
        <item x="456"/>
        <item x="1084"/>
        <item x="900"/>
        <item x="483"/>
        <item x="1055"/>
        <item x="1283"/>
        <item x="859"/>
        <item x="890"/>
        <item x="1081"/>
        <item x="553"/>
        <item x="226"/>
        <item x="1136"/>
        <item x="1226"/>
        <item x="955"/>
        <item x="620"/>
        <item x="136"/>
        <item x="807"/>
        <item x="498"/>
        <item x="439"/>
        <item x="162"/>
        <item x="1014"/>
        <item x="615"/>
        <item x="314"/>
        <item x="568"/>
        <item x="781"/>
        <item x="1207"/>
        <item x="264"/>
        <item x="91"/>
        <item x="1022"/>
        <item x="1230"/>
        <item x="665"/>
        <item x="977"/>
        <item x="202"/>
        <item x="352"/>
        <item x="398"/>
        <item x="531"/>
        <item x="148"/>
        <item x="770"/>
        <item x="1261"/>
        <item x="963"/>
        <item x="856"/>
        <item x="1177"/>
        <item x="653"/>
        <item x="622"/>
        <item x="199"/>
        <item x="630"/>
        <item x="551"/>
        <item x="825"/>
        <item x="252"/>
        <item x="126"/>
        <item x="881"/>
        <item x="943"/>
        <item x="1324"/>
        <item x="577"/>
        <item x="1118"/>
        <item x="526"/>
        <item x="41"/>
        <item x="945"/>
        <item x="696"/>
        <item x="758"/>
        <item x="193"/>
        <item x="458"/>
        <item x="8"/>
        <item x="742"/>
        <item x="99"/>
        <item x="297"/>
        <item x="1086"/>
        <item x="602"/>
        <item x="537"/>
        <item x="118"/>
        <item x="838"/>
        <item x="9"/>
        <item x="174"/>
        <item x="689"/>
        <item x="221"/>
        <item x="455"/>
        <item x="818"/>
        <item x="1075"/>
        <item x="236"/>
        <item x="153"/>
        <item x="1268"/>
        <item x="1083"/>
        <item x="548"/>
        <item x="59"/>
        <item x="762"/>
        <item x="1104"/>
        <item x="415"/>
        <item x="730"/>
        <item x="525"/>
        <item x="51"/>
        <item x="863"/>
        <item x="918"/>
        <item x="60"/>
        <item x="741"/>
        <item x="952"/>
        <item x="1163"/>
        <item x="604"/>
        <item x="1098"/>
        <item x="880"/>
        <item x="15"/>
        <item x="709"/>
        <item x="923"/>
        <item x="871"/>
        <item x="251"/>
        <item x="467"/>
        <item x="654"/>
        <item x="408"/>
        <item x="1311"/>
        <item x="474"/>
        <item x="1195"/>
        <item x="132"/>
        <item x="98"/>
        <item x="81"/>
        <item x="1231"/>
        <item x="1291"/>
        <item x="823"/>
        <item x="1247"/>
        <item x="938"/>
        <item x="1326"/>
        <item x="564"/>
        <item x="275"/>
        <item x="587"/>
        <item x="240"/>
        <item x="710"/>
        <item x="1019"/>
        <item x="325"/>
        <item x="294"/>
        <item x="1021"/>
        <item x="691"/>
        <item x="865"/>
        <item x="533"/>
        <item x="1263"/>
        <item x="1103"/>
        <item x="1108"/>
        <item x="860"/>
        <item x="854"/>
        <item x="119"/>
        <item x="917"/>
        <item x="257"/>
        <item x="1256"/>
        <item x="1025"/>
        <item x="661"/>
        <item x="1185"/>
        <item x="1299"/>
        <item x="254"/>
        <item x="406"/>
        <item x="1196"/>
        <item x="750"/>
        <item x="192"/>
        <item x="10"/>
        <item x="1296"/>
        <item x="423"/>
        <item x="1126"/>
        <item x="1173"/>
        <item x="1187"/>
        <item x="1292"/>
        <item x="405"/>
        <item x="272"/>
        <item x="263"/>
        <item x="385"/>
        <item x="1213"/>
        <item x="1031"/>
        <item x="1101"/>
        <item x="1217"/>
        <item x="915"/>
        <item x="25"/>
        <item x="289"/>
        <item x="181"/>
        <item x="31"/>
        <item x="142"/>
        <item x="471"/>
        <item x="884"/>
        <item x="234"/>
        <item x="186"/>
        <item x="985"/>
        <item x="1077"/>
        <item x="934"/>
        <item x="1184"/>
        <item x="601"/>
        <item x="1010"/>
        <item x="1239"/>
        <item x="1265"/>
        <item x="1061"/>
        <item x="93"/>
        <item x="438"/>
        <item x="333"/>
        <item x="685"/>
        <item x="441"/>
        <item x="350"/>
        <item x="705"/>
        <item x="826"/>
        <item x="580"/>
        <item x="668"/>
        <item x="869"/>
        <item x="374"/>
        <item x="1335"/>
        <item x="273"/>
        <item x="714"/>
        <item x="692"/>
        <item x="515"/>
        <item x="927"/>
        <item x="340"/>
        <item x="313"/>
        <item x="309"/>
        <item x="563"/>
        <item x="1026"/>
        <item x="1192"/>
        <item x="459"/>
        <item x="849"/>
        <item x="361"/>
        <item x="69"/>
        <item x="362"/>
        <item x="806"/>
        <item x="29"/>
        <item x="998"/>
        <item x="949"/>
        <item x="1322"/>
        <item x="893"/>
        <item x="477"/>
        <item x="14"/>
        <item x="33"/>
        <item x="1116"/>
        <item x="649"/>
        <item x="223"/>
        <item x="101"/>
        <item x="163"/>
        <item x="733"/>
        <item x="676"/>
        <item x="1027"/>
        <item x="110"/>
        <item x="824"/>
        <item x="204"/>
        <item x="523"/>
        <item x="1249"/>
        <item x="206"/>
        <item x="907"/>
        <item x="1174"/>
        <item x="152"/>
        <item x="1325"/>
        <item x="625"/>
        <item x="958"/>
        <item x="913"/>
        <item x="1280"/>
        <item x="984"/>
        <item x="529"/>
        <item x="848"/>
        <item x="707"/>
        <item x="5"/>
        <item x="1258"/>
        <item x="434"/>
        <item x="719"/>
        <item x="545"/>
        <item x="1160"/>
        <item x="989"/>
        <item x="265"/>
        <item x="933"/>
        <item x="451"/>
        <item x="92"/>
        <item x="1132"/>
        <item x="84"/>
        <item x="1069"/>
        <item x="803"/>
        <item x="505"/>
        <item x="23"/>
        <item x="300"/>
        <item x="131"/>
        <item x="767"/>
        <item x="21"/>
        <item x="532"/>
        <item x="22"/>
        <item x="621"/>
        <item x="699"/>
        <item x="468"/>
        <item x="1318"/>
        <item x="592"/>
        <item x="1214"/>
        <item x="656"/>
        <item x="996"/>
        <item x="1204"/>
        <item x="285"/>
        <item x="968"/>
        <item x="1264"/>
        <item x="1113"/>
        <item x="834"/>
        <item x="1135"/>
        <item x="751"/>
        <item x="261"/>
        <item x="1206"/>
        <item x="793"/>
        <item x="1176"/>
        <item x="1255"/>
        <item x="584"/>
        <item x="1015"/>
        <item x="386"/>
        <item x="1183"/>
        <item x="76"/>
        <item x="1062"/>
        <item x="123"/>
        <item x="579"/>
        <item x="117"/>
        <item x="1018"/>
        <item x="980"/>
        <item x="1072"/>
        <item x="578"/>
        <item x="26"/>
        <item x="1036"/>
        <item x="633"/>
        <item x="179"/>
        <item x="957"/>
        <item x="1319"/>
        <item x="1110"/>
        <item x="95"/>
        <item x="879"/>
        <item x="1133"/>
        <item x="296"/>
        <item x="293"/>
        <item x="6"/>
        <item x="1321"/>
        <item x="672"/>
        <item x="655"/>
        <item x="460"/>
        <item x="914"/>
        <item x="991"/>
        <item x="485"/>
        <item x="373"/>
        <item x="61"/>
        <item x="1250"/>
        <item x="353"/>
        <item x="1089"/>
        <item x="507"/>
        <item x="286"/>
        <item x="747"/>
        <item x="363"/>
        <item x="1146"/>
        <item x="912"/>
        <item x="266"/>
        <item x="1059"/>
        <item x="764"/>
        <item x="508"/>
        <item x="55"/>
        <item x="1234"/>
        <item x="1197"/>
        <item x="749"/>
        <item x="20"/>
        <item x="846"/>
        <item x="536"/>
        <item x="972"/>
        <item x="997"/>
        <item x="36"/>
        <item x="383"/>
        <item x="178"/>
        <item x="1309"/>
        <item x="211"/>
        <item x="745"/>
        <item x="1169"/>
        <item x="1198"/>
        <item x="798"/>
        <item x="1129"/>
        <item x="1316"/>
        <item x="673"/>
        <item x="712"/>
        <item x="1286"/>
        <item x="425"/>
        <item x="368"/>
        <item x="954"/>
        <item x="700"/>
        <item x="636"/>
        <item x="711"/>
        <item x="1001"/>
        <item x="731"/>
        <item x="1049"/>
        <item x="1155"/>
        <item x="1003"/>
        <item x="422"/>
        <item x="632"/>
        <item x="220"/>
        <item x="453"/>
        <item x="85"/>
        <item x="7"/>
        <item x="332"/>
        <item x="429"/>
        <item x="1060"/>
        <item x="1305"/>
        <item x="1131"/>
        <item x="519"/>
        <item x="1285"/>
        <item x="1273"/>
        <item x="1222"/>
        <item x="295"/>
        <item x="596"/>
        <item x="1044"/>
        <item x="944"/>
        <item x="1221"/>
        <item x="1181"/>
        <item x="930"/>
        <item x="713"/>
        <item x="1315"/>
        <item x="344"/>
        <item x="670"/>
        <item x="1095"/>
        <item x="1071"/>
        <item x="336"/>
        <item x="465"/>
        <item x="224"/>
        <item x="522"/>
        <item x="1078"/>
        <item x="390"/>
        <item x="645"/>
        <item x="302"/>
        <item x="198"/>
        <item x="614"/>
        <item x="582"/>
        <item x="686"/>
        <item x="372"/>
        <item x="559"/>
        <item x="39"/>
        <item x="1080"/>
        <item x="612"/>
        <item x="1220"/>
        <item x="638"/>
        <item x="804"/>
        <item x="819"/>
        <item x="331"/>
        <item x="919"/>
        <item x="96"/>
        <item x="1128"/>
        <item x="1188"/>
        <item x="486"/>
        <item x="753"/>
        <item x="253"/>
        <item x="511"/>
        <item x="1208"/>
        <item x="1164"/>
        <item x="774"/>
        <item x="1143"/>
        <item x="688"/>
        <item x="70"/>
        <item x="343"/>
        <item x="284"/>
        <item x="197"/>
        <item x="232"/>
        <item x="544"/>
        <item x="801"/>
        <item x="1284"/>
        <item x="127"/>
        <item x="1267"/>
        <item x="763"/>
        <item x="184"/>
        <item x="812"/>
        <item x="609"/>
        <item x="867"/>
        <item x="837"/>
        <item x="496"/>
        <item x="1038"/>
        <item x="755"/>
        <item x="444"/>
        <item x="1259"/>
        <item x="1105"/>
        <item x="744"/>
        <item x="73"/>
        <item x="520"/>
        <item x="603"/>
        <item x="1211"/>
        <item x="1066"/>
        <item x="407"/>
        <item x="349"/>
        <item x="381"/>
        <item x="1272"/>
        <item x="595"/>
        <item x="330"/>
        <item x="617"/>
        <item x="230"/>
        <item x="738"/>
        <item x="137"/>
        <item x="1141"/>
        <item x="256"/>
        <item x="79"/>
        <item x="552"/>
        <item x="391"/>
        <item x="674"/>
        <item x="695"/>
        <item x="447"/>
        <item x="772"/>
        <item x="62"/>
        <item x="116"/>
        <item x="608"/>
        <item x="905"/>
        <item x="312"/>
        <item x="106"/>
        <item x="491"/>
        <item x="534"/>
        <item x="160"/>
        <item x="1085"/>
        <item x="128"/>
        <item x="287"/>
        <item x="872"/>
        <item x="303"/>
        <item x="411"/>
        <item x="1058"/>
        <item x="718"/>
        <item x="607"/>
        <item x="1303"/>
        <item x="169"/>
        <item x="808"/>
        <item x="489"/>
        <item x="1228"/>
        <item x="1035"/>
        <item x="878"/>
        <item x="416"/>
        <item x="495"/>
        <item x="634"/>
        <item x="382"/>
        <item x="461"/>
        <item x="761"/>
        <item x="1240"/>
        <item x="1218"/>
        <item x="766"/>
        <item x="1158"/>
        <item x="504"/>
        <item x="756"/>
        <item x="482"/>
        <item x="109"/>
        <item x="378"/>
        <item x="279"/>
        <item x="1227"/>
        <item x="937"/>
        <item x="946"/>
        <item x="316"/>
        <item x="364"/>
        <item x="1209"/>
        <item x="1242"/>
        <item x="281"/>
        <item x="346"/>
        <item x="1334"/>
        <item x="494"/>
        <item x="877"/>
        <item x="56"/>
        <item x="1151"/>
        <item x="746"/>
        <item x="218"/>
        <item x="1295"/>
        <item x="125"/>
        <item x="472"/>
        <item x="541"/>
        <item x="371"/>
        <item t="default"/>
      </items>
    </pivotField>
    <pivotField showAll="0"/>
  </pivotFields>
  <rowFields count="1">
    <field x="2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개수 : 605000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54854-8755-49D4-A062-DA237F037083}" name="피벗 테이블12" cacheId="5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Q5:U195" firstHeaderRow="0" firstDataRow="1" firstDataCol="1"/>
  <pivotFields count="7">
    <pivotField showAll="0"/>
    <pivotField showAll="0"/>
    <pivotField dataField="1" showAll="0"/>
    <pivotField showAll="0"/>
    <pivotField axis="axisRow" dataField="1" showAll="0">
      <items count="190">
        <item x="120"/>
        <item x="186"/>
        <item x="119"/>
        <item x="47"/>
        <item x="161"/>
        <item x="185"/>
        <item x="160"/>
        <item x="118"/>
        <item x="175"/>
        <item x="89"/>
        <item x="144"/>
        <item x="143"/>
        <item x="107"/>
        <item x="106"/>
        <item x="142"/>
        <item x="169"/>
        <item x="141"/>
        <item x="184"/>
        <item x="159"/>
        <item x="174"/>
        <item x="105"/>
        <item x="140"/>
        <item x="104"/>
        <item x="139"/>
        <item x="138"/>
        <item x="137"/>
        <item x="103"/>
        <item x="158"/>
        <item x="102"/>
        <item x="173"/>
        <item x="168"/>
        <item x="167"/>
        <item x="136"/>
        <item x="135"/>
        <item x="101"/>
        <item x="134"/>
        <item x="180"/>
        <item x="133"/>
        <item x="132"/>
        <item x="166"/>
        <item x="100"/>
        <item x="117"/>
        <item x="88"/>
        <item x="74"/>
        <item x="157"/>
        <item x="99"/>
        <item x="116"/>
        <item x="182"/>
        <item x="156"/>
        <item x="155"/>
        <item x="131"/>
        <item x="172"/>
        <item x="98"/>
        <item x="115"/>
        <item x="114"/>
        <item x="130"/>
        <item x="97"/>
        <item x="113"/>
        <item x="154"/>
        <item x="153"/>
        <item x="165"/>
        <item x="152"/>
        <item x="151"/>
        <item x="171"/>
        <item x="87"/>
        <item x="41"/>
        <item x="129"/>
        <item x="183"/>
        <item x="128"/>
        <item x="127"/>
        <item x="164"/>
        <item x="112"/>
        <item x="150"/>
        <item x="73"/>
        <item x="126"/>
        <item x="86"/>
        <item x="46"/>
        <item x="31"/>
        <item x="59"/>
        <item x="40"/>
        <item x="85"/>
        <item x="96"/>
        <item x="84"/>
        <item x="125"/>
        <item x="179"/>
        <item x="111"/>
        <item x="163"/>
        <item x="95"/>
        <item x="58"/>
        <item x="72"/>
        <item x="178"/>
        <item x="124"/>
        <item x="123"/>
        <item x="57"/>
        <item x="149"/>
        <item x="83"/>
        <item x="45"/>
        <item x="148"/>
        <item x="177"/>
        <item x="71"/>
        <item x="110"/>
        <item x="181"/>
        <item x="56"/>
        <item x="44"/>
        <item x="82"/>
        <item x="39"/>
        <item x="70"/>
        <item x="69"/>
        <item x="68"/>
        <item x="147"/>
        <item x="94"/>
        <item x="93"/>
        <item x="92"/>
        <item x="162"/>
        <item x="55"/>
        <item x="67"/>
        <item x="66"/>
        <item x="65"/>
        <item x="54"/>
        <item x="38"/>
        <item x="30"/>
        <item x="81"/>
        <item x="64"/>
        <item x="80"/>
        <item x="79"/>
        <item x="63"/>
        <item x="37"/>
        <item x="122"/>
        <item x="78"/>
        <item x="53"/>
        <item x="21"/>
        <item x="29"/>
        <item x="77"/>
        <item x="170"/>
        <item x="36"/>
        <item x="146"/>
        <item x="28"/>
        <item x="109"/>
        <item x="145"/>
        <item x="108"/>
        <item x="52"/>
        <item x="20"/>
        <item x="35"/>
        <item x="11"/>
        <item x="19"/>
        <item x="18"/>
        <item x="27"/>
        <item x="121"/>
        <item x="91"/>
        <item x="26"/>
        <item x="43"/>
        <item x="76"/>
        <item x="25"/>
        <item x="13"/>
        <item x="17"/>
        <item x="34"/>
        <item x="10"/>
        <item x="75"/>
        <item x="62"/>
        <item x="24"/>
        <item x="16"/>
        <item x="61"/>
        <item x="33"/>
        <item x="176"/>
        <item x="15"/>
        <item x="60"/>
        <item x="9"/>
        <item x="51"/>
        <item x="23"/>
        <item x="32"/>
        <item x="8"/>
        <item x="7"/>
        <item x="187"/>
        <item x="50"/>
        <item x="49"/>
        <item x="42"/>
        <item x="14"/>
        <item x="48"/>
        <item x="0"/>
        <item x="6"/>
        <item x="2"/>
        <item x="5"/>
        <item x="12"/>
        <item x="1"/>
        <item x="4"/>
        <item x="90"/>
        <item x="22"/>
        <item x="3"/>
        <item x="188"/>
        <item t="default"/>
      </items>
    </pivotField>
    <pivotField showAll="0"/>
    <pivotField showAll="0"/>
  </pivotFields>
  <rowFields count="1">
    <field x="4"/>
  </rowFields>
  <rowItems count="1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605000" fld="4" baseField="4" baseItem="0"/>
    <dataField name="평균 : 605000_2" fld="4" subtotal="average" baseField="4" baseItem="0"/>
    <dataField name="개수 : 605000_3" fld="4" subtotal="count" baseField="0" baseItem="0"/>
    <dataField name="평균 : 2" fld="2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98A469-76BC-4066-97AB-5B9791EE3FF9}" name="피벗 테이블24" cacheId="4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P2:T28" firstHeaderRow="0" firstDataRow="1" firstDataCol="1"/>
  <pivotFields count="7">
    <pivotField showAll="0"/>
    <pivotField axis="axisRow" showAll="0">
      <items count="26">
        <item x="18"/>
        <item x="9"/>
        <item x="10"/>
        <item x="14"/>
        <item x="19"/>
        <item x="23"/>
        <item x="22"/>
        <item x="20"/>
        <item x="7"/>
        <item x="15"/>
        <item x="17"/>
        <item x="8"/>
        <item x="16"/>
        <item x="21"/>
        <item x="3"/>
        <item x="4"/>
        <item x="13"/>
        <item x="1"/>
        <item x="6"/>
        <item x="12"/>
        <item x="11"/>
        <item x="2"/>
        <item x="0"/>
        <item x="5"/>
        <item x="24"/>
        <item t="default"/>
      </items>
    </pivotField>
    <pivotField dataField="1" showAll="0"/>
    <pivotField showAll="0"/>
    <pivotField dataField="1" showAll="0"/>
    <pivotField showAll="0"/>
    <pivotField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770000_2" fld="4" baseField="1" baseItem="0"/>
    <dataField name="평균 : 770000" fld="4" subtotal="average" baseField="1" baseItem="0"/>
    <dataField name="개수 : 770000" fld="4" subtotal="count" baseField="0" baseItem="0"/>
    <dataField name="평균 : 3" fld="2" subtotal="average" baseField="1" baseItem="0"/>
  </dataFields>
  <formats count="2">
    <format dxfId="0">
      <pivotArea collapsedLevelsAreSubtotals="1" fieldPosition="0">
        <references count="2">
          <reference field="4294967294" count="1" selected="0">
            <x v="1"/>
          </reference>
          <reference field="1" count="1">
            <x v="23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1"/>
          </reference>
          <reference field="1" count="2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65D5FC-5BB0-46F5-AE33-BB717A971ABD}" name="피벗 테이블13" cacheId="4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P2:T140" firstHeaderRow="0" firstDataRow="1" firstDataCol="1"/>
  <pivotFields count="7">
    <pivotField showAll="0"/>
    <pivotField showAll="0">
      <items count="19">
        <item x="5"/>
        <item x="9"/>
        <item x="14"/>
        <item x="11"/>
        <item x="13"/>
        <item x="4"/>
        <item x="17"/>
        <item x="15"/>
        <item x="0"/>
        <item x="1"/>
        <item x="7"/>
        <item x="10"/>
        <item x="16"/>
        <item x="8"/>
        <item x="3"/>
        <item x="6"/>
        <item x="2"/>
        <item x="12"/>
        <item t="default"/>
      </items>
    </pivotField>
    <pivotField dataField="1" showAll="0"/>
    <pivotField numFmtId="14" showAll="0"/>
    <pivotField axis="axisRow" dataField="1" showAll="0">
      <items count="138">
        <item x="24"/>
        <item x="33"/>
        <item x="124"/>
        <item x="62"/>
        <item x="27"/>
        <item x="91"/>
        <item x="79"/>
        <item x="9"/>
        <item x="2"/>
        <item x="34"/>
        <item x="7"/>
        <item x="10"/>
        <item x="13"/>
        <item x="47"/>
        <item x="18"/>
        <item x="16"/>
        <item x="85"/>
        <item x="17"/>
        <item x="0"/>
        <item x="66"/>
        <item x="15"/>
        <item x="21"/>
        <item x="25"/>
        <item x="4"/>
        <item x="31"/>
        <item x="96"/>
        <item x="30"/>
        <item x="72"/>
        <item x="128"/>
        <item x="45"/>
        <item x="58"/>
        <item x="55"/>
        <item x="20"/>
        <item x="8"/>
        <item x="29"/>
        <item x="52"/>
        <item x="53"/>
        <item x="78"/>
        <item x="92"/>
        <item x="39"/>
        <item x="80"/>
        <item x="68"/>
        <item x="1"/>
        <item x="88"/>
        <item x="69"/>
        <item x="11"/>
        <item x="28"/>
        <item x="110"/>
        <item x="54"/>
        <item x="49"/>
        <item x="104"/>
        <item x="51"/>
        <item x="57"/>
        <item x="64"/>
        <item x="12"/>
        <item x="22"/>
        <item x="120"/>
        <item x="60"/>
        <item x="117"/>
        <item x="61"/>
        <item x="82"/>
        <item x="70"/>
        <item x="97"/>
        <item x="74"/>
        <item x="56"/>
        <item x="3"/>
        <item x="44"/>
        <item x="67"/>
        <item x="90"/>
        <item x="122"/>
        <item x="109"/>
        <item x="83"/>
        <item x="94"/>
        <item x="41"/>
        <item x="50"/>
        <item x="108"/>
        <item x="37"/>
        <item x="127"/>
        <item x="105"/>
        <item x="63"/>
        <item x="131"/>
        <item x="113"/>
        <item x="106"/>
        <item x="99"/>
        <item x="73"/>
        <item x="46"/>
        <item x="89"/>
        <item x="32"/>
        <item x="38"/>
        <item x="23"/>
        <item x="65"/>
        <item x="116"/>
        <item x="84"/>
        <item x="111"/>
        <item x="102"/>
        <item x="125"/>
        <item x="115"/>
        <item x="100"/>
        <item x="95"/>
        <item x="87"/>
        <item x="119"/>
        <item x="123"/>
        <item x="42"/>
        <item x="114"/>
        <item x="121"/>
        <item x="14"/>
        <item x="103"/>
        <item x="81"/>
        <item x="76"/>
        <item x="5"/>
        <item x="35"/>
        <item x="75"/>
        <item x="135"/>
        <item x="112"/>
        <item x="43"/>
        <item x="93"/>
        <item x="59"/>
        <item x="36"/>
        <item x="130"/>
        <item x="19"/>
        <item x="26"/>
        <item x="40"/>
        <item x="77"/>
        <item x="48"/>
        <item x="86"/>
        <item x="132"/>
        <item x="134"/>
        <item x="6"/>
        <item x="71"/>
        <item x="118"/>
        <item x="129"/>
        <item x="101"/>
        <item x="107"/>
        <item x="126"/>
        <item x="98"/>
        <item x="133"/>
        <item x="136"/>
        <item t="default"/>
      </items>
    </pivotField>
    <pivotField dataField="1" showAll="0"/>
    <pivotField showAll="0"/>
  </pivotFields>
  <rowFields count="1">
    <field x="4"/>
  </rowFields>
  <rowItems count="1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537900" fld="4" baseField="0" baseItem="0"/>
    <dataField name="평균 : 537900_2" fld="4" subtotal="average" baseField="1" baseItem="1"/>
    <dataField name="개수 : zenz" fld="5" subtotal="count" baseField="0" baseItem="0"/>
    <dataField name="평균 : 13" fld="2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B96829-1D8B-422C-8724-2C91F85670FC}" name="피벗 테이블19" cacheId="5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P2:T64" firstHeaderRow="0" firstDataRow="1" firstDataCol="1"/>
  <pivotFields count="7">
    <pivotField showAll="0"/>
    <pivotField showAll="0">
      <items count="14">
        <item x="12"/>
        <item x="10"/>
        <item x="9"/>
        <item x="8"/>
        <item x="7"/>
        <item x="4"/>
        <item x="5"/>
        <item x="11"/>
        <item x="3"/>
        <item x="6"/>
        <item x="2"/>
        <item x="1"/>
        <item x="0"/>
        <item t="default"/>
      </items>
    </pivotField>
    <pivotField dataField="1" showAll="0"/>
    <pivotField numFmtId="14" showAll="0"/>
    <pivotField axis="axisRow" dataField="1" showAll="0">
      <items count="62">
        <item x="60"/>
        <item x="59"/>
        <item x="58"/>
        <item x="54"/>
        <item x="52"/>
        <item x="55"/>
        <item x="57"/>
        <item x="50"/>
        <item x="53"/>
        <item x="32"/>
        <item x="48"/>
        <item x="45"/>
        <item x="42"/>
        <item x="23"/>
        <item x="44"/>
        <item x="43"/>
        <item x="40"/>
        <item x="51"/>
        <item x="24"/>
        <item x="38"/>
        <item x="28"/>
        <item x="41"/>
        <item x="26"/>
        <item x="37"/>
        <item x="34"/>
        <item x="33"/>
        <item x="49"/>
        <item x="16"/>
        <item x="30"/>
        <item x="20"/>
        <item x="27"/>
        <item x="29"/>
        <item x="18"/>
        <item x="15"/>
        <item x="31"/>
        <item x="10"/>
        <item x="11"/>
        <item x="25"/>
        <item x="14"/>
        <item x="22"/>
        <item x="12"/>
        <item x="21"/>
        <item x="5"/>
        <item x="19"/>
        <item x="47"/>
        <item x="35"/>
        <item x="17"/>
        <item x="46"/>
        <item x="9"/>
        <item x="13"/>
        <item x="6"/>
        <item x="4"/>
        <item x="3"/>
        <item x="8"/>
        <item x="39"/>
        <item x="36"/>
        <item x="7"/>
        <item x="1"/>
        <item x="56"/>
        <item x="2"/>
        <item x="0"/>
        <item t="default"/>
      </items>
    </pivotField>
    <pivotField showAll="0"/>
    <pivotField showAll="0"/>
  </pivotFields>
  <rowFields count="1">
    <field x="4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1657700_3" fld="4" baseField="4" baseItem="0"/>
    <dataField name="평균 : 1657700_2" fld="4" subtotal="average" baseField="4" baseItem="0"/>
    <dataField name="개수 : 1657700" fld="4" subtotal="count" baseField="4" baseItem="0"/>
    <dataField name="평균 : 4" fld="2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2C2B8-099C-436F-A55B-C74A152AF286}">
  <dimension ref="A1:K30"/>
  <sheetViews>
    <sheetView workbookViewId="0">
      <selection activeCell="F23" sqref="F23"/>
    </sheetView>
  </sheetViews>
  <sheetFormatPr defaultRowHeight="16.5" x14ac:dyDescent="0.3"/>
  <cols>
    <col min="1" max="1" width="11.125" bestFit="1" customWidth="1"/>
    <col min="2" max="2" width="15.5" bestFit="1" customWidth="1"/>
    <col min="7" max="7" width="15.5" bestFit="1" customWidth="1"/>
  </cols>
  <sheetData>
    <row r="1" spans="1:11" x14ac:dyDescent="0.3">
      <c r="A1" t="s">
        <v>0</v>
      </c>
      <c r="B1" t="s">
        <v>1</v>
      </c>
    </row>
    <row r="2" spans="1:11" x14ac:dyDescent="0.3">
      <c r="A2" s="1">
        <v>45853</v>
      </c>
      <c r="B2" s="4">
        <v>854700</v>
      </c>
    </row>
    <row r="3" spans="1:11" x14ac:dyDescent="0.3">
      <c r="A3" s="1">
        <v>45854</v>
      </c>
      <c r="B3" s="4">
        <v>3177900</v>
      </c>
    </row>
    <row r="4" spans="1:11" x14ac:dyDescent="0.3">
      <c r="A4" s="1">
        <v>45855</v>
      </c>
      <c r="B4" s="4">
        <v>10807507</v>
      </c>
    </row>
    <row r="5" spans="1:11" x14ac:dyDescent="0.3">
      <c r="A5" s="1">
        <v>45856</v>
      </c>
      <c r="B5" s="4">
        <v>13126300</v>
      </c>
    </row>
    <row r="6" spans="1:11" x14ac:dyDescent="0.3">
      <c r="A6" s="1">
        <v>45857</v>
      </c>
      <c r="B6" s="4">
        <v>18346900</v>
      </c>
    </row>
    <row r="7" spans="1:11" x14ac:dyDescent="0.3">
      <c r="A7" s="1">
        <v>45858</v>
      </c>
      <c r="B7" s="4">
        <v>17067600</v>
      </c>
    </row>
    <row r="8" spans="1:11" x14ac:dyDescent="0.3">
      <c r="A8" s="1">
        <v>45859</v>
      </c>
      <c r="B8" s="4">
        <v>14774100</v>
      </c>
    </row>
    <row r="9" spans="1:11" x14ac:dyDescent="0.3">
      <c r="A9" s="1">
        <v>45860</v>
      </c>
      <c r="B9" s="4">
        <v>16184300</v>
      </c>
      <c r="I9" s="1"/>
      <c r="J9" s="2"/>
    </row>
    <row r="10" spans="1:11" x14ac:dyDescent="0.3">
      <c r="A10" s="1">
        <v>45861</v>
      </c>
      <c r="B10" s="4">
        <v>15142616</v>
      </c>
      <c r="I10" s="1"/>
      <c r="J10" s="1"/>
      <c r="K10" s="2"/>
    </row>
    <row r="11" spans="1:11" x14ac:dyDescent="0.3">
      <c r="A11" s="1">
        <v>45862</v>
      </c>
      <c r="B11" s="4">
        <v>14297800</v>
      </c>
      <c r="I11" s="1"/>
      <c r="J11" s="1"/>
      <c r="K11" s="2"/>
    </row>
    <row r="12" spans="1:11" x14ac:dyDescent="0.3">
      <c r="A12" s="1">
        <v>45863</v>
      </c>
      <c r="B12" s="4">
        <v>14451800</v>
      </c>
      <c r="I12" s="1"/>
      <c r="J12" s="1"/>
      <c r="K12" s="2"/>
    </row>
    <row r="13" spans="1:11" x14ac:dyDescent="0.3">
      <c r="A13" s="1">
        <v>45864</v>
      </c>
      <c r="B13" s="4">
        <v>18903500</v>
      </c>
      <c r="J13" s="1"/>
      <c r="K13" s="2"/>
    </row>
    <row r="14" spans="1:11" x14ac:dyDescent="0.3">
      <c r="A14" s="1">
        <v>45865</v>
      </c>
      <c r="B14" s="4">
        <v>16406500</v>
      </c>
      <c r="J14" s="1"/>
      <c r="K14" s="2"/>
    </row>
    <row r="15" spans="1:11" x14ac:dyDescent="0.3">
      <c r="A15" s="1">
        <v>45866</v>
      </c>
      <c r="B15" s="4">
        <v>14029400</v>
      </c>
      <c r="J15" s="1"/>
      <c r="K15" s="2"/>
    </row>
    <row r="16" spans="1:11" x14ac:dyDescent="0.3">
      <c r="A16" s="1">
        <v>45867</v>
      </c>
      <c r="B16" s="4">
        <v>11873400</v>
      </c>
      <c r="J16" s="1"/>
      <c r="K16" s="2"/>
    </row>
    <row r="17" spans="1:11" x14ac:dyDescent="0.3">
      <c r="A17" s="1">
        <v>45868</v>
      </c>
      <c r="B17" s="4">
        <v>8616300</v>
      </c>
      <c r="J17" s="1"/>
      <c r="K17" s="2"/>
    </row>
    <row r="18" spans="1:11" x14ac:dyDescent="0.3">
      <c r="A18" s="1">
        <v>45869</v>
      </c>
      <c r="B18" s="4">
        <v>9121200</v>
      </c>
      <c r="J18" s="1"/>
      <c r="K18" s="2"/>
    </row>
    <row r="19" spans="1:11" x14ac:dyDescent="0.3">
      <c r="B19" s="4"/>
      <c r="J19" s="1"/>
      <c r="K19" s="2"/>
    </row>
    <row r="20" spans="1:11" x14ac:dyDescent="0.3">
      <c r="B20" s="4"/>
      <c r="J20" s="1"/>
      <c r="K20" s="2"/>
    </row>
    <row r="21" spans="1:11" x14ac:dyDescent="0.3">
      <c r="A21" s="3">
        <v>45870</v>
      </c>
      <c r="B21" s="4">
        <v>13532200</v>
      </c>
      <c r="J21" s="1"/>
      <c r="K21" s="2"/>
    </row>
    <row r="22" spans="1:11" x14ac:dyDescent="0.3">
      <c r="A22" s="3">
        <v>45871</v>
      </c>
      <c r="B22" s="4">
        <v>9675600</v>
      </c>
      <c r="J22" s="1"/>
      <c r="K22" s="2"/>
    </row>
    <row r="23" spans="1:11" x14ac:dyDescent="0.3">
      <c r="A23" s="3">
        <v>45872</v>
      </c>
      <c r="B23" s="4">
        <v>10817400</v>
      </c>
      <c r="J23" s="1"/>
      <c r="K23" s="2"/>
    </row>
    <row r="24" spans="1:11" x14ac:dyDescent="0.3">
      <c r="A24" s="1">
        <v>45873</v>
      </c>
      <c r="B24" s="4">
        <v>10820700</v>
      </c>
      <c r="J24" s="1"/>
      <c r="K24" s="2"/>
    </row>
    <row r="25" spans="1:11" x14ac:dyDescent="0.3">
      <c r="J25" s="1"/>
      <c r="K25" s="2"/>
    </row>
    <row r="26" spans="1:11" x14ac:dyDescent="0.3">
      <c r="J26" s="1"/>
      <c r="K26" s="2"/>
    </row>
    <row r="27" spans="1:11" x14ac:dyDescent="0.3">
      <c r="J27" s="1"/>
      <c r="K27" s="2"/>
    </row>
    <row r="28" spans="1:11" x14ac:dyDescent="0.3">
      <c r="G28" s="2"/>
      <c r="J28" s="1"/>
      <c r="K28" s="2"/>
    </row>
    <row r="29" spans="1:11" x14ac:dyDescent="0.3">
      <c r="J29" s="1"/>
      <c r="K29" s="2"/>
    </row>
    <row r="30" spans="1:11" x14ac:dyDescent="0.3">
      <c r="J30" s="1"/>
      <c r="K30" s="2"/>
    </row>
  </sheetData>
  <sortState xmlns:xlrd2="http://schemas.microsoft.com/office/spreadsheetml/2017/richdata2" ref="A2:B22">
    <sortCondition ref="A2:A22"/>
  </sortState>
  <phoneticPr fontId="1" type="noConversion"/>
  <hyperlinks>
    <hyperlink ref="A23" location="'8월1일'!A221" display="'8월1일'!A221" xr:uid="{6CE5793D-95C8-4568-8E68-9605A478FA52}"/>
    <hyperlink ref="A22" location="'8월2일'!A106" display="'8월2일'!A106" xr:uid="{E3BA06A9-F95D-432A-B35A-127E252EB792}"/>
    <hyperlink ref="A21" location="'8월1일'!A1" display="'8월1일'!A1" xr:uid="{333DA46F-AB42-423E-B37D-733D9A79C9D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2BE10-DC29-4AED-8CA3-7942B4E9D979}">
  <dimension ref="A1:W38"/>
  <sheetViews>
    <sheetView topLeftCell="A4" workbookViewId="0">
      <pane xSplit="1" topLeftCell="B1" activePane="topRight" state="frozen"/>
      <selection pane="topRight" activeCell="Z17" sqref="Z17"/>
    </sheetView>
  </sheetViews>
  <sheetFormatPr defaultRowHeight="16.5" x14ac:dyDescent="0.3"/>
  <cols>
    <col min="1" max="1" width="15.5" bestFit="1" customWidth="1"/>
    <col min="2" max="2" width="13" bestFit="1" customWidth="1"/>
    <col min="3" max="3" width="12" bestFit="1" customWidth="1"/>
    <col min="4" max="4" width="12.875" bestFit="1" customWidth="1"/>
    <col min="5" max="11" width="12" bestFit="1" customWidth="1"/>
    <col min="12" max="12" width="11" bestFit="1" customWidth="1"/>
    <col min="13" max="13" width="11.375" bestFit="1" customWidth="1"/>
    <col min="14" max="14" width="14.375" bestFit="1" customWidth="1"/>
    <col min="15" max="17" width="11.75" bestFit="1" customWidth="1"/>
    <col min="18" max="21" width="10.25" bestFit="1" customWidth="1"/>
  </cols>
  <sheetData>
    <row r="1" spans="1:23" x14ac:dyDescent="0.3">
      <c r="A1" t="s">
        <v>145</v>
      </c>
      <c r="B1">
        <f>SUM(C1:L1)</f>
        <v>9243</v>
      </c>
      <c r="C1">
        <v>1445</v>
      </c>
      <c r="D1">
        <v>1451</v>
      </c>
      <c r="E1">
        <v>968</v>
      </c>
      <c r="F1">
        <v>844</v>
      </c>
      <c r="G1">
        <v>836</v>
      </c>
      <c r="H1">
        <v>767</v>
      </c>
      <c r="I1">
        <v>792</v>
      </c>
      <c r="J1">
        <v>933</v>
      </c>
      <c r="K1">
        <v>899</v>
      </c>
      <c r="L1">
        <v>308</v>
      </c>
    </row>
    <row r="2" spans="1:23" x14ac:dyDescent="0.3">
      <c r="A2" t="s">
        <v>152</v>
      </c>
      <c r="B2" t="s">
        <v>138</v>
      </c>
      <c r="C2" s="5">
        <v>45864</v>
      </c>
      <c r="D2" s="5">
        <v>45865</v>
      </c>
      <c r="E2" s="5">
        <v>45866</v>
      </c>
      <c r="F2" s="5">
        <v>45867</v>
      </c>
      <c r="G2" s="5">
        <v>45868</v>
      </c>
      <c r="H2" s="5">
        <v>45869</v>
      </c>
      <c r="I2" s="5">
        <v>45870</v>
      </c>
      <c r="J2" s="5">
        <v>45871</v>
      </c>
      <c r="K2" s="5">
        <v>45872</v>
      </c>
      <c r="L2" s="2">
        <v>45873</v>
      </c>
      <c r="M2" s="5">
        <v>45874</v>
      </c>
      <c r="N2" s="5">
        <v>45875</v>
      </c>
      <c r="O2" s="5">
        <v>45876</v>
      </c>
      <c r="P2" s="5">
        <v>45877</v>
      </c>
      <c r="Q2" s="5">
        <v>45878</v>
      </c>
      <c r="R2" s="5">
        <v>45879</v>
      </c>
      <c r="S2" s="5">
        <v>45880</v>
      </c>
      <c r="T2" s="5">
        <v>45881</v>
      </c>
    </row>
    <row r="3" spans="1:23" x14ac:dyDescent="0.3">
      <c r="A3" t="s">
        <v>153</v>
      </c>
      <c r="B3" s="4">
        <v>2901</v>
      </c>
      <c r="C3">
        <v>233</v>
      </c>
      <c r="D3">
        <v>235</v>
      </c>
      <c r="E3">
        <v>216</v>
      </c>
      <c r="F3">
        <v>216</v>
      </c>
      <c r="G3">
        <v>198</v>
      </c>
      <c r="H3">
        <v>199</v>
      </c>
      <c r="I3">
        <v>136</v>
      </c>
      <c r="J3">
        <v>154</v>
      </c>
      <c r="K3">
        <v>150</v>
      </c>
      <c r="L3" s="4">
        <v>179</v>
      </c>
      <c r="M3">
        <v>157</v>
      </c>
      <c r="N3">
        <v>151</v>
      </c>
      <c r="O3">
        <v>144</v>
      </c>
      <c r="P3">
        <v>129</v>
      </c>
      <c r="Q3">
        <v>123</v>
      </c>
      <c r="R3">
        <v>107</v>
      </c>
      <c r="S3">
        <v>110</v>
      </c>
      <c r="T3">
        <v>64</v>
      </c>
    </row>
    <row r="4" spans="1:23" x14ac:dyDescent="0.3">
      <c r="A4" t="s">
        <v>154</v>
      </c>
      <c r="B4" s="4">
        <v>2265</v>
      </c>
      <c r="C4">
        <v>109</v>
      </c>
      <c r="D4">
        <v>130</v>
      </c>
      <c r="E4">
        <v>115</v>
      </c>
      <c r="F4">
        <v>148</v>
      </c>
      <c r="G4">
        <v>162</v>
      </c>
      <c r="H4">
        <v>139</v>
      </c>
      <c r="I4">
        <v>144</v>
      </c>
      <c r="J4">
        <v>135</v>
      </c>
      <c r="K4">
        <v>147</v>
      </c>
      <c r="L4" s="4">
        <v>141</v>
      </c>
      <c r="M4">
        <v>142</v>
      </c>
      <c r="N4">
        <v>128</v>
      </c>
      <c r="O4">
        <v>122</v>
      </c>
      <c r="P4">
        <v>105</v>
      </c>
      <c r="Q4">
        <v>121</v>
      </c>
      <c r="R4">
        <v>101</v>
      </c>
      <c r="S4">
        <v>107</v>
      </c>
      <c r="T4">
        <v>69</v>
      </c>
    </row>
    <row r="5" spans="1:23" x14ac:dyDescent="0.3">
      <c r="A5" t="s">
        <v>155</v>
      </c>
      <c r="B5" s="4">
        <v>1006</v>
      </c>
      <c r="C5">
        <v>10</v>
      </c>
      <c r="D5">
        <v>17</v>
      </c>
      <c r="E5">
        <v>27</v>
      </c>
      <c r="F5">
        <v>21</v>
      </c>
      <c r="G5">
        <v>34</v>
      </c>
      <c r="H5">
        <v>35</v>
      </c>
      <c r="I5">
        <v>40</v>
      </c>
      <c r="J5">
        <v>51</v>
      </c>
      <c r="K5">
        <v>61</v>
      </c>
      <c r="L5" s="4">
        <v>64</v>
      </c>
      <c r="M5">
        <v>65</v>
      </c>
      <c r="N5">
        <v>72</v>
      </c>
      <c r="O5">
        <v>83</v>
      </c>
      <c r="P5">
        <v>75</v>
      </c>
      <c r="Q5">
        <v>82</v>
      </c>
      <c r="R5">
        <v>79</v>
      </c>
      <c r="S5">
        <v>124</v>
      </c>
      <c r="T5">
        <v>66</v>
      </c>
    </row>
    <row r="6" spans="1:23" x14ac:dyDescent="0.3">
      <c r="A6" t="s">
        <v>156</v>
      </c>
      <c r="B6">
        <v>413</v>
      </c>
      <c r="C6">
        <v>11</v>
      </c>
      <c r="D6">
        <v>11</v>
      </c>
      <c r="E6">
        <v>13</v>
      </c>
      <c r="F6">
        <v>13</v>
      </c>
      <c r="G6">
        <v>10</v>
      </c>
      <c r="H6">
        <v>10</v>
      </c>
      <c r="I6">
        <v>19</v>
      </c>
      <c r="J6">
        <v>18</v>
      </c>
      <c r="K6">
        <v>14</v>
      </c>
      <c r="L6" s="4">
        <v>29</v>
      </c>
      <c r="M6">
        <v>21</v>
      </c>
      <c r="N6">
        <v>28</v>
      </c>
      <c r="O6">
        <v>27</v>
      </c>
      <c r="P6">
        <v>17</v>
      </c>
      <c r="Q6">
        <v>30</v>
      </c>
      <c r="R6">
        <v>41</v>
      </c>
      <c r="S6">
        <v>61</v>
      </c>
      <c r="T6">
        <v>40</v>
      </c>
    </row>
    <row r="7" spans="1:23" x14ac:dyDescent="0.3">
      <c r="A7" t="s">
        <v>157</v>
      </c>
      <c r="B7">
        <v>128</v>
      </c>
      <c r="C7">
        <v>8</v>
      </c>
      <c r="D7">
        <v>6</v>
      </c>
      <c r="E7">
        <v>5</v>
      </c>
      <c r="F7">
        <v>3</v>
      </c>
      <c r="G7">
        <v>5</v>
      </c>
      <c r="H7">
        <v>6</v>
      </c>
      <c r="I7">
        <v>7</v>
      </c>
      <c r="J7">
        <v>6</v>
      </c>
      <c r="K7">
        <v>4</v>
      </c>
      <c r="L7" s="4">
        <v>7</v>
      </c>
      <c r="M7">
        <v>4</v>
      </c>
      <c r="N7">
        <v>11</v>
      </c>
      <c r="O7">
        <v>5</v>
      </c>
      <c r="P7">
        <v>8</v>
      </c>
      <c r="Q7">
        <v>11</v>
      </c>
      <c r="R7">
        <v>10</v>
      </c>
      <c r="S7">
        <v>14</v>
      </c>
      <c r="T7">
        <v>8</v>
      </c>
    </row>
    <row r="8" spans="1:23" x14ac:dyDescent="0.3">
      <c r="A8" t="s">
        <v>158</v>
      </c>
      <c r="B8">
        <v>55</v>
      </c>
      <c r="C8">
        <v>6</v>
      </c>
      <c r="D8">
        <v>1</v>
      </c>
      <c r="E8">
        <v>4</v>
      </c>
      <c r="F8">
        <v>0</v>
      </c>
      <c r="G8">
        <v>4</v>
      </c>
      <c r="H8">
        <v>2</v>
      </c>
      <c r="I8">
        <v>3</v>
      </c>
      <c r="J8">
        <v>2</v>
      </c>
      <c r="K8">
        <v>3</v>
      </c>
      <c r="L8" s="4">
        <v>3</v>
      </c>
      <c r="M8">
        <v>4</v>
      </c>
      <c r="N8">
        <v>2</v>
      </c>
      <c r="O8">
        <v>5</v>
      </c>
      <c r="P8">
        <v>3</v>
      </c>
      <c r="Q8">
        <v>3</v>
      </c>
      <c r="R8">
        <v>4</v>
      </c>
      <c r="S8">
        <v>3</v>
      </c>
      <c r="T8">
        <v>3</v>
      </c>
    </row>
    <row r="9" spans="1:23" x14ac:dyDescent="0.3">
      <c r="A9" t="s">
        <v>159</v>
      </c>
      <c r="B9">
        <v>33</v>
      </c>
      <c r="C9">
        <v>3</v>
      </c>
      <c r="D9">
        <v>2</v>
      </c>
      <c r="E9">
        <v>2</v>
      </c>
      <c r="F9">
        <v>2</v>
      </c>
      <c r="G9">
        <v>1</v>
      </c>
      <c r="H9">
        <v>0</v>
      </c>
      <c r="I9">
        <v>3</v>
      </c>
      <c r="J9">
        <v>2</v>
      </c>
      <c r="K9">
        <v>3</v>
      </c>
      <c r="L9" s="4">
        <v>5</v>
      </c>
      <c r="M9">
        <v>0</v>
      </c>
      <c r="N9">
        <v>1</v>
      </c>
      <c r="O9">
        <v>1</v>
      </c>
      <c r="P9">
        <v>2</v>
      </c>
      <c r="Q9">
        <v>0</v>
      </c>
      <c r="R9">
        <v>2</v>
      </c>
      <c r="S9">
        <v>2</v>
      </c>
      <c r="T9">
        <v>2</v>
      </c>
    </row>
    <row r="10" spans="1:23" x14ac:dyDescent="0.3">
      <c r="A10" t="s">
        <v>160</v>
      </c>
      <c r="B10">
        <v>28</v>
      </c>
      <c r="C10">
        <v>3</v>
      </c>
      <c r="D10">
        <v>4</v>
      </c>
      <c r="E10">
        <v>1</v>
      </c>
      <c r="F10">
        <v>1</v>
      </c>
      <c r="G10">
        <v>1</v>
      </c>
      <c r="H10">
        <v>2</v>
      </c>
      <c r="I10">
        <v>3</v>
      </c>
      <c r="J10">
        <v>0</v>
      </c>
      <c r="K10">
        <v>1</v>
      </c>
      <c r="L10" s="4">
        <v>3</v>
      </c>
      <c r="M10">
        <v>0</v>
      </c>
      <c r="N10">
        <v>2</v>
      </c>
      <c r="O10">
        <v>1</v>
      </c>
      <c r="P10">
        <v>1</v>
      </c>
      <c r="Q10">
        <v>2</v>
      </c>
      <c r="R10">
        <v>1</v>
      </c>
      <c r="S10">
        <v>1</v>
      </c>
      <c r="T10">
        <v>1</v>
      </c>
    </row>
    <row r="12" spans="1:23" x14ac:dyDescent="0.3">
      <c r="A12" t="s">
        <v>84</v>
      </c>
      <c r="B12" t="s">
        <v>138</v>
      </c>
      <c r="C12" s="5">
        <v>45864</v>
      </c>
      <c r="D12" s="5">
        <v>45865</v>
      </c>
      <c r="E12" s="5">
        <v>45866</v>
      </c>
      <c r="F12" s="5">
        <v>45867</v>
      </c>
      <c r="G12" s="5">
        <v>45868</v>
      </c>
      <c r="H12" s="5">
        <v>45869</v>
      </c>
      <c r="I12" s="5">
        <v>45870</v>
      </c>
      <c r="J12" s="5">
        <v>45871</v>
      </c>
      <c r="K12" s="5">
        <v>45872</v>
      </c>
      <c r="L12" s="5">
        <v>45873</v>
      </c>
      <c r="M12" s="5">
        <v>45874</v>
      </c>
      <c r="N12" s="5">
        <v>45875</v>
      </c>
      <c r="O12" s="5">
        <v>45876</v>
      </c>
      <c r="P12" s="5">
        <v>45877</v>
      </c>
      <c r="Q12" s="5">
        <v>45878</v>
      </c>
      <c r="R12" s="5">
        <v>45879</v>
      </c>
      <c r="S12" s="5">
        <v>45880</v>
      </c>
    </row>
    <row r="13" spans="1:23" x14ac:dyDescent="0.3">
      <c r="A13" s="4" t="s">
        <v>144</v>
      </c>
      <c r="B13" s="4">
        <v>22089131</v>
      </c>
      <c r="C13" s="4">
        <v>2841300</v>
      </c>
      <c r="D13" s="4">
        <v>2757700</v>
      </c>
      <c r="E13" s="4">
        <v>1464100</v>
      </c>
      <c r="F13" s="4">
        <v>1670900</v>
      </c>
      <c r="G13" s="4">
        <v>1312300</v>
      </c>
      <c r="H13" s="4">
        <v>1067000</v>
      </c>
      <c r="I13" s="4">
        <v>1157200</v>
      </c>
      <c r="J13" s="4">
        <v>1538900</v>
      </c>
      <c r="K13" s="4">
        <v>1711600</v>
      </c>
      <c r="L13" s="4">
        <v>1590600</v>
      </c>
      <c r="M13" s="4">
        <v>1106600</v>
      </c>
      <c r="N13" s="4">
        <v>944900</v>
      </c>
      <c r="O13" s="4">
        <v>720500</v>
      </c>
      <c r="P13" s="4">
        <v>739220</v>
      </c>
      <c r="Q13" s="4">
        <v>533500</v>
      </c>
      <c r="R13" s="4">
        <v>484011</v>
      </c>
      <c r="S13" s="4">
        <v>276100</v>
      </c>
      <c r="W13" t="s">
        <v>162</v>
      </c>
    </row>
    <row r="14" spans="1:23" x14ac:dyDescent="0.3">
      <c r="A14" s="4" t="s">
        <v>143</v>
      </c>
      <c r="B14" s="4">
        <v>15045800</v>
      </c>
      <c r="C14" s="4">
        <v>1662100</v>
      </c>
      <c r="D14" s="4">
        <v>1764400</v>
      </c>
      <c r="E14" s="4">
        <v>1012000</v>
      </c>
      <c r="F14" s="4">
        <v>658900</v>
      </c>
      <c r="G14" s="4">
        <v>1338700</v>
      </c>
      <c r="H14" s="4">
        <v>630300</v>
      </c>
      <c r="I14" s="4">
        <v>974600</v>
      </c>
      <c r="J14" s="4">
        <v>830500</v>
      </c>
      <c r="K14" s="4">
        <v>1038400</v>
      </c>
      <c r="L14" s="4">
        <v>1104400</v>
      </c>
      <c r="M14" s="4">
        <v>1133000</v>
      </c>
      <c r="N14" s="4">
        <v>1045000</v>
      </c>
      <c r="O14" s="4">
        <v>625900</v>
      </c>
      <c r="P14" s="4">
        <v>460900</v>
      </c>
      <c r="Q14" s="4">
        <v>466400</v>
      </c>
      <c r="R14" s="4">
        <v>100100</v>
      </c>
      <c r="S14" s="4">
        <v>154000</v>
      </c>
      <c r="W14" t="s">
        <v>163</v>
      </c>
    </row>
    <row r="15" spans="1:23" x14ac:dyDescent="0.3">
      <c r="A15" s="4" t="s">
        <v>142</v>
      </c>
      <c r="B15" s="4">
        <v>12442100</v>
      </c>
      <c r="C15" s="4">
        <v>976800</v>
      </c>
      <c r="D15" s="4">
        <v>1025200</v>
      </c>
      <c r="E15" s="4">
        <v>1205600</v>
      </c>
      <c r="F15" s="4">
        <v>503800</v>
      </c>
      <c r="G15" s="4">
        <v>1105500</v>
      </c>
      <c r="H15" s="4">
        <v>815100</v>
      </c>
      <c r="I15" s="4">
        <v>921800</v>
      </c>
      <c r="J15" s="4">
        <v>777700</v>
      </c>
      <c r="K15" s="4">
        <v>973500</v>
      </c>
      <c r="L15" s="4">
        <v>706200</v>
      </c>
      <c r="M15" s="4">
        <v>1240800</v>
      </c>
      <c r="N15" s="4">
        <v>772200</v>
      </c>
      <c r="O15" s="4">
        <v>325600</v>
      </c>
      <c r="P15" s="4">
        <v>148500</v>
      </c>
      <c r="Q15" s="4">
        <v>441100</v>
      </c>
      <c r="R15" s="4">
        <v>215600</v>
      </c>
      <c r="S15" s="4">
        <v>187000</v>
      </c>
      <c r="W15" t="s">
        <v>164</v>
      </c>
    </row>
    <row r="16" spans="1:23" x14ac:dyDescent="0.3">
      <c r="A16" s="4" t="s">
        <v>92</v>
      </c>
      <c r="B16" s="4">
        <v>10100200</v>
      </c>
      <c r="C16" s="4">
        <v>732600</v>
      </c>
      <c r="D16" s="4">
        <v>776600</v>
      </c>
      <c r="E16" s="4">
        <v>313500</v>
      </c>
      <c r="F16" s="4">
        <v>899800</v>
      </c>
      <c r="G16" s="4">
        <v>994400</v>
      </c>
      <c r="H16" s="4">
        <v>342100</v>
      </c>
      <c r="I16" s="4">
        <v>768900</v>
      </c>
      <c r="J16" s="4">
        <v>522500</v>
      </c>
      <c r="K16" s="4">
        <v>674300</v>
      </c>
      <c r="L16" s="4">
        <v>563200</v>
      </c>
      <c r="M16" s="4">
        <v>787600</v>
      </c>
      <c r="N16" s="4">
        <v>662200</v>
      </c>
      <c r="O16" s="4">
        <v>646800</v>
      </c>
      <c r="P16" s="4">
        <v>503800</v>
      </c>
      <c r="Q16" s="4">
        <v>161700</v>
      </c>
      <c r="R16" s="4">
        <v>312400</v>
      </c>
      <c r="S16" s="4">
        <v>147400</v>
      </c>
      <c r="W16" t="s">
        <v>165</v>
      </c>
    </row>
    <row r="17" spans="1:23" x14ac:dyDescent="0.3">
      <c r="A17" s="4" t="s">
        <v>93</v>
      </c>
      <c r="B17" s="6">
        <v>14974300</v>
      </c>
      <c r="C17" s="6">
        <v>1116500</v>
      </c>
      <c r="D17" s="6">
        <v>910800</v>
      </c>
      <c r="E17" s="6">
        <v>2036100</v>
      </c>
      <c r="F17" s="6">
        <v>1337600</v>
      </c>
      <c r="G17" s="6">
        <v>855800</v>
      </c>
      <c r="H17" s="6">
        <v>816200</v>
      </c>
      <c r="I17" s="6">
        <v>1570800</v>
      </c>
      <c r="J17" s="6">
        <v>607200</v>
      </c>
      <c r="K17" s="6">
        <v>807400</v>
      </c>
      <c r="L17" s="6">
        <v>709500</v>
      </c>
      <c r="M17" s="6">
        <v>1052700</v>
      </c>
      <c r="N17" s="6">
        <v>1062600</v>
      </c>
      <c r="O17" s="6">
        <v>465300</v>
      </c>
      <c r="P17" s="6">
        <v>486200</v>
      </c>
      <c r="Q17" s="6">
        <v>382800</v>
      </c>
      <c r="R17" s="6">
        <v>392700</v>
      </c>
      <c r="S17" s="6">
        <v>198000</v>
      </c>
      <c r="T17" s="7"/>
      <c r="W17" t="s">
        <v>166</v>
      </c>
    </row>
    <row r="18" spans="1:23" x14ac:dyDescent="0.3">
      <c r="A18" s="4" t="s">
        <v>95</v>
      </c>
      <c r="B18" s="6">
        <v>26992900</v>
      </c>
      <c r="C18" s="6">
        <v>3129500</v>
      </c>
      <c r="D18" s="6">
        <v>2171400</v>
      </c>
      <c r="E18" s="6">
        <v>1952500</v>
      </c>
      <c r="F18" s="6">
        <v>1296900</v>
      </c>
      <c r="G18" s="6">
        <v>1324400</v>
      </c>
      <c r="H18" s="6">
        <v>1642300</v>
      </c>
      <c r="I18" s="6">
        <v>1939300</v>
      </c>
      <c r="J18" s="6">
        <v>2030600</v>
      </c>
      <c r="K18" s="6">
        <v>1445400</v>
      </c>
      <c r="L18" s="6">
        <v>620400</v>
      </c>
      <c r="M18" s="6">
        <v>1994300</v>
      </c>
      <c r="N18" s="6">
        <v>1838100</v>
      </c>
      <c r="O18" s="6">
        <v>1810600</v>
      </c>
      <c r="P18" s="6">
        <v>1181400</v>
      </c>
      <c r="Q18" s="6">
        <v>744700</v>
      </c>
      <c r="R18" s="6">
        <v>918500</v>
      </c>
      <c r="S18" s="6">
        <v>613800</v>
      </c>
      <c r="T18" s="7"/>
    </row>
    <row r="19" spans="1:23" x14ac:dyDescent="0.3">
      <c r="A19" s="4" t="s">
        <v>96</v>
      </c>
      <c r="B19" s="6">
        <v>16999400</v>
      </c>
      <c r="C19" s="6">
        <v>924000</v>
      </c>
      <c r="D19" s="6">
        <v>995500</v>
      </c>
      <c r="E19" s="6">
        <v>1563100</v>
      </c>
      <c r="F19" s="6">
        <v>963600</v>
      </c>
      <c r="G19" s="6">
        <v>288200</v>
      </c>
      <c r="H19" s="6">
        <v>961400</v>
      </c>
      <c r="I19" s="6">
        <v>1381600</v>
      </c>
      <c r="J19" s="6">
        <v>713900</v>
      </c>
      <c r="K19" s="6">
        <v>1194600</v>
      </c>
      <c r="L19" s="6">
        <v>1316700</v>
      </c>
      <c r="M19" s="6">
        <v>839300</v>
      </c>
      <c r="N19" s="6">
        <v>467500</v>
      </c>
      <c r="O19" s="6">
        <v>1794100</v>
      </c>
      <c r="P19" s="6">
        <v>950400</v>
      </c>
      <c r="Q19" s="6">
        <v>715000</v>
      </c>
      <c r="R19" s="6">
        <v>699600</v>
      </c>
      <c r="S19" s="6">
        <v>594000</v>
      </c>
      <c r="T19" s="7"/>
    </row>
    <row r="20" spans="1:23" x14ac:dyDescent="0.3">
      <c r="A20" s="4" t="s">
        <v>98</v>
      </c>
      <c r="B20" s="6">
        <v>16676000</v>
      </c>
      <c r="C20" s="6">
        <v>1166000</v>
      </c>
      <c r="D20" s="6">
        <v>601700</v>
      </c>
      <c r="E20" s="6">
        <v>550000</v>
      </c>
      <c r="F20" s="6">
        <v>550000</v>
      </c>
      <c r="G20" s="6">
        <v>754600</v>
      </c>
      <c r="H20" s="6">
        <v>1551000</v>
      </c>
      <c r="I20" s="6">
        <v>1856800</v>
      </c>
      <c r="J20" s="6">
        <v>1227600</v>
      </c>
      <c r="K20" s="6">
        <v>739200</v>
      </c>
      <c r="L20" s="6">
        <v>1233100</v>
      </c>
      <c r="M20" s="6">
        <v>566500</v>
      </c>
      <c r="N20" s="6">
        <v>739200</v>
      </c>
      <c r="O20" s="6">
        <v>922900</v>
      </c>
      <c r="P20" s="6">
        <v>1392600</v>
      </c>
      <c r="Q20" s="6">
        <v>759000</v>
      </c>
      <c r="R20" s="6">
        <v>826100</v>
      </c>
      <c r="S20" s="6">
        <v>913000</v>
      </c>
      <c r="T20" s="7"/>
    </row>
    <row r="21" spans="1:23" x14ac:dyDescent="0.3">
      <c r="A21" s="4" t="s">
        <v>99</v>
      </c>
      <c r="B21" s="6">
        <v>11938300</v>
      </c>
      <c r="C21" s="6">
        <v>1612600</v>
      </c>
      <c r="D21" s="6">
        <v>352000</v>
      </c>
      <c r="E21" s="6">
        <v>1315600</v>
      </c>
      <c r="F21" s="6">
        <v>418000</v>
      </c>
      <c r="G21" s="6">
        <v>376200</v>
      </c>
      <c r="H21" s="6">
        <v>1144000</v>
      </c>
      <c r="I21" s="6">
        <v>1160500</v>
      </c>
      <c r="J21" s="6">
        <v>385000</v>
      </c>
      <c r="K21" s="6">
        <v>408100</v>
      </c>
      <c r="L21" s="6">
        <v>335500</v>
      </c>
      <c r="M21" s="6">
        <v>281600</v>
      </c>
      <c r="N21" s="6">
        <v>877800</v>
      </c>
      <c r="O21" s="6">
        <v>971300</v>
      </c>
      <c r="P21" s="6">
        <v>370700</v>
      </c>
      <c r="Q21" s="6">
        <v>448800</v>
      </c>
      <c r="R21" s="6">
        <v>411400</v>
      </c>
      <c r="S21" s="6">
        <v>579700</v>
      </c>
      <c r="T21" s="7"/>
    </row>
    <row r="22" spans="1:23" x14ac:dyDescent="0.3">
      <c r="A22" s="4" t="s">
        <v>101</v>
      </c>
      <c r="B22" s="6">
        <v>13483800</v>
      </c>
      <c r="C22" s="6">
        <v>803000</v>
      </c>
      <c r="D22" s="6">
        <v>1485000</v>
      </c>
      <c r="E22" s="6">
        <v>1384900</v>
      </c>
      <c r="F22" s="6">
        <v>589600</v>
      </c>
      <c r="G22" s="6">
        <v>231000</v>
      </c>
      <c r="H22" s="6">
        <v>1430000</v>
      </c>
      <c r="I22" s="6">
        <v>545600</v>
      </c>
      <c r="J22" s="6">
        <v>705100</v>
      </c>
      <c r="K22" s="6">
        <v>647900</v>
      </c>
      <c r="L22" s="6">
        <v>872300</v>
      </c>
      <c r="M22" s="6">
        <v>155100</v>
      </c>
      <c r="N22" s="6">
        <v>116600</v>
      </c>
      <c r="O22" s="6">
        <v>1062600</v>
      </c>
      <c r="P22" s="6">
        <v>1822700</v>
      </c>
      <c r="Q22" s="6">
        <v>275000</v>
      </c>
      <c r="R22" s="6">
        <v>521400</v>
      </c>
      <c r="S22" s="6">
        <v>480700</v>
      </c>
    </row>
    <row r="23" spans="1:23" x14ac:dyDescent="0.3">
      <c r="A23" s="4" t="s">
        <v>102</v>
      </c>
      <c r="B23" s="4">
        <v>4370300</v>
      </c>
      <c r="C23" s="4">
        <v>220000</v>
      </c>
      <c r="D23" s="4">
        <v>814000</v>
      </c>
      <c r="E23" s="4">
        <v>238700</v>
      </c>
      <c r="F23" s="4">
        <v>501600</v>
      </c>
      <c r="G23" s="4">
        <v>341000</v>
      </c>
      <c r="H23" s="4">
        <v>319000</v>
      </c>
      <c r="I23" s="4">
        <v>0</v>
      </c>
      <c r="J23" s="4">
        <v>143000</v>
      </c>
      <c r="K23" s="4">
        <v>275000</v>
      </c>
      <c r="L23" s="4">
        <v>440000</v>
      </c>
      <c r="M23" s="4">
        <v>0</v>
      </c>
      <c r="N23" s="4">
        <v>440000</v>
      </c>
      <c r="O23" s="4">
        <v>110000</v>
      </c>
      <c r="P23" s="4">
        <v>440000</v>
      </c>
      <c r="Q23" s="4">
        <v>0</v>
      </c>
      <c r="R23" s="4">
        <v>11000</v>
      </c>
      <c r="S23" s="4">
        <v>0</v>
      </c>
    </row>
    <row r="24" spans="1:23" x14ac:dyDescent="0.3">
      <c r="A24" s="4" t="s">
        <v>104</v>
      </c>
      <c r="B24" s="4">
        <v>5654000</v>
      </c>
      <c r="C24" s="4">
        <v>1382700</v>
      </c>
      <c r="D24" s="4">
        <v>253000</v>
      </c>
      <c r="E24" s="4">
        <v>231000</v>
      </c>
      <c r="F24" s="4">
        <v>385000</v>
      </c>
      <c r="G24" s="4">
        <v>880000</v>
      </c>
      <c r="H24" s="4">
        <v>245300</v>
      </c>
      <c r="I24" s="4">
        <v>352000</v>
      </c>
      <c r="J24" s="4">
        <v>66000</v>
      </c>
      <c r="K24" s="4">
        <v>220000</v>
      </c>
      <c r="L24" s="4">
        <v>116600</v>
      </c>
      <c r="M24" s="4">
        <v>330000</v>
      </c>
      <c r="N24" s="4">
        <v>110000</v>
      </c>
      <c r="O24" s="4">
        <v>0</v>
      </c>
      <c r="P24" s="4">
        <v>110000</v>
      </c>
      <c r="Q24" s="4">
        <v>418000</v>
      </c>
      <c r="R24" s="4">
        <v>110000</v>
      </c>
      <c r="S24" s="4">
        <v>334400</v>
      </c>
    </row>
    <row r="25" spans="1:23" x14ac:dyDescent="0.3">
      <c r="A25" s="4" t="s">
        <v>105</v>
      </c>
      <c r="B25" s="4">
        <v>2642200</v>
      </c>
      <c r="C25" s="4">
        <v>1117600</v>
      </c>
      <c r="D25" s="4">
        <v>28600</v>
      </c>
      <c r="E25" s="4">
        <v>11000</v>
      </c>
      <c r="F25" s="4">
        <v>220000</v>
      </c>
      <c r="G25" s="4">
        <v>55000</v>
      </c>
      <c r="H25" s="4">
        <v>110000</v>
      </c>
      <c r="I25" s="4">
        <v>0</v>
      </c>
      <c r="J25" s="4">
        <v>0</v>
      </c>
      <c r="K25" s="4">
        <v>418000</v>
      </c>
      <c r="L25" s="4">
        <v>143000</v>
      </c>
      <c r="M25" s="4">
        <v>0</v>
      </c>
      <c r="N25" s="4">
        <v>0</v>
      </c>
      <c r="O25" s="4">
        <v>110000</v>
      </c>
      <c r="P25" s="4">
        <v>0</v>
      </c>
      <c r="Q25" s="4">
        <v>55000</v>
      </c>
      <c r="R25" s="4">
        <v>0</v>
      </c>
      <c r="S25" s="4">
        <v>110000</v>
      </c>
    </row>
    <row r="26" spans="1:23" x14ac:dyDescent="0.3">
      <c r="A26" s="4" t="s">
        <v>141</v>
      </c>
      <c r="B26" s="4">
        <v>1672000</v>
      </c>
      <c r="C26" s="4">
        <v>0</v>
      </c>
      <c r="D26" s="4">
        <v>220000</v>
      </c>
      <c r="E26" s="4">
        <v>770000</v>
      </c>
      <c r="F26" s="4">
        <v>0</v>
      </c>
      <c r="G26" s="4">
        <v>22000</v>
      </c>
      <c r="H26" s="4">
        <v>0</v>
      </c>
      <c r="I26" s="4">
        <v>0</v>
      </c>
      <c r="J26" s="4">
        <v>0</v>
      </c>
      <c r="K26" s="4">
        <v>0</v>
      </c>
      <c r="L26" s="4">
        <v>165000</v>
      </c>
      <c r="M26" s="4">
        <v>88000</v>
      </c>
      <c r="N26" s="4">
        <v>33000</v>
      </c>
      <c r="O26" s="4">
        <v>66000</v>
      </c>
      <c r="P26" s="4">
        <v>33000</v>
      </c>
      <c r="Q26" s="4">
        <v>110000</v>
      </c>
      <c r="R26" s="4">
        <v>165000</v>
      </c>
      <c r="S26" s="4">
        <v>0</v>
      </c>
    </row>
    <row r="27" spans="1:23" x14ac:dyDescent="0.3">
      <c r="A27" s="4" t="s">
        <v>107</v>
      </c>
      <c r="B27" s="4">
        <v>1519100</v>
      </c>
      <c r="C27" s="4">
        <v>0</v>
      </c>
      <c r="D27" s="4">
        <v>0</v>
      </c>
      <c r="E27" s="4">
        <v>1100000</v>
      </c>
      <c r="F27" s="4">
        <v>0</v>
      </c>
      <c r="G27" s="4">
        <v>143000</v>
      </c>
      <c r="H27" s="4">
        <v>33000</v>
      </c>
      <c r="I27" s="4">
        <v>88000</v>
      </c>
      <c r="J27" s="4">
        <v>0</v>
      </c>
      <c r="K27" s="4">
        <v>11000</v>
      </c>
      <c r="L27" s="4">
        <v>1100</v>
      </c>
      <c r="M27" s="4">
        <v>44000</v>
      </c>
      <c r="N27" s="4">
        <v>0</v>
      </c>
      <c r="O27" s="4">
        <v>33000</v>
      </c>
      <c r="P27" s="4">
        <v>0</v>
      </c>
      <c r="Q27" s="4">
        <v>55000</v>
      </c>
      <c r="R27" s="4">
        <v>11000</v>
      </c>
      <c r="S27" s="4">
        <v>0</v>
      </c>
    </row>
    <row r="28" spans="1:23" x14ac:dyDescent="0.3">
      <c r="A28" s="4" t="s">
        <v>109</v>
      </c>
      <c r="B28" s="4">
        <v>1344200</v>
      </c>
      <c r="C28" s="4">
        <v>1100</v>
      </c>
      <c r="D28" s="4">
        <v>0</v>
      </c>
      <c r="E28" s="4">
        <v>0</v>
      </c>
      <c r="F28" s="4">
        <v>110000</v>
      </c>
      <c r="G28" s="4">
        <v>0</v>
      </c>
      <c r="H28" s="4">
        <v>110000</v>
      </c>
      <c r="I28" s="4">
        <v>221100</v>
      </c>
      <c r="J28" s="4">
        <v>0</v>
      </c>
      <c r="K28" s="4">
        <v>110000</v>
      </c>
      <c r="L28" s="4">
        <v>330000</v>
      </c>
      <c r="M28" s="4">
        <v>110000</v>
      </c>
      <c r="N28" s="4">
        <v>0</v>
      </c>
      <c r="O28" s="4">
        <v>0</v>
      </c>
      <c r="P28" s="4">
        <v>0</v>
      </c>
      <c r="Q28" s="4">
        <v>110000</v>
      </c>
      <c r="R28" s="4">
        <v>0</v>
      </c>
      <c r="S28" s="4">
        <v>198000</v>
      </c>
    </row>
    <row r="29" spans="1:23" x14ac:dyDescent="0.3">
      <c r="A29" s="4" t="s">
        <v>115</v>
      </c>
      <c r="B29" s="4">
        <v>1119800</v>
      </c>
      <c r="C29" s="4">
        <v>1100</v>
      </c>
      <c r="D29" s="4">
        <v>1100</v>
      </c>
      <c r="E29" s="4">
        <v>0</v>
      </c>
      <c r="F29" s="4">
        <v>0</v>
      </c>
      <c r="G29" s="4">
        <v>0</v>
      </c>
      <c r="H29" s="4">
        <v>0</v>
      </c>
      <c r="I29" s="4">
        <v>440000</v>
      </c>
      <c r="J29" s="4">
        <v>0</v>
      </c>
      <c r="K29" s="4">
        <v>0</v>
      </c>
      <c r="L29" s="4">
        <v>12100</v>
      </c>
      <c r="M29" s="4">
        <v>110000</v>
      </c>
      <c r="N29" s="4">
        <v>0</v>
      </c>
      <c r="O29" s="4">
        <v>551100</v>
      </c>
      <c r="P29" s="4">
        <v>1100</v>
      </c>
      <c r="Q29" s="4">
        <v>0</v>
      </c>
      <c r="R29" s="4">
        <v>1100</v>
      </c>
      <c r="S29" s="4">
        <v>2200</v>
      </c>
    </row>
    <row r="30" spans="1:23" x14ac:dyDescent="0.3">
      <c r="A30" s="4" t="s">
        <v>111</v>
      </c>
      <c r="B30" s="4">
        <v>1009800</v>
      </c>
      <c r="C30" s="4">
        <v>1100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110000</v>
      </c>
      <c r="L30" s="4">
        <v>550000</v>
      </c>
      <c r="M30" s="4">
        <v>0</v>
      </c>
      <c r="N30" s="4">
        <v>0</v>
      </c>
      <c r="O30" s="4">
        <v>0</v>
      </c>
      <c r="P30" s="4">
        <v>1100</v>
      </c>
      <c r="Q30" s="4">
        <v>220000</v>
      </c>
      <c r="R30" s="4">
        <v>111100</v>
      </c>
      <c r="S30" s="4">
        <v>16500</v>
      </c>
    </row>
    <row r="31" spans="1:23" x14ac:dyDescent="0.3">
      <c r="A31" s="4" t="s">
        <v>136</v>
      </c>
      <c r="B31" s="4">
        <v>38500</v>
      </c>
      <c r="C31" s="4">
        <v>36300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1100</v>
      </c>
      <c r="S31" s="4">
        <v>1100</v>
      </c>
    </row>
    <row r="32" spans="1:23" x14ac:dyDescent="0.3">
      <c r="A32" s="4" t="s">
        <v>137</v>
      </c>
      <c r="B32" s="4">
        <v>24200</v>
      </c>
      <c r="C32" s="4">
        <v>17600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6600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</row>
    <row r="33" spans="1:20" x14ac:dyDescent="0.3">
      <c r="A33" s="4" t="s">
        <v>113</v>
      </c>
      <c r="B33" s="4">
        <v>132000</v>
      </c>
      <c r="C33" s="4">
        <v>0</v>
      </c>
      <c r="D33" s="4">
        <v>0</v>
      </c>
      <c r="E33" s="4">
        <v>0</v>
      </c>
      <c r="F33" s="4">
        <v>0</v>
      </c>
      <c r="G33" s="4">
        <v>33000</v>
      </c>
      <c r="H33" s="4">
        <v>33000</v>
      </c>
      <c r="I33" s="4">
        <v>33000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33000</v>
      </c>
      <c r="S33" s="4">
        <v>0</v>
      </c>
    </row>
    <row r="34" spans="1:20" x14ac:dyDescent="0.3">
      <c r="A34" s="4" t="s">
        <v>114</v>
      </c>
      <c r="B34" s="4">
        <v>209000</v>
      </c>
      <c r="C34" s="4">
        <v>33000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66000</v>
      </c>
      <c r="J34" s="4">
        <v>55000</v>
      </c>
      <c r="K34" s="4">
        <v>0</v>
      </c>
      <c r="L34" s="4">
        <v>0</v>
      </c>
      <c r="M34" s="4">
        <v>22000</v>
      </c>
      <c r="N34" s="4">
        <v>33000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</row>
    <row r="35" spans="1:20" x14ac:dyDescent="0.3">
      <c r="A35" s="4" t="s">
        <v>161</v>
      </c>
      <c r="B35" s="4">
        <v>77000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77000</v>
      </c>
      <c r="R35" s="4">
        <v>0</v>
      </c>
      <c r="S35" s="4">
        <v>0</v>
      </c>
    </row>
    <row r="36" spans="1:20" x14ac:dyDescent="0.3">
      <c r="A36" s="4" t="s">
        <v>139</v>
      </c>
      <c r="B36" s="4">
        <v>376200</v>
      </c>
      <c r="C36" s="4">
        <v>6600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110000</v>
      </c>
      <c r="P36" s="4">
        <v>0</v>
      </c>
      <c r="Q36" s="4">
        <v>0</v>
      </c>
      <c r="R36" s="4">
        <v>0</v>
      </c>
      <c r="S36" s="4">
        <v>259600</v>
      </c>
    </row>
    <row r="37" spans="1:20" x14ac:dyDescent="0.3">
      <c r="A37" s="4" t="s">
        <v>140</v>
      </c>
      <c r="B37" s="4">
        <v>374000</v>
      </c>
      <c r="C37" s="4">
        <v>0</v>
      </c>
      <c r="D37" s="4">
        <v>0</v>
      </c>
      <c r="E37" s="4">
        <v>0</v>
      </c>
      <c r="F37" s="4">
        <v>0</v>
      </c>
      <c r="G37" s="4">
        <v>11000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253000</v>
      </c>
      <c r="O37" s="4">
        <v>0</v>
      </c>
      <c r="P37" s="4">
        <v>0</v>
      </c>
      <c r="Q37" s="4">
        <v>0</v>
      </c>
      <c r="R37" s="4">
        <v>0</v>
      </c>
      <c r="S37" s="4">
        <v>110000</v>
      </c>
    </row>
    <row r="38" spans="1:20" x14ac:dyDescent="0.3">
      <c r="C38" s="4">
        <f t="shared" ref="C38:T38" si="0">SUM(B13:B37)</f>
        <v>181304231</v>
      </c>
      <c r="D38" s="4">
        <f t="shared" si="0"/>
        <v>17781500</v>
      </c>
      <c r="E38" s="4">
        <f t="shared" si="0"/>
        <v>14157000</v>
      </c>
      <c r="F38" s="4">
        <f t="shared" si="0"/>
        <v>15148100</v>
      </c>
      <c r="G38" s="4">
        <f t="shared" si="0"/>
        <v>10105700</v>
      </c>
      <c r="H38" s="4">
        <f t="shared" si="0"/>
        <v>10066100</v>
      </c>
      <c r="I38" s="4">
        <f t="shared" si="0"/>
        <v>11249700</v>
      </c>
      <c r="J38" s="4">
        <f t="shared" si="0"/>
        <v>13477200</v>
      </c>
      <c r="K38" s="4">
        <f t="shared" si="0"/>
        <v>9609600</v>
      </c>
      <c r="L38" s="4">
        <f t="shared" si="0"/>
        <v>10784400</v>
      </c>
      <c r="M38" s="4">
        <f t="shared" si="0"/>
        <v>10809700</v>
      </c>
      <c r="N38" s="4">
        <f t="shared" si="0"/>
        <v>9861500</v>
      </c>
      <c r="O38" s="4">
        <f t="shared" si="0"/>
        <v>9395100</v>
      </c>
      <c r="P38" s="4">
        <f t="shared" si="0"/>
        <v>10325700</v>
      </c>
      <c r="Q38" s="4">
        <f t="shared" si="0"/>
        <v>8641620</v>
      </c>
      <c r="R38" s="4">
        <f t="shared" si="0"/>
        <v>5973000</v>
      </c>
      <c r="S38" s="4">
        <f t="shared" si="0"/>
        <v>5325111</v>
      </c>
      <c r="T38" s="4">
        <f t="shared" si="0"/>
        <v>5175500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DCE36-E206-4EAB-943D-CC58FAEC6A4E}">
  <dimension ref="A1:AN130"/>
  <sheetViews>
    <sheetView topLeftCell="A40" workbookViewId="0">
      <selection activeCell="AF29" sqref="AF29:AN29"/>
    </sheetView>
  </sheetViews>
  <sheetFormatPr defaultRowHeight="16.5" x14ac:dyDescent="0.3"/>
  <cols>
    <col min="1" max="2" width="31.75" bestFit="1" customWidth="1"/>
    <col min="3" max="3" width="12.875" bestFit="1" customWidth="1"/>
    <col min="4" max="4" width="13" bestFit="1" customWidth="1"/>
    <col min="5" max="23" width="11.875" bestFit="1" customWidth="1"/>
    <col min="24" max="29" width="10.625" bestFit="1" customWidth="1"/>
    <col min="30" max="30" width="11.875" bestFit="1" customWidth="1"/>
    <col min="31" max="31" width="10.625" bestFit="1" customWidth="1"/>
    <col min="32" max="32" width="10.25" bestFit="1" customWidth="1"/>
    <col min="33" max="33" width="11.75" bestFit="1" customWidth="1"/>
    <col min="34" max="36" width="10.25" bestFit="1" customWidth="1"/>
    <col min="37" max="37" width="11.75" bestFit="1" customWidth="1"/>
    <col min="38" max="40" width="10.25" bestFit="1" customWidth="1"/>
  </cols>
  <sheetData>
    <row r="1" spans="1:40" x14ac:dyDescent="0.3">
      <c r="A1" t="s">
        <v>152</v>
      </c>
      <c r="B1" t="s">
        <v>84</v>
      </c>
      <c r="C1" t="s">
        <v>138</v>
      </c>
      <c r="D1" s="5">
        <v>45859</v>
      </c>
      <c r="E1" s="5">
        <v>45860</v>
      </c>
      <c r="F1" s="5">
        <v>45861</v>
      </c>
      <c r="G1" s="5">
        <v>45862</v>
      </c>
      <c r="H1" s="5">
        <v>45863</v>
      </c>
      <c r="I1" s="5">
        <v>45864</v>
      </c>
      <c r="J1" s="5">
        <v>45865</v>
      </c>
      <c r="K1" s="5">
        <v>45866</v>
      </c>
      <c r="L1" s="5">
        <v>45867</v>
      </c>
      <c r="M1" s="5">
        <v>45868</v>
      </c>
      <c r="N1" s="5">
        <v>45869</v>
      </c>
      <c r="O1" s="5">
        <v>45870</v>
      </c>
      <c r="P1" s="5">
        <v>45871</v>
      </c>
      <c r="Q1" s="5">
        <v>45872</v>
      </c>
      <c r="R1" s="5">
        <v>45873</v>
      </c>
      <c r="S1" s="5">
        <v>45874</v>
      </c>
      <c r="T1" s="5">
        <v>45875</v>
      </c>
      <c r="U1" s="5">
        <v>45876</v>
      </c>
      <c r="V1" s="5">
        <v>45877</v>
      </c>
      <c r="W1" s="5">
        <v>45878</v>
      </c>
      <c r="X1" s="5">
        <v>45879</v>
      </c>
      <c r="Y1" s="5">
        <v>45880</v>
      </c>
      <c r="Z1" s="5">
        <v>45881</v>
      </c>
      <c r="AA1" s="5">
        <v>45882</v>
      </c>
      <c r="AB1" s="5">
        <v>45883</v>
      </c>
      <c r="AC1" s="5">
        <v>45884</v>
      </c>
      <c r="AD1" s="5">
        <v>45885</v>
      </c>
      <c r="AE1" s="5">
        <v>45886</v>
      </c>
      <c r="AF1" s="5">
        <v>45887</v>
      </c>
      <c r="AG1" s="5">
        <v>45888</v>
      </c>
      <c r="AH1" s="5">
        <v>45889</v>
      </c>
      <c r="AI1" s="5">
        <v>45890</v>
      </c>
      <c r="AJ1" s="5">
        <v>45891</v>
      </c>
      <c r="AK1" s="5">
        <v>45892</v>
      </c>
      <c r="AL1" s="5">
        <v>45893</v>
      </c>
      <c r="AM1" s="5">
        <v>45894</v>
      </c>
      <c r="AN1" s="5">
        <v>45895</v>
      </c>
    </row>
    <row r="2" spans="1:40" x14ac:dyDescent="0.3">
      <c r="B2" t="s">
        <v>144</v>
      </c>
      <c r="C2" s="2">
        <v>35638947</v>
      </c>
      <c r="D2" s="4">
        <v>1453100</v>
      </c>
      <c r="E2" s="4">
        <v>2500300</v>
      </c>
      <c r="F2" s="4">
        <v>2157116</v>
      </c>
      <c r="G2" s="4">
        <v>2350700</v>
      </c>
      <c r="H2" s="4">
        <v>2222000</v>
      </c>
      <c r="I2" s="4">
        <v>2841300</v>
      </c>
      <c r="J2" s="4">
        <v>2757700</v>
      </c>
      <c r="K2" s="4">
        <v>1464100</v>
      </c>
      <c r="L2" s="4">
        <v>1670900</v>
      </c>
      <c r="M2" s="4">
        <v>1312300</v>
      </c>
      <c r="N2" s="4">
        <v>1067000</v>
      </c>
      <c r="O2" s="4">
        <v>1157200</v>
      </c>
      <c r="P2" s="4">
        <v>1538900</v>
      </c>
      <c r="Q2" s="4">
        <v>1711600</v>
      </c>
      <c r="R2" s="4">
        <v>1590600</v>
      </c>
      <c r="S2" s="4">
        <v>1106600</v>
      </c>
      <c r="T2" s="4">
        <v>944900</v>
      </c>
      <c r="U2" s="4">
        <v>720500</v>
      </c>
      <c r="V2" s="4">
        <v>739220</v>
      </c>
      <c r="W2" s="4">
        <v>533500</v>
      </c>
      <c r="X2" s="4">
        <v>484011</v>
      </c>
      <c r="Y2" s="4">
        <v>276100</v>
      </c>
      <c r="Z2" s="4">
        <v>429000</v>
      </c>
      <c r="AA2" s="4">
        <v>399300</v>
      </c>
      <c r="AB2" s="4">
        <v>700700</v>
      </c>
      <c r="AC2" s="4">
        <v>473000</v>
      </c>
      <c r="AD2" s="4">
        <v>536800</v>
      </c>
      <c r="AE2" s="4">
        <v>471900</v>
      </c>
      <c r="AF2" s="4">
        <v>588500</v>
      </c>
      <c r="AG2" s="4">
        <v>490600</v>
      </c>
      <c r="AH2" s="4">
        <v>456500</v>
      </c>
      <c r="AI2" s="4">
        <v>561000</v>
      </c>
      <c r="AJ2" s="4">
        <v>618200</v>
      </c>
      <c r="AK2" s="4">
        <v>983400</v>
      </c>
      <c r="AL2" s="4">
        <v>530200</v>
      </c>
      <c r="AM2" s="4">
        <v>481800</v>
      </c>
      <c r="AN2" s="4">
        <v>136400</v>
      </c>
    </row>
    <row r="3" spans="1:40" x14ac:dyDescent="0.3">
      <c r="B3" t="s">
        <v>143</v>
      </c>
      <c r="C3" s="2">
        <f t="shared" ref="C3:AE3" si="0">SUM(C2:C2)</f>
        <v>35638947</v>
      </c>
      <c r="D3" s="4">
        <f t="shared" si="0"/>
        <v>1453100</v>
      </c>
      <c r="E3" s="4">
        <f t="shared" si="0"/>
        <v>2500300</v>
      </c>
      <c r="F3" s="4">
        <f t="shared" si="0"/>
        <v>2157116</v>
      </c>
      <c r="G3" s="4">
        <f t="shared" si="0"/>
        <v>2350700</v>
      </c>
      <c r="H3" s="4">
        <f t="shared" si="0"/>
        <v>2222000</v>
      </c>
      <c r="I3" s="4">
        <f t="shared" si="0"/>
        <v>2841300</v>
      </c>
      <c r="J3" s="4">
        <f t="shared" si="0"/>
        <v>2757700</v>
      </c>
      <c r="K3" s="4">
        <f t="shared" si="0"/>
        <v>1464100</v>
      </c>
      <c r="L3" s="4">
        <f t="shared" si="0"/>
        <v>1670900</v>
      </c>
      <c r="M3" s="4">
        <f t="shared" si="0"/>
        <v>1312300</v>
      </c>
      <c r="N3" s="4">
        <f t="shared" si="0"/>
        <v>1067000</v>
      </c>
      <c r="O3" s="4">
        <f t="shared" si="0"/>
        <v>1157200</v>
      </c>
      <c r="P3" s="4">
        <f t="shared" si="0"/>
        <v>1538900</v>
      </c>
      <c r="Q3" s="4">
        <f t="shared" si="0"/>
        <v>1711600</v>
      </c>
      <c r="R3" s="4">
        <f t="shared" si="0"/>
        <v>1590600</v>
      </c>
      <c r="S3" s="4">
        <f t="shared" si="0"/>
        <v>1106600</v>
      </c>
      <c r="T3" s="4">
        <f t="shared" si="0"/>
        <v>944900</v>
      </c>
      <c r="U3" s="4">
        <f t="shared" si="0"/>
        <v>720500</v>
      </c>
      <c r="V3" s="4">
        <f t="shared" si="0"/>
        <v>739220</v>
      </c>
      <c r="W3" s="4">
        <f t="shared" si="0"/>
        <v>533500</v>
      </c>
      <c r="X3" s="4">
        <f t="shared" si="0"/>
        <v>484011</v>
      </c>
      <c r="Y3" s="4">
        <f t="shared" si="0"/>
        <v>276100</v>
      </c>
      <c r="Z3" s="4">
        <f t="shared" si="0"/>
        <v>429000</v>
      </c>
      <c r="AA3" s="4">
        <f t="shared" si="0"/>
        <v>399300</v>
      </c>
      <c r="AB3" s="4">
        <f t="shared" si="0"/>
        <v>700700</v>
      </c>
      <c r="AC3" s="4">
        <f t="shared" si="0"/>
        <v>473000</v>
      </c>
      <c r="AD3" s="4">
        <f t="shared" si="0"/>
        <v>536800</v>
      </c>
      <c r="AE3" s="4">
        <f t="shared" si="0"/>
        <v>471900</v>
      </c>
      <c r="AF3" s="4">
        <v>405900</v>
      </c>
      <c r="AG3" s="4">
        <v>155100</v>
      </c>
      <c r="AH3" s="4">
        <v>311300</v>
      </c>
      <c r="AI3" s="4">
        <v>286000</v>
      </c>
      <c r="AJ3" s="4">
        <v>102300</v>
      </c>
      <c r="AK3" s="4">
        <v>432300</v>
      </c>
      <c r="AL3" s="4">
        <v>399300</v>
      </c>
      <c r="AM3" s="4">
        <v>281600</v>
      </c>
      <c r="AN3" s="4">
        <v>308000</v>
      </c>
    </row>
    <row r="4" spans="1:40" x14ac:dyDescent="0.3">
      <c r="B4" t="s">
        <v>142</v>
      </c>
      <c r="C4" s="2">
        <v>19575600</v>
      </c>
      <c r="D4" s="4">
        <v>1106600</v>
      </c>
      <c r="E4" s="4">
        <v>1610400</v>
      </c>
      <c r="F4" s="4">
        <v>1469600</v>
      </c>
      <c r="G4" s="4">
        <v>864600</v>
      </c>
      <c r="H4" s="4">
        <v>975700</v>
      </c>
      <c r="I4" s="4">
        <v>976800</v>
      </c>
      <c r="J4" s="4">
        <v>1025200</v>
      </c>
      <c r="K4" s="4">
        <v>1205600</v>
      </c>
      <c r="L4" s="4">
        <v>503800</v>
      </c>
      <c r="M4" s="4">
        <v>1105500</v>
      </c>
      <c r="N4" s="4">
        <v>815100</v>
      </c>
      <c r="O4" s="4">
        <v>921800</v>
      </c>
      <c r="P4" s="4">
        <v>777700</v>
      </c>
      <c r="Q4" s="4">
        <v>973500</v>
      </c>
      <c r="R4" s="4">
        <v>706200</v>
      </c>
      <c r="S4" s="4">
        <v>1240800</v>
      </c>
      <c r="T4" s="4">
        <v>772200</v>
      </c>
      <c r="U4" s="4">
        <v>325600</v>
      </c>
      <c r="V4" s="4">
        <v>148500</v>
      </c>
      <c r="W4" s="4">
        <v>441100</v>
      </c>
      <c r="X4" s="4">
        <v>215600</v>
      </c>
      <c r="Y4" s="4">
        <v>187000</v>
      </c>
      <c r="Z4" s="4">
        <v>118800</v>
      </c>
      <c r="AA4" s="4">
        <v>91300</v>
      </c>
      <c r="AB4" s="4">
        <v>223300</v>
      </c>
      <c r="AC4" s="4">
        <v>246400</v>
      </c>
      <c r="AD4" s="4">
        <v>332200</v>
      </c>
      <c r="AE4" s="4">
        <v>194700</v>
      </c>
      <c r="AF4" s="4">
        <v>154000</v>
      </c>
      <c r="AG4" s="4">
        <v>148500</v>
      </c>
      <c r="AH4" s="4">
        <v>149600</v>
      </c>
      <c r="AI4" s="4">
        <v>144100</v>
      </c>
      <c r="AJ4" s="4">
        <v>91300</v>
      </c>
      <c r="AK4" s="4">
        <v>107800</v>
      </c>
      <c r="AL4" s="4">
        <v>315700</v>
      </c>
      <c r="AM4" s="4">
        <v>114400</v>
      </c>
      <c r="AN4" s="4">
        <v>31900</v>
      </c>
    </row>
    <row r="5" spans="1:40" x14ac:dyDescent="0.3">
      <c r="A5" t="s">
        <v>1</v>
      </c>
      <c r="B5" t="s">
        <v>92</v>
      </c>
      <c r="C5" s="2">
        <v>16502200</v>
      </c>
      <c r="D5" s="4">
        <v>973500</v>
      </c>
      <c r="E5" s="4">
        <v>1475100</v>
      </c>
      <c r="F5" s="4">
        <v>1160500</v>
      </c>
      <c r="G5" s="4">
        <v>944900</v>
      </c>
      <c r="H5" s="4">
        <v>882200</v>
      </c>
      <c r="I5" s="4">
        <v>732600</v>
      </c>
      <c r="J5" s="4">
        <v>776600</v>
      </c>
      <c r="K5" s="4">
        <v>313500</v>
      </c>
      <c r="L5" s="4">
        <v>899800</v>
      </c>
      <c r="M5" s="4">
        <v>994400</v>
      </c>
      <c r="N5" s="4">
        <v>342100</v>
      </c>
      <c r="O5" s="4">
        <v>768900</v>
      </c>
      <c r="P5" s="4">
        <v>522500</v>
      </c>
      <c r="Q5" s="4">
        <v>674300</v>
      </c>
      <c r="R5" s="4">
        <v>563200</v>
      </c>
      <c r="S5" s="4">
        <v>787600</v>
      </c>
      <c r="T5" s="4">
        <v>662200</v>
      </c>
      <c r="U5" s="4">
        <v>646800</v>
      </c>
      <c r="V5" s="4">
        <v>503800</v>
      </c>
      <c r="W5" s="4">
        <v>161700</v>
      </c>
      <c r="X5" s="4">
        <v>312400</v>
      </c>
      <c r="Y5" s="4">
        <v>147400</v>
      </c>
      <c r="Z5" s="4">
        <v>301400</v>
      </c>
      <c r="AA5" s="4">
        <v>145200</v>
      </c>
      <c r="AB5" s="4">
        <v>382800</v>
      </c>
      <c r="AC5" s="4">
        <v>259600</v>
      </c>
      <c r="AD5" s="4">
        <v>92400</v>
      </c>
      <c r="AE5" s="4">
        <v>74800</v>
      </c>
      <c r="AF5" s="4">
        <v>114400</v>
      </c>
      <c r="AG5" s="4">
        <v>157300</v>
      </c>
      <c r="AH5" s="4">
        <v>75900</v>
      </c>
      <c r="AI5" s="4">
        <v>62700</v>
      </c>
      <c r="AJ5" s="4">
        <v>35200</v>
      </c>
      <c r="AK5" s="4">
        <v>292600</v>
      </c>
      <c r="AL5" s="4">
        <v>169400</v>
      </c>
      <c r="AM5" s="4">
        <v>116600</v>
      </c>
      <c r="AN5" s="4">
        <v>132000</v>
      </c>
    </row>
    <row r="6" spans="1:40" x14ac:dyDescent="0.3">
      <c r="A6" t="s">
        <v>1</v>
      </c>
      <c r="B6" t="s">
        <v>93</v>
      </c>
      <c r="C6" s="2">
        <v>25135000</v>
      </c>
      <c r="D6" s="4">
        <v>1777600</v>
      </c>
      <c r="E6" s="4">
        <v>1768800</v>
      </c>
      <c r="F6" s="4">
        <v>1598300</v>
      </c>
      <c r="G6" s="4">
        <v>1486100</v>
      </c>
      <c r="H6" s="4">
        <v>1941500</v>
      </c>
      <c r="I6" s="4">
        <v>1116500</v>
      </c>
      <c r="J6" s="4">
        <v>910800</v>
      </c>
      <c r="K6" s="4">
        <v>2036100</v>
      </c>
      <c r="L6" s="4">
        <v>1337600</v>
      </c>
      <c r="M6" s="4">
        <v>855800</v>
      </c>
      <c r="N6" s="4">
        <v>816200</v>
      </c>
      <c r="O6" s="4">
        <v>1570800</v>
      </c>
      <c r="P6" s="4">
        <v>607200</v>
      </c>
      <c r="Q6" s="4">
        <v>807400</v>
      </c>
      <c r="R6" s="4">
        <v>709500</v>
      </c>
      <c r="S6" s="4">
        <v>1052700</v>
      </c>
      <c r="T6" s="4">
        <v>1062600</v>
      </c>
      <c r="U6" s="4">
        <v>465300</v>
      </c>
      <c r="V6" s="4">
        <v>486200</v>
      </c>
      <c r="W6" s="4">
        <v>382800</v>
      </c>
      <c r="X6" s="4">
        <v>392700</v>
      </c>
      <c r="Y6" s="4">
        <v>198000</v>
      </c>
      <c r="Z6" s="4">
        <v>240900</v>
      </c>
      <c r="AA6" s="4">
        <v>343200</v>
      </c>
      <c r="AB6" s="4">
        <v>188100</v>
      </c>
      <c r="AC6" s="4">
        <v>283800</v>
      </c>
      <c r="AD6" s="4">
        <v>363000</v>
      </c>
      <c r="AE6" s="4">
        <v>335500</v>
      </c>
      <c r="AF6" s="4">
        <v>645700</v>
      </c>
      <c r="AG6" s="4">
        <v>529100</v>
      </c>
      <c r="AH6" s="4">
        <v>6600</v>
      </c>
      <c r="AI6" s="4">
        <v>90200</v>
      </c>
      <c r="AJ6" s="4">
        <v>103400</v>
      </c>
      <c r="AK6" s="4">
        <v>85800</v>
      </c>
      <c r="AL6" s="4">
        <v>411400</v>
      </c>
      <c r="AM6" s="4">
        <v>23100</v>
      </c>
      <c r="AN6" s="4">
        <v>44000</v>
      </c>
    </row>
    <row r="7" spans="1:40" x14ac:dyDescent="0.3">
      <c r="A7" t="s">
        <v>1</v>
      </c>
      <c r="B7" t="s">
        <v>95</v>
      </c>
      <c r="C7" s="2">
        <v>41258800</v>
      </c>
      <c r="D7" s="4">
        <v>1401400</v>
      </c>
      <c r="E7" s="4">
        <v>2158200</v>
      </c>
      <c r="F7" s="4">
        <v>2249500</v>
      </c>
      <c r="G7" s="4">
        <v>1817200</v>
      </c>
      <c r="H7" s="4">
        <v>2884200</v>
      </c>
      <c r="I7" s="4">
        <v>3129500</v>
      </c>
      <c r="J7" s="4">
        <v>2171400</v>
      </c>
      <c r="K7" s="4">
        <v>1952500</v>
      </c>
      <c r="L7" s="4">
        <v>1296900</v>
      </c>
      <c r="M7" s="4">
        <v>1324400</v>
      </c>
      <c r="N7" s="4">
        <v>1642300</v>
      </c>
      <c r="O7" s="4">
        <v>1939300</v>
      </c>
      <c r="P7" s="4">
        <v>2030600</v>
      </c>
      <c r="Q7" s="4">
        <v>1445400</v>
      </c>
      <c r="R7" s="4">
        <v>620400</v>
      </c>
      <c r="S7" s="4">
        <v>1994300</v>
      </c>
      <c r="T7" s="4">
        <v>1838100</v>
      </c>
      <c r="U7" s="4">
        <v>1810600</v>
      </c>
      <c r="V7" s="4">
        <v>1181400</v>
      </c>
      <c r="W7" s="4">
        <v>744700</v>
      </c>
      <c r="X7" s="4">
        <v>918500</v>
      </c>
      <c r="Y7" s="4">
        <v>613800</v>
      </c>
      <c r="Z7" s="4">
        <v>589600</v>
      </c>
      <c r="AA7" s="4">
        <v>515900</v>
      </c>
      <c r="AB7" s="4">
        <v>728200</v>
      </c>
      <c r="AC7" s="4">
        <v>1067000</v>
      </c>
      <c r="AD7" s="4">
        <v>446600</v>
      </c>
      <c r="AE7" s="4">
        <v>746900</v>
      </c>
      <c r="AF7" s="4">
        <v>619300</v>
      </c>
      <c r="AG7" s="4">
        <v>508200</v>
      </c>
      <c r="AH7" s="4">
        <v>576400</v>
      </c>
      <c r="AI7" s="4">
        <v>405900</v>
      </c>
      <c r="AJ7" s="4">
        <v>266200</v>
      </c>
      <c r="AK7" s="4">
        <v>254100</v>
      </c>
      <c r="AL7" s="4">
        <v>305800</v>
      </c>
      <c r="AM7" s="4">
        <v>83600</v>
      </c>
      <c r="AN7" s="4">
        <v>79200</v>
      </c>
    </row>
    <row r="8" spans="1:40" x14ac:dyDescent="0.3">
      <c r="A8" t="s">
        <v>1</v>
      </c>
      <c r="B8" t="s">
        <v>96</v>
      </c>
      <c r="C8" s="2">
        <v>24613600</v>
      </c>
      <c r="D8" s="4">
        <v>608300</v>
      </c>
      <c r="E8" s="4">
        <v>1166000</v>
      </c>
      <c r="F8" s="4">
        <v>649000</v>
      </c>
      <c r="G8" s="4">
        <v>970200</v>
      </c>
      <c r="H8" s="4">
        <v>1155000</v>
      </c>
      <c r="I8" s="4">
        <v>924000</v>
      </c>
      <c r="J8" s="4">
        <v>995500</v>
      </c>
      <c r="K8" s="4">
        <v>1563100</v>
      </c>
      <c r="L8" s="4">
        <v>963600</v>
      </c>
      <c r="M8" s="4">
        <v>288200</v>
      </c>
      <c r="N8" s="4">
        <v>961400</v>
      </c>
      <c r="O8" s="4">
        <v>1381600</v>
      </c>
      <c r="P8" s="4">
        <v>713900</v>
      </c>
      <c r="Q8" s="4">
        <v>1194600</v>
      </c>
      <c r="R8" s="4">
        <v>1316700</v>
      </c>
      <c r="S8" s="4">
        <v>839300</v>
      </c>
      <c r="T8" s="4">
        <v>467500</v>
      </c>
      <c r="U8" s="4">
        <v>1794100</v>
      </c>
      <c r="V8" s="4">
        <v>950400</v>
      </c>
      <c r="W8" s="4">
        <v>715000</v>
      </c>
      <c r="X8" s="4">
        <v>699600</v>
      </c>
      <c r="Y8" s="4">
        <v>594000</v>
      </c>
      <c r="Z8" s="4">
        <v>735900</v>
      </c>
      <c r="AA8" s="4">
        <v>622600</v>
      </c>
      <c r="AB8" s="4">
        <v>841500</v>
      </c>
      <c r="AC8" s="4">
        <v>386100</v>
      </c>
      <c r="AD8" s="4">
        <v>778800</v>
      </c>
      <c r="AE8" s="4">
        <v>337700</v>
      </c>
      <c r="AF8" s="4">
        <v>733700</v>
      </c>
      <c r="AG8" s="4">
        <v>369600</v>
      </c>
      <c r="AH8" s="4">
        <v>352000</v>
      </c>
      <c r="AI8" s="4">
        <v>330000</v>
      </c>
      <c r="AJ8" s="4">
        <v>305800</v>
      </c>
      <c r="AK8" s="4">
        <v>488400</v>
      </c>
      <c r="AL8" s="4">
        <v>415800</v>
      </c>
      <c r="AM8" s="4">
        <v>204600</v>
      </c>
      <c r="AN8" s="4">
        <v>11000</v>
      </c>
    </row>
    <row r="9" spans="1:40" x14ac:dyDescent="0.3">
      <c r="A9" t="s">
        <v>1</v>
      </c>
      <c r="B9" t="s">
        <v>98</v>
      </c>
      <c r="C9" s="2">
        <v>23425600</v>
      </c>
      <c r="D9" s="4">
        <v>286000</v>
      </c>
      <c r="E9" s="4">
        <v>281600</v>
      </c>
      <c r="F9" s="4">
        <v>563200</v>
      </c>
      <c r="G9" s="4">
        <v>799700</v>
      </c>
      <c r="H9" s="4">
        <v>1894200</v>
      </c>
      <c r="I9" s="4">
        <v>1166000</v>
      </c>
      <c r="J9" s="4">
        <v>601700</v>
      </c>
      <c r="K9" s="4">
        <v>550000</v>
      </c>
      <c r="L9" s="4">
        <v>550000</v>
      </c>
      <c r="M9" s="4">
        <v>754600</v>
      </c>
      <c r="N9" s="4">
        <v>1551000</v>
      </c>
      <c r="O9" s="4">
        <v>1856800</v>
      </c>
      <c r="P9" s="4">
        <v>1227600</v>
      </c>
      <c r="Q9" s="4">
        <v>739200</v>
      </c>
      <c r="R9" s="4">
        <v>1233100</v>
      </c>
      <c r="S9" s="4">
        <v>566500</v>
      </c>
      <c r="T9" s="4">
        <v>739200</v>
      </c>
      <c r="U9" s="4">
        <v>922900</v>
      </c>
      <c r="V9" s="4">
        <v>1392600</v>
      </c>
      <c r="W9" s="4">
        <v>759000</v>
      </c>
      <c r="X9" s="4">
        <v>826100</v>
      </c>
      <c r="Y9" s="4">
        <v>913000</v>
      </c>
      <c r="Z9" s="4">
        <v>499400</v>
      </c>
      <c r="AA9" s="4">
        <v>757900</v>
      </c>
      <c r="AB9" s="4">
        <v>742500</v>
      </c>
      <c r="AC9" s="4">
        <v>592900</v>
      </c>
      <c r="AD9" s="4">
        <v>264000</v>
      </c>
      <c r="AE9" s="4">
        <v>394900</v>
      </c>
      <c r="AF9" s="4">
        <v>559900</v>
      </c>
      <c r="AG9" s="4">
        <v>803000</v>
      </c>
      <c r="AH9" s="4">
        <v>416900</v>
      </c>
      <c r="AI9" s="4">
        <v>759000</v>
      </c>
      <c r="AJ9" s="4">
        <v>755700</v>
      </c>
      <c r="AK9" s="4">
        <v>567600</v>
      </c>
      <c r="AL9" s="4">
        <v>372900</v>
      </c>
      <c r="AM9" s="4">
        <v>284900</v>
      </c>
      <c r="AN9" s="4">
        <v>363000</v>
      </c>
    </row>
    <row r="10" spans="1:40" x14ac:dyDescent="0.3">
      <c r="A10" t="s">
        <v>1</v>
      </c>
      <c r="B10" t="s">
        <v>99</v>
      </c>
      <c r="C10" s="2">
        <v>17009300</v>
      </c>
      <c r="D10" s="4">
        <v>132000</v>
      </c>
      <c r="E10" s="4">
        <v>204600</v>
      </c>
      <c r="F10" s="4">
        <v>553300</v>
      </c>
      <c r="G10" s="4">
        <v>1474000</v>
      </c>
      <c r="H10" s="4">
        <v>165000</v>
      </c>
      <c r="I10" s="4">
        <v>1612600</v>
      </c>
      <c r="J10" s="4">
        <v>352000</v>
      </c>
      <c r="K10" s="4">
        <v>1315600</v>
      </c>
      <c r="L10" s="4">
        <v>418000</v>
      </c>
      <c r="M10" s="4">
        <v>376200</v>
      </c>
      <c r="N10" s="4">
        <v>1144000</v>
      </c>
      <c r="O10" s="4">
        <v>1160500</v>
      </c>
      <c r="P10" s="4">
        <v>385000</v>
      </c>
      <c r="Q10" s="4">
        <v>408100</v>
      </c>
      <c r="R10" s="4">
        <v>335500</v>
      </c>
      <c r="S10" s="4">
        <v>281600</v>
      </c>
      <c r="T10" s="4">
        <v>877800</v>
      </c>
      <c r="U10" s="4">
        <v>971300</v>
      </c>
      <c r="V10" s="4">
        <v>370700</v>
      </c>
      <c r="W10" s="4">
        <v>448800</v>
      </c>
      <c r="X10" s="4">
        <v>411400</v>
      </c>
      <c r="Y10" s="4">
        <v>579700</v>
      </c>
      <c r="Z10" s="4">
        <v>577500</v>
      </c>
      <c r="AA10" s="4">
        <v>508200</v>
      </c>
      <c r="AB10" s="4">
        <v>479600</v>
      </c>
      <c r="AC10" s="4">
        <v>811800</v>
      </c>
      <c r="AD10" s="4">
        <v>337700</v>
      </c>
      <c r="AE10" s="4">
        <v>316800</v>
      </c>
      <c r="AF10" s="4">
        <v>477400</v>
      </c>
      <c r="AG10" s="4">
        <v>220000</v>
      </c>
      <c r="AH10" s="4">
        <v>250800</v>
      </c>
      <c r="AI10" s="4">
        <v>358600</v>
      </c>
      <c r="AJ10" s="4">
        <v>303600</v>
      </c>
      <c r="AK10" s="4">
        <v>407000</v>
      </c>
      <c r="AL10" s="4">
        <v>739200</v>
      </c>
      <c r="AM10" s="4">
        <v>697400</v>
      </c>
      <c r="AN10" s="4">
        <v>423500</v>
      </c>
    </row>
    <row r="11" spans="1:40" x14ac:dyDescent="0.3">
      <c r="A11" t="s">
        <v>1</v>
      </c>
      <c r="B11" t="s">
        <v>101</v>
      </c>
      <c r="C11" s="2">
        <v>17095100</v>
      </c>
      <c r="D11" s="4">
        <v>0</v>
      </c>
      <c r="E11" s="4">
        <v>495000</v>
      </c>
      <c r="F11" s="4">
        <v>220000</v>
      </c>
      <c r="G11" s="4">
        <v>264000</v>
      </c>
      <c r="H11" s="4">
        <v>605000</v>
      </c>
      <c r="I11" s="4">
        <v>803000</v>
      </c>
      <c r="J11" s="4">
        <v>1485000</v>
      </c>
      <c r="K11" s="4">
        <v>1384900</v>
      </c>
      <c r="L11" s="4">
        <v>589600</v>
      </c>
      <c r="M11" s="4">
        <v>231000</v>
      </c>
      <c r="N11" s="4">
        <v>1430000</v>
      </c>
      <c r="O11" s="4">
        <v>545600</v>
      </c>
      <c r="P11" s="4">
        <v>705100</v>
      </c>
      <c r="Q11" s="4">
        <v>647900</v>
      </c>
      <c r="R11" s="4">
        <v>872300</v>
      </c>
      <c r="S11" s="4">
        <v>155100</v>
      </c>
      <c r="T11" s="4">
        <v>116600</v>
      </c>
      <c r="U11" s="4">
        <v>1062600</v>
      </c>
      <c r="V11" s="4">
        <v>1822700</v>
      </c>
      <c r="W11" s="4">
        <v>275000</v>
      </c>
      <c r="X11" s="4">
        <v>521400</v>
      </c>
      <c r="Y11" s="4">
        <v>480700</v>
      </c>
      <c r="Z11" s="4">
        <v>405900</v>
      </c>
      <c r="AA11" s="4">
        <v>215600</v>
      </c>
      <c r="AB11" s="4">
        <v>422400</v>
      </c>
      <c r="AC11" s="4">
        <v>485100</v>
      </c>
      <c r="AD11" s="4">
        <v>475200</v>
      </c>
      <c r="AE11" s="4">
        <v>378400</v>
      </c>
      <c r="AF11" s="4">
        <v>636900</v>
      </c>
      <c r="AG11" s="4">
        <v>1998700</v>
      </c>
      <c r="AH11" s="4">
        <v>308000</v>
      </c>
      <c r="AI11" s="4">
        <v>367400</v>
      </c>
      <c r="AJ11" s="4">
        <v>247500</v>
      </c>
      <c r="AK11" s="4">
        <v>1010900</v>
      </c>
      <c r="AL11" s="4">
        <v>918500</v>
      </c>
      <c r="AM11" s="4">
        <v>506000</v>
      </c>
      <c r="AN11" s="4">
        <v>199100</v>
      </c>
    </row>
    <row r="12" spans="1:40" x14ac:dyDescent="0.3">
      <c r="A12" t="s">
        <v>1</v>
      </c>
      <c r="B12" t="s">
        <v>102</v>
      </c>
      <c r="C12" s="2">
        <v>5285500</v>
      </c>
      <c r="D12" s="4">
        <v>1100</v>
      </c>
      <c r="E12" s="4">
        <v>111100</v>
      </c>
      <c r="F12" s="4">
        <v>550000</v>
      </c>
      <c r="G12" s="4">
        <v>110000</v>
      </c>
      <c r="H12" s="4">
        <v>0</v>
      </c>
      <c r="I12" s="4">
        <v>220000</v>
      </c>
      <c r="J12" s="4">
        <v>814000</v>
      </c>
      <c r="K12" s="4">
        <v>238700</v>
      </c>
      <c r="L12" s="4">
        <v>501600</v>
      </c>
      <c r="M12" s="4">
        <v>341000</v>
      </c>
      <c r="N12" s="4">
        <v>319000</v>
      </c>
      <c r="O12" s="4">
        <v>0</v>
      </c>
      <c r="P12" s="4">
        <v>143000</v>
      </c>
      <c r="Q12" s="4">
        <v>275000</v>
      </c>
      <c r="R12" s="4">
        <v>440000</v>
      </c>
      <c r="S12" s="4">
        <v>0</v>
      </c>
      <c r="T12" s="4">
        <v>440000</v>
      </c>
      <c r="U12" s="4">
        <v>110000</v>
      </c>
      <c r="V12" s="4">
        <v>440000</v>
      </c>
      <c r="W12" s="4">
        <v>0</v>
      </c>
      <c r="X12" s="4">
        <v>11000</v>
      </c>
      <c r="Y12" s="4">
        <v>0</v>
      </c>
      <c r="Z12" s="4">
        <v>88000</v>
      </c>
      <c r="AA12" s="4">
        <v>0</v>
      </c>
      <c r="AB12" s="4">
        <v>0</v>
      </c>
      <c r="AC12" s="4">
        <v>55000</v>
      </c>
      <c r="AD12" s="4">
        <v>66000</v>
      </c>
      <c r="AE12" s="4">
        <v>11000</v>
      </c>
      <c r="AF12" s="4">
        <v>305800</v>
      </c>
      <c r="AG12" s="4">
        <v>107800</v>
      </c>
      <c r="AH12" s="4">
        <v>45100</v>
      </c>
      <c r="AI12" s="4">
        <v>96800</v>
      </c>
      <c r="AJ12" s="4">
        <v>53900</v>
      </c>
      <c r="AK12" s="4">
        <v>224400</v>
      </c>
      <c r="AL12" s="4">
        <v>821700</v>
      </c>
      <c r="AM12" s="4">
        <v>460900</v>
      </c>
      <c r="AN12" s="4">
        <v>184800</v>
      </c>
    </row>
    <row r="13" spans="1:40" x14ac:dyDescent="0.3">
      <c r="A13" t="s">
        <v>1</v>
      </c>
      <c r="B13" t="s">
        <v>104</v>
      </c>
      <c r="C13" s="2">
        <v>6293100</v>
      </c>
      <c r="D13" s="4">
        <v>0</v>
      </c>
      <c r="E13" s="4">
        <v>1100</v>
      </c>
      <c r="F13" s="4">
        <v>0</v>
      </c>
      <c r="G13" s="4">
        <v>121000</v>
      </c>
      <c r="H13" s="4">
        <v>220000</v>
      </c>
      <c r="I13" s="4">
        <v>1382700</v>
      </c>
      <c r="J13" s="4">
        <v>253000</v>
      </c>
      <c r="K13" s="4">
        <v>231000</v>
      </c>
      <c r="L13" s="4">
        <v>385000</v>
      </c>
      <c r="M13" s="4">
        <v>880000</v>
      </c>
      <c r="N13" s="4">
        <v>245300</v>
      </c>
      <c r="O13" s="4">
        <v>352000</v>
      </c>
      <c r="P13" s="4">
        <v>66000</v>
      </c>
      <c r="Q13" s="4">
        <v>220000</v>
      </c>
      <c r="R13" s="4">
        <v>116600</v>
      </c>
      <c r="S13" s="4">
        <v>330000</v>
      </c>
      <c r="T13" s="4">
        <v>110000</v>
      </c>
      <c r="U13" s="4">
        <v>0</v>
      </c>
      <c r="V13" s="4">
        <v>110000</v>
      </c>
      <c r="W13" s="4">
        <v>418000</v>
      </c>
      <c r="X13" s="4">
        <v>110000</v>
      </c>
      <c r="Y13" s="4">
        <v>334400</v>
      </c>
      <c r="Z13" s="4">
        <v>110000</v>
      </c>
      <c r="AA13" s="4">
        <v>0</v>
      </c>
      <c r="AB13" s="4">
        <v>66000</v>
      </c>
      <c r="AC13" s="4">
        <v>176000</v>
      </c>
      <c r="AD13" s="4">
        <v>44000</v>
      </c>
      <c r="AE13" s="4">
        <v>11000</v>
      </c>
      <c r="AF13" s="4">
        <v>0</v>
      </c>
      <c r="AG13" s="4">
        <v>220000</v>
      </c>
      <c r="AH13" s="4">
        <v>2200</v>
      </c>
      <c r="AI13" s="4">
        <v>187000</v>
      </c>
      <c r="AJ13" s="4">
        <v>143000</v>
      </c>
      <c r="AK13" s="4">
        <v>22000</v>
      </c>
      <c r="AL13" s="4">
        <v>407000</v>
      </c>
      <c r="AM13" s="4">
        <v>403700</v>
      </c>
      <c r="AN13" s="4">
        <v>66000</v>
      </c>
    </row>
    <row r="14" spans="1:40" x14ac:dyDescent="0.3">
      <c r="A14" t="s">
        <v>1</v>
      </c>
      <c r="B14" t="s">
        <v>105</v>
      </c>
      <c r="C14" s="2">
        <v>3039300</v>
      </c>
      <c r="D14" s="4">
        <v>33000</v>
      </c>
      <c r="E14" s="4">
        <v>0</v>
      </c>
      <c r="F14" s="4">
        <v>0</v>
      </c>
      <c r="G14" s="4">
        <v>0</v>
      </c>
      <c r="H14" s="4">
        <v>0</v>
      </c>
      <c r="I14" s="4">
        <v>1117600</v>
      </c>
      <c r="J14" s="4">
        <v>28600</v>
      </c>
      <c r="K14" s="4">
        <v>11000</v>
      </c>
      <c r="L14" s="4">
        <v>220000</v>
      </c>
      <c r="M14" s="4">
        <v>55000</v>
      </c>
      <c r="N14" s="4">
        <v>110000</v>
      </c>
      <c r="O14" s="4">
        <v>0</v>
      </c>
      <c r="P14" s="4">
        <v>0</v>
      </c>
      <c r="Q14" s="4">
        <v>418000</v>
      </c>
      <c r="R14" s="4">
        <v>143000</v>
      </c>
      <c r="S14" s="4">
        <v>0</v>
      </c>
      <c r="T14" s="4">
        <v>0</v>
      </c>
      <c r="U14" s="4">
        <v>110000</v>
      </c>
      <c r="V14" s="4">
        <v>0</v>
      </c>
      <c r="W14" s="4">
        <v>55000</v>
      </c>
      <c r="X14" s="4">
        <v>0</v>
      </c>
      <c r="Y14" s="4">
        <v>110000</v>
      </c>
      <c r="Z14" s="4">
        <v>374000</v>
      </c>
      <c r="AA14" s="4">
        <v>165000</v>
      </c>
      <c r="AB14" s="4">
        <v>34100</v>
      </c>
      <c r="AC14" s="4">
        <v>55000</v>
      </c>
      <c r="AD14" s="4">
        <v>0</v>
      </c>
      <c r="AE14" s="4">
        <v>0</v>
      </c>
      <c r="AF14" s="4">
        <v>0</v>
      </c>
      <c r="AG14" s="4">
        <v>0</v>
      </c>
      <c r="AH14" s="4">
        <v>55000</v>
      </c>
      <c r="AI14" s="4">
        <v>0</v>
      </c>
      <c r="AJ14" s="4">
        <v>110000</v>
      </c>
      <c r="AK14" s="4">
        <v>88000</v>
      </c>
      <c r="AL14" s="4">
        <v>783200</v>
      </c>
      <c r="AM14" s="4">
        <v>162800</v>
      </c>
      <c r="AN14" s="4">
        <v>6600</v>
      </c>
    </row>
    <row r="15" spans="1:40" x14ac:dyDescent="0.3">
      <c r="A15" t="s">
        <v>1</v>
      </c>
      <c r="B15" t="s">
        <v>141</v>
      </c>
      <c r="C15" s="2">
        <v>2850100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220000</v>
      </c>
      <c r="K15" s="4">
        <v>770000</v>
      </c>
      <c r="L15" s="4">
        <v>0</v>
      </c>
      <c r="M15" s="4">
        <v>22000</v>
      </c>
      <c r="N15" s="4">
        <v>0</v>
      </c>
      <c r="O15" s="4">
        <v>0</v>
      </c>
      <c r="P15" s="4">
        <v>0</v>
      </c>
      <c r="Q15" s="4">
        <v>0</v>
      </c>
      <c r="R15" s="4">
        <v>165000</v>
      </c>
      <c r="S15" s="4">
        <v>88000</v>
      </c>
      <c r="T15" s="4">
        <v>33000</v>
      </c>
      <c r="U15" s="4">
        <v>66000</v>
      </c>
      <c r="V15" s="4">
        <v>33000</v>
      </c>
      <c r="W15" s="4">
        <v>110000</v>
      </c>
      <c r="X15" s="4">
        <v>165000</v>
      </c>
      <c r="Y15" s="4">
        <v>0</v>
      </c>
      <c r="Z15" s="4">
        <v>550000</v>
      </c>
      <c r="AA15" s="4">
        <v>0</v>
      </c>
      <c r="AB15" s="4">
        <v>517000</v>
      </c>
      <c r="AC15" s="4">
        <v>111100</v>
      </c>
      <c r="AD15" s="4">
        <v>0</v>
      </c>
      <c r="AE15" s="4">
        <v>0</v>
      </c>
      <c r="AF15" s="4">
        <v>309100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39600</v>
      </c>
      <c r="AM15" s="4">
        <v>99000</v>
      </c>
      <c r="AN15" s="4">
        <v>0</v>
      </c>
    </row>
    <row r="16" spans="1:40" x14ac:dyDescent="0.3">
      <c r="A16" t="s">
        <v>1</v>
      </c>
      <c r="B16" t="s">
        <v>107</v>
      </c>
      <c r="C16" s="2">
        <v>2124100</v>
      </c>
      <c r="D16" s="4">
        <v>0</v>
      </c>
      <c r="E16" s="4">
        <v>0</v>
      </c>
      <c r="F16" s="4">
        <v>0</v>
      </c>
      <c r="G16" s="4">
        <v>0</v>
      </c>
      <c r="H16" s="4">
        <v>165000</v>
      </c>
      <c r="I16" s="4">
        <v>0</v>
      </c>
      <c r="J16" s="4">
        <v>0</v>
      </c>
      <c r="K16" s="4">
        <v>1100000</v>
      </c>
      <c r="L16" s="4">
        <v>0</v>
      </c>
      <c r="M16" s="4">
        <v>143000</v>
      </c>
      <c r="N16" s="4">
        <v>33000</v>
      </c>
      <c r="O16" s="4">
        <v>88000</v>
      </c>
      <c r="P16" s="4">
        <v>0</v>
      </c>
      <c r="Q16" s="4">
        <v>11000</v>
      </c>
      <c r="R16" s="4">
        <v>1100</v>
      </c>
      <c r="S16" s="4">
        <v>44000</v>
      </c>
      <c r="T16" s="4">
        <v>0</v>
      </c>
      <c r="U16" s="4">
        <v>33000</v>
      </c>
      <c r="V16" s="4">
        <v>0</v>
      </c>
      <c r="W16" s="4">
        <v>55000</v>
      </c>
      <c r="X16" s="4">
        <v>11000</v>
      </c>
      <c r="Y16" s="4">
        <v>0</v>
      </c>
      <c r="Z16" s="4">
        <v>0</v>
      </c>
      <c r="AA16" s="4">
        <v>110000</v>
      </c>
      <c r="AB16" s="4">
        <v>0</v>
      </c>
      <c r="AC16" s="4">
        <v>110000</v>
      </c>
      <c r="AD16" s="4">
        <v>220000</v>
      </c>
      <c r="AE16" s="4">
        <v>0</v>
      </c>
      <c r="AF16" s="4">
        <v>11000</v>
      </c>
      <c r="AG16" s="4">
        <v>330000</v>
      </c>
      <c r="AH16" s="4">
        <v>0</v>
      </c>
      <c r="AI16" s="4">
        <v>0</v>
      </c>
      <c r="AJ16" s="4">
        <v>0</v>
      </c>
      <c r="AK16" s="4">
        <v>33000</v>
      </c>
      <c r="AL16" s="4">
        <v>622600</v>
      </c>
      <c r="AM16" s="4">
        <v>556600</v>
      </c>
      <c r="AN16" s="4">
        <v>13200</v>
      </c>
    </row>
    <row r="17" spans="1:40" x14ac:dyDescent="0.3">
      <c r="A17" t="s">
        <v>1</v>
      </c>
      <c r="B17" t="s">
        <v>109</v>
      </c>
      <c r="C17" s="2">
        <v>1471800</v>
      </c>
      <c r="D17" s="4">
        <v>1100</v>
      </c>
      <c r="E17" s="4">
        <v>0</v>
      </c>
      <c r="F17" s="4">
        <v>1100</v>
      </c>
      <c r="G17" s="4">
        <v>1100</v>
      </c>
      <c r="H17" s="4">
        <v>1100</v>
      </c>
      <c r="I17" s="4">
        <v>1100</v>
      </c>
      <c r="J17" s="4">
        <v>0</v>
      </c>
      <c r="K17" s="4">
        <v>0</v>
      </c>
      <c r="L17" s="4">
        <v>110000</v>
      </c>
      <c r="M17" s="4">
        <v>0</v>
      </c>
      <c r="N17" s="4">
        <v>110000</v>
      </c>
      <c r="O17" s="4">
        <v>221100</v>
      </c>
      <c r="P17" s="4">
        <v>0</v>
      </c>
      <c r="Q17" s="4">
        <v>110000</v>
      </c>
      <c r="R17" s="4">
        <v>330000</v>
      </c>
      <c r="S17" s="4">
        <v>110000</v>
      </c>
      <c r="T17" s="4">
        <v>0</v>
      </c>
      <c r="U17" s="4">
        <v>0</v>
      </c>
      <c r="V17" s="4">
        <v>0</v>
      </c>
      <c r="W17" s="4">
        <v>110000</v>
      </c>
      <c r="X17" s="4">
        <v>0</v>
      </c>
      <c r="Y17" s="4">
        <v>198000</v>
      </c>
      <c r="Z17" s="4">
        <v>44000</v>
      </c>
      <c r="AA17" s="4">
        <v>0</v>
      </c>
      <c r="AB17" s="4">
        <v>0</v>
      </c>
      <c r="AC17" s="4">
        <v>0</v>
      </c>
      <c r="AD17" s="4">
        <v>12100</v>
      </c>
      <c r="AE17" s="4">
        <v>111100</v>
      </c>
      <c r="AF17" s="4">
        <v>110000</v>
      </c>
      <c r="AG17" s="4">
        <v>33000</v>
      </c>
      <c r="AH17" s="4">
        <v>33000</v>
      </c>
      <c r="AI17" s="4">
        <v>309100</v>
      </c>
      <c r="AJ17" s="4">
        <v>88000</v>
      </c>
      <c r="AK17" s="4">
        <v>440000</v>
      </c>
      <c r="AL17" s="4">
        <v>122100</v>
      </c>
      <c r="AM17" s="4">
        <v>0</v>
      </c>
      <c r="AN17" s="4">
        <v>11000</v>
      </c>
    </row>
    <row r="18" spans="1:40" x14ac:dyDescent="0.3">
      <c r="A18" t="s">
        <v>1</v>
      </c>
      <c r="B18" t="s">
        <v>115</v>
      </c>
      <c r="C18" s="2">
        <v>1130800</v>
      </c>
      <c r="D18" s="4">
        <v>0</v>
      </c>
      <c r="E18" s="4">
        <v>4400</v>
      </c>
      <c r="F18" s="4">
        <v>4400</v>
      </c>
      <c r="G18" s="4">
        <v>1100</v>
      </c>
      <c r="H18" s="4">
        <v>0</v>
      </c>
      <c r="I18" s="4">
        <v>1100</v>
      </c>
      <c r="J18" s="4">
        <v>1100</v>
      </c>
      <c r="K18" s="4">
        <v>0</v>
      </c>
      <c r="L18" s="4">
        <v>0</v>
      </c>
      <c r="M18" s="4">
        <v>0</v>
      </c>
      <c r="N18" s="4">
        <v>0</v>
      </c>
      <c r="O18" s="4">
        <v>440000</v>
      </c>
      <c r="P18" s="4">
        <v>0</v>
      </c>
      <c r="Q18" s="4">
        <v>0</v>
      </c>
      <c r="R18" s="4">
        <v>12100</v>
      </c>
      <c r="S18" s="4">
        <v>110000</v>
      </c>
      <c r="T18" s="4">
        <v>0</v>
      </c>
      <c r="U18" s="4">
        <v>551100</v>
      </c>
      <c r="V18" s="4">
        <v>1100</v>
      </c>
      <c r="W18" s="4">
        <v>0</v>
      </c>
      <c r="X18" s="4">
        <v>1100</v>
      </c>
      <c r="Y18" s="4">
        <v>2200</v>
      </c>
      <c r="Z18" s="4">
        <v>0</v>
      </c>
      <c r="AA18" s="4">
        <v>0</v>
      </c>
      <c r="AB18" s="4">
        <v>0</v>
      </c>
      <c r="AC18" s="4">
        <v>0</v>
      </c>
      <c r="AD18" s="4">
        <v>1100</v>
      </c>
      <c r="AE18" s="4">
        <v>0</v>
      </c>
      <c r="AF18" s="4">
        <v>0</v>
      </c>
      <c r="AG18" s="4">
        <v>0</v>
      </c>
      <c r="AH18" s="4">
        <v>0</v>
      </c>
      <c r="AI18" s="4">
        <v>330000</v>
      </c>
      <c r="AJ18" s="4">
        <v>220000</v>
      </c>
      <c r="AK18" s="4">
        <v>12100</v>
      </c>
      <c r="AL18" s="4">
        <v>55000</v>
      </c>
      <c r="AM18" s="4">
        <v>165000</v>
      </c>
      <c r="AN18" s="4">
        <v>0</v>
      </c>
    </row>
    <row r="19" spans="1:40" x14ac:dyDescent="0.3">
      <c r="A19" t="s">
        <v>1</v>
      </c>
      <c r="B19" t="s">
        <v>111</v>
      </c>
      <c r="C19" s="2">
        <v>1379400</v>
      </c>
      <c r="D19" s="4">
        <v>1100</v>
      </c>
      <c r="E19" s="4">
        <v>0</v>
      </c>
      <c r="F19" s="4">
        <v>0</v>
      </c>
      <c r="G19" s="4">
        <v>0</v>
      </c>
      <c r="H19" s="4">
        <v>0</v>
      </c>
      <c r="I19" s="4">
        <v>1100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110000</v>
      </c>
      <c r="R19" s="4">
        <v>550000</v>
      </c>
      <c r="S19" s="4">
        <v>0</v>
      </c>
      <c r="T19" s="4">
        <v>0</v>
      </c>
      <c r="U19" s="4">
        <v>0</v>
      </c>
      <c r="V19" s="4">
        <v>1100</v>
      </c>
      <c r="W19" s="4">
        <v>220000</v>
      </c>
      <c r="X19" s="4">
        <v>111100</v>
      </c>
      <c r="Y19" s="4">
        <v>16500</v>
      </c>
      <c r="Z19" s="4">
        <v>0</v>
      </c>
      <c r="AA19" s="4">
        <v>1100</v>
      </c>
      <c r="AB19" s="4">
        <v>363000</v>
      </c>
      <c r="AC19" s="4">
        <v>2200</v>
      </c>
      <c r="AD19" s="4">
        <v>1100</v>
      </c>
      <c r="AE19" s="4">
        <v>1100</v>
      </c>
      <c r="AF19" s="4">
        <v>0</v>
      </c>
      <c r="AG19" s="4">
        <v>1100</v>
      </c>
      <c r="AH19" s="4">
        <v>5500</v>
      </c>
      <c r="AI19" s="4">
        <v>17600</v>
      </c>
      <c r="AJ19" s="4">
        <v>0</v>
      </c>
      <c r="AK19" s="4">
        <v>1100</v>
      </c>
      <c r="AL19" s="4">
        <v>275000</v>
      </c>
      <c r="AM19" s="4">
        <v>995500</v>
      </c>
      <c r="AN19" s="4">
        <v>33000</v>
      </c>
    </row>
    <row r="20" spans="1:40" x14ac:dyDescent="0.3">
      <c r="A20" t="s">
        <v>1</v>
      </c>
      <c r="B20" t="s">
        <v>136</v>
      </c>
      <c r="C20" s="2">
        <v>372900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36300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1100</v>
      </c>
      <c r="Y20" s="4">
        <v>1100</v>
      </c>
      <c r="Z20" s="4">
        <v>0</v>
      </c>
      <c r="AA20" s="4">
        <v>2200</v>
      </c>
      <c r="AB20" s="4">
        <v>220000</v>
      </c>
      <c r="AC20" s="4">
        <v>110000</v>
      </c>
      <c r="AD20" s="4">
        <v>2200</v>
      </c>
      <c r="AE20" s="4">
        <v>0</v>
      </c>
      <c r="AF20" s="4">
        <v>1100</v>
      </c>
      <c r="AG20" s="4">
        <v>0</v>
      </c>
      <c r="AH20" s="4">
        <v>4400</v>
      </c>
      <c r="AI20" s="4">
        <v>3300</v>
      </c>
      <c r="AJ20" s="4">
        <v>1100</v>
      </c>
      <c r="AK20" s="4">
        <v>3300</v>
      </c>
      <c r="AL20" s="4">
        <v>6600</v>
      </c>
      <c r="AM20" s="4">
        <v>220000</v>
      </c>
      <c r="AN20" s="4">
        <v>242000</v>
      </c>
    </row>
    <row r="21" spans="1:40" x14ac:dyDescent="0.3">
      <c r="A21" t="s">
        <v>1</v>
      </c>
      <c r="B21" t="s">
        <v>137</v>
      </c>
      <c r="C21" s="2">
        <v>359700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17600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6600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4400</v>
      </c>
      <c r="AB21" s="4">
        <v>0</v>
      </c>
      <c r="AC21" s="4">
        <v>1100</v>
      </c>
      <c r="AD21" s="4">
        <v>0</v>
      </c>
      <c r="AE21" s="4">
        <v>330000</v>
      </c>
      <c r="AF21" s="4">
        <v>0</v>
      </c>
      <c r="AG21" s="4">
        <v>0</v>
      </c>
      <c r="AH21" s="4">
        <v>111100</v>
      </c>
      <c r="AI21" s="4">
        <v>2200</v>
      </c>
      <c r="AJ21" s="4">
        <v>110000</v>
      </c>
      <c r="AK21" s="4">
        <v>0</v>
      </c>
      <c r="AL21" s="4">
        <v>55000</v>
      </c>
      <c r="AM21" s="4">
        <v>0</v>
      </c>
      <c r="AN21" s="4">
        <v>0</v>
      </c>
    </row>
    <row r="22" spans="1:40" x14ac:dyDescent="0.3">
      <c r="A22" t="s">
        <v>1</v>
      </c>
      <c r="B22" t="s">
        <v>114</v>
      </c>
      <c r="C22" s="2">
        <v>421300</v>
      </c>
      <c r="D22" s="4">
        <v>34100</v>
      </c>
      <c r="E22" s="4">
        <v>145200</v>
      </c>
      <c r="F22" s="4">
        <v>0</v>
      </c>
      <c r="G22" s="4">
        <v>0</v>
      </c>
      <c r="H22" s="4">
        <v>0</v>
      </c>
      <c r="I22" s="4">
        <v>33000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66000</v>
      </c>
      <c r="P22" s="4">
        <v>55000</v>
      </c>
      <c r="Q22" s="4">
        <v>0</v>
      </c>
      <c r="R22" s="4">
        <v>0</v>
      </c>
      <c r="S22" s="4">
        <v>22000</v>
      </c>
      <c r="T22" s="4">
        <v>33000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33000</v>
      </c>
      <c r="AD22" s="4">
        <v>0</v>
      </c>
      <c r="AE22" s="4">
        <v>0</v>
      </c>
      <c r="AF22" s="4">
        <v>6600</v>
      </c>
      <c r="AG22" s="4">
        <v>0</v>
      </c>
      <c r="AH22" s="4">
        <v>0</v>
      </c>
      <c r="AI22" s="4">
        <v>0</v>
      </c>
      <c r="AJ22" s="4">
        <v>13200</v>
      </c>
      <c r="AK22" s="4">
        <v>0</v>
      </c>
      <c r="AL22" s="4">
        <v>283800</v>
      </c>
      <c r="AM22" s="4">
        <v>113300</v>
      </c>
      <c r="AN22" s="4">
        <v>0</v>
      </c>
    </row>
    <row r="23" spans="1:40" x14ac:dyDescent="0.3">
      <c r="A23" t="s">
        <v>1</v>
      </c>
      <c r="B23" t="s">
        <v>139</v>
      </c>
      <c r="C23" s="2">
        <v>1261700</v>
      </c>
      <c r="D23" s="4">
        <v>0</v>
      </c>
      <c r="E23" s="4">
        <v>0</v>
      </c>
      <c r="F23" s="4">
        <v>166100</v>
      </c>
      <c r="G23" s="4">
        <v>129800</v>
      </c>
      <c r="H23" s="4">
        <v>589600</v>
      </c>
      <c r="I23" s="4">
        <v>6600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110000</v>
      </c>
      <c r="V23" s="4">
        <v>0</v>
      </c>
      <c r="W23" s="4">
        <v>0</v>
      </c>
      <c r="X23" s="4">
        <v>0</v>
      </c>
      <c r="Y23" s="4">
        <v>259600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33000</v>
      </c>
      <c r="AH23" s="4">
        <v>0</v>
      </c>
      <c r="AI23" s="4">
        <v>0</v>
      </c>
      <c r="AJ23" s="4">
        <v>0</v>
      </c>
      <c r="AK23" s="4">
        <v>0</v>
      </c>
      <c r="AL23" s="4">
        <v>116600</v>
      </c>
      <c r="AM23" s="4">
        <v>110000</v>
      </c>
      <c r="AN23" s="4">
        <v>110000</v>
      </c>
    </row>
    <row r="24" spans="1:40" x14ac:dyDescent="0.3">
      <c r="A24" t="s">
        <v>1</v>
      </c>
      <c r="B24" t="s">
        <v>140</v>
      </c>
      <c r="C24" s="2">
        <v>374000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11000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253000</v>
      </c>
      <c r="U24" s="4">
        <v>0</v>
      </c>
      <c r="V24" s="4">
        <v>0</v>
      </c>
      <c r="W24" s="4">
        <v>0</v>
      </c>
      <c r="X24" s="4">
        <v>0</v>
      </c>
      <c r="Y24" s="4">
        <v>110000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18700</v>
      </c>
      <c r="AG24" s="4">
        <v>55000</v>
      </c>
      <c r="AH24" s="4">
        <v>13200</v>
      </c>
      <c r="AI24" s="4">
        <v>11000</v>
      </c>
      <c r="AJ24" s="4">
        <v>0</v>
      </c>
      <c r="AK24" s="4">
        <v>0</v>
      </c>
      <c r="AL24" s="4">
        <v>0</v>
      </c>
      <c r="AM24" s="4">
        <v>440000</v>
      </c>
      <c r="AN24" s="4">
        <v>0</v>
      </c>
    </row>
    <row r="25" spans="1:40" x14ac:dyDescent="0.3">
      <c r="B25" t="s">
        <v>140</v>
      </c>
      <c r="C25" s="4">
        <f>SUM(C4:C24)</f>
        <v>210978900</v>
      </c>
      <c r="D25" s="4">
        <f t="shared" ref="D25:G25" si="1">SUM(D4:D24)</f>
        <v>6355800</v>
      </c>
      <c r="E25" s="4">
        <f t="shared" si="1"/>
        <v>9421500</v>
      </c>
      <c r="F25" s="4">
        <f t="shared" si="1"/>
        <v>9185000</v>
      </c>
      <c r="G25" s="4">
        <f t="shared" si="1"/>
        <v>8983700</v>
      </c>
      <c r="AF25" s="4">
        <v>0</v>
      </c>
      <c r="AG25" s="4">
        <v>226600</v>
      </c>
      <c r="AH25" s="4">
        <v>0</v>
      </c>
      <c r="AI25" s="4">
        <v>385000</v>
      </c>
      <c r="AJ25" s="4">
        <v>6600</v>
      </c>
      <c r="AK25" s="4">
        <v>0</v>
      </c>
      <c r="AL25" s="4">
        <v>622600</v>
      </c>
      <c r="AM25" s="4">
        <v>0</v>
      </c>
      <c r="AN25" s="4">
        <v>0</v>
      </c>
    </row>
    <row r="26" spans="1:40" x14ac:dyDescent="0.3">
      <c r="B26" t="s">
        <v>1815</v>
      </c>
      <c r="AF26" s="4">
        <v>308000</v>
      </c>
      <c r="AG26" s="4">
        <v>0</v>
      </c>
      <c r="AH26" s="4">
        <v>0</v>
      </c>
      <c r="AI26" s="4">
        <v>253000</v>
      </c>
      <c r="AJ26" s="4">
        <v>0</v>
      </c>
      <c r="AK26" s="4">
        <v>0</v>
      </c>
      <c r="AL26" s="4">
        <v>6600</v>
      </c>
      <c r="AM26" s="4">
        <v>44000</v>
      </c>
      <c r="AN26" s="4">
        <v>55000</v>
      </c>
    </row>
    <row r="27" spans="1:40" x14ac:dyDescent="0.3">
      <c r="B27" t="s">
        <v>1816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33000</v>
      </c>
      <c r="AM27" s="4">
        <v>0</v>
      </c>
      <c r="AN27" s="4">
        <v>0</v>
      </c>
    </row>
    <row r="28" spans="1:40" x14ac:dyDescent="0.3">
      <c r="B28" t="s">
        <v>1817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220000</v>
      </c>
      <c r="AM28" s="4">
        <v>0</v>
      </c>
      <c r="AN28" s="4">
        <v>0</v>
      </c>
    </row>
    <row r="29" spans="1:40" s="7" customFormat="1" x14ac:dyDescent="0.3">
      <c r="A29"/>
      <c r="B29"/>
      <c r="C29"/>
      <c r="D29"/>
      <c r="E29"/>
      <c r="F29"/>
      <c r="G29"/>
      <c r="H29" s="4">
        <f t="shared" ref="H29:AE29" si="2">SUM(H4:H24)</f>
        <v>11478500</v>
      </c>
      <c r="I29" s="4">
        <f t="shared" si="2"/>
        <v>13278100</v>
      </c>
      <c r="J29" s="4">
        <f t="shared" si="2"/>
        <v>9634900</v>
      </c>
      <c r="K29" s="4">
        <f t="shared" si="2"/>
        <v>12672000</v>
      </c>
      <c r="L29" s="4">
        <f t="shared" si="2"/>
        <v>7775900</v>
      </c>
      <c r="M29" s="4">
        <f t="shared" si="2"/>
        <v>7382100</v>
      </c>
      <c r="N29" s="4">
        <f t="shared" si="2"/>
        <v>9519400</v>
      </c>
      <c r="O29" s="4">
        <f t="shared" si="2"/>
        <v>11312400</v>
      </c>
      <c r="P29" s="4">
        <f t="shared" si="2"/>
        <v>7240200</v>
      </c>
      <c r="Q29" s="4">
        <f t="shared" si="2"/>
        <v>8034400</v>
      </c>
      <c r="R29" s="4">
        <f t="shared" si="2"/>
        <v>8114700</v>
      </c>
      <c r="S29" s="4">
        <f t="shared" si="2"/>
        <v>7621900</v>
      </c>
      <c r="T29" s="4">
        <f t="shared" si="2"/>
        <v>7405200</v>
      </c>
      <c r="U29" s="4">
        <f t="shared" si="2"/>
        <v>8979300</v>
      </c>
      <c r="V29" s="4">
        <f t="shared" si="2"/>
        <v>7441500</v>
      </c>
      <c r="W29" s="4">
        <f t="shared" si="2"/>
        <v>4896100</v>
      </c>
      <c r="X29" s="4">
        <f t="shared" si="2"/>
        <v>4708000</v>
      </c>
      <c r="Y29" s="4">
        <f t="shared" si="2"/>
        <v>4745400</v>
      </c>
      <c r="Z29" s="4">
        <f t="shared" si="2"/>
        <v>4635400</v>
      </c>
      <c r="AA29" s="4">
        <f t="shared" si="2"/>
        <v>3482600</v>
      </c>
      <c r="AB29" s="4">
        <f t="shared" si="2"/>
        <v>5208500</v>
      </c>
      <c r="AC29" s="4">
        <f t="shared" si="2"/>
        <v>4786100</v>
      </c>
      <c r="AD29" s="4">
        <f t="shared" si="2"/>
        <v>3436400</v>
      </c>
      <c r="AE29" s="4">
        <f t="shared" si="2"/>
        <v>3243900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121000</v>
      </c>
      <c r="AM29" s="4">
        <v>363000</v>
      </c>
      <c r="AN29" s="4">
        <v>0</v>
      </c>
    </row>
    <row r="30" spans="1:40" s="7" customFormat="1" x14ac:dyDescent="0.3">
      <c r="A30" t="s">
        <v>2</v>
      </c>
      <c r="B30" t="s">
        <v>2</v>
      </c>
      <c r="C30" t="s">
        <v>138</v>
      </c>
      <c r="D30" s="5">
        <v>45860</v>
      </c>
      <c r="E30" s="5">
        <v>45861</v>
      </c>
      <c r="F30" s="5">
        <v>45862</v>
      </c>
      <c r="G30" s="5">
        <v>45863</v>
      </c>
      <c r="H30" s="5">
        <v>45864</v>
      </c>
      <c r="I30" s="5">
        <v>45865</v>
      </c>
      <c r="J30" s="5">
        <v>45866</v>
      </c>
      <c r="K30" s="5">
        <v>45867</v>
      </c>
      <c r="L30" s="5">
        <v>45868</v>
      </c>
      <c r="M30" s="5">
        <v>45869</v>
      </c>
      <c r="N30" s="5">
        <v>45870</v>
      </c>
      <c r="O30" s="5">
        <v>45871</v>
      </c>
      <c r="P30" s="5">
        <v>45872</v>
      </c>
      <c r="Q30" s="5">
        <v>45873</v>
      </c>
      <c r="R30" s="5">
        <v>45874</v>
      </c>
      <c r="S30" s="5">
        <v>45875</v>
      </c>
      <c r="T30" s="5">
        <v>45876</v>
      </c>
      <c r="U30" s="5">
        <v>45877</v>
      </c>
      <c r="V30" s="5">
        <v>45878</v>
      </c>
      <c r="W30" s="5">
        <v>45879</v>
      </c>
      <c r="X30" s="5">
        <v>45880</v>
      </c>
      <c r="Y30" s="5">
        <v>45881</v>
      </c>
      <c r="Z30" s="5">
        <v>45882</v>
      </c>
      <c r="AA30" s="5">
        <v>45883</v>
      </c>
      <c r="AB30" s="5">
        <v>45884</v>
      </c>
      <c r="AC30" s="5">
        <v>45885</v>
      </c>
      <c r="AD30" s="5">
        <v>45886</v>
      </c>
      <c r="AE30" s="5">
        <v>45887</v>
      </c>
    </row>
    <row r="31" spans="1:40" s="7" customFormat="1" x14ac:dyDescent="0.3">
      <c r="A31" t="s">
        <v>8</v>
      </c>
      <c r="B31" t="str">
        <f>IFERROR(VLOOKUP(LEFT(A31, FIND("__", A31) + 1), [1]Sheet2!I$1:J$71, 2, FALSE), "구독권")</f>
        <v xml:space="preserve">기한한정일간입장권 </v>
      </c>
      <c r="C31">
        <v>867</v>
      </c>
      <c r="D31">
        <v>48</v>
      </c>
      <c r="E31">
        <v>42</v>
      </c>
      <c r="F31">
        <v>36</v>
      </c>
      <c r="G31">
        <v>36</v>
      </c>
      <c r="H31">
        <v>39</v>
      </c>
      <c r="I31">
        <v>36</v>
      </c>
      <c r="J31">
        <v>34</v>
      </c>
      <c r="K31">
        <v>33</v>
      </c>
      <c r="L31">
        <v>29</v>
      </c>
      <c r="M31">
        <v>24</v>
      </c>
      <c r="N31">
        <v>40</v>
      </c>
      <c r="O31">
        <v>39</v>
      </c>
      <c r="P31">
        <v>22</v>
      </c>
      <c r="Q31">
        <v>29</v>
      </c>
      <c r="R31">
        <v>26</v>
      </c>
      <c r="S31">
        <v>24</v>
      </c>
      <c r="T31">
        <v>20</v>
      </c>
      <c r="U31">
        <v>23</v>
      </c>
      <c r="V31">
        <v>21</v>
      </c>
      <c r="W31">
        <v>19</v>
      </c>
      <c r="X31">
        <v>16</v>
      </c>
      <c r="Y31">
        <v>16</v>
      </c>
      <c r="Z31">
        <v>14</v>
      </c>
      <c r="AA31">
        <v>14</v>
      </c>
      <c r="AB31">
        <v>10</v>
      </c>
      <c r="AC31">
        <v>14</v>
      </c>
      <c r="AD31">
        <v>8</v>
      </c>
      <c r="AE31">
        <v>1</v>
      </c>
    </row>
    <row r="32" spans="1:40" s="7" customFormat="1" x14ac:dyDescent="0.3">
      <c r="A32" s="7" t="s">
        <v>5</v>
      </c>
      <c r="B32" s="7" t="str">
        <f>IFERROR(VLOOKUP(LEFT(A32, FIND("__", A32) + 1), [1]Sheet2!I$1:J$71, 2, FALSE), "구독권")</f>
        <v>계정한정소환조선</v>
      </c>
      <c r="C32" s="7">
        <v>723</v>
      </c>
      <c r="D32" s="7">
        <v>33</v>
      </c>
      <c r="E32" s="7">
        <v>36</v>
      </c>
      <c r="F32" s="7">
        <v>25</v>
      </c>
      <c r="G32" s="7">
        <v>30</v>
      </c>
      <c r="H32" s="7">
        <v>29</v>
      </c>
      <c r="I32" s="7">
        <v>24</v>
      </c>
      <c r="J32" s="7">
        <v>33</v>
      </c>
      <c r="K32" s="7">
        <v>30</v>
      </c>
      <c r="L32" s="7">
        <v>21</v>
      </c>
      <c r="M32" s="7">
        <v>23</v>
      </c>
      <c r="N32" s="7">
        <v>27</v>
      </c>
      <c r="O32" s="7">
        <v>24</v>
      </c>
      <c r="P32" s="7">
        <v>25</v>
      </c>
      <c r="Q32" s="7">
        <v>20</v>
      </c>
      <c r="R32" s="7">
        <v>18</v>
      </c>
      <c r="S32" s="7">
        <v>21</v>
      </c>
      <c r="T32" s="7">
        <v>22</v>
      </c>
      <c r="U32" s="7">
        <v>14</v>
      </c>
      <c r="V32" s="7">
        <v>10</v>
      </c>
      <c r="W32" s="7">
        <v>11</v>
      </c>
      <c r="X32" s="7">
        <v>11</v>
      </c>
      <c r="Y32" s="7">
        <v>14</v>
      </c>
      <c r="Z32" s="7">
        <v>10</v>
      </c>
      <c r="AA32" s="7">
        <v>12</v>
      </c>
      <c r="AB32" s="7">
        <v>10</v>
      </c>
      <c r="AC32" s="7">
        <v>10</v>
      </c>
      <c r="AD32" s="7">
        <v>6</v>
      </c>
      <c r="AE32" s="7">
        <v>0</v>
      </c>
    </row>
    <row r="33" spans="1:40" s="7" customFormat="1" x14ac:dyDescent="0.3">
      <c r="A33" s="7" t="s">
        <v>7</v>
      </c>
      <c r="B33" s="7" t="str">
        <f>IFERROR(VLOOKUP(LEFT(A33, FIND("__", A33) + 1), [1]Sheet2!I$1:J$71, 2, FALSE), "구독권")</f>
        <v>계정한정소환고려</v>
      </c>
      <c r="C33" s="7">
        <v>699</v>
      </c>
      <c r="D33" s="7">
        <v>28</v>
      </c>
      <c r="E33" s="7">
        <v>35</v>
      </c>
      <c r="F33" s="7">
        <v>28</v>
      </c>
      <c r="G33" s="7">
        <v>29</v>
      </c>
      <c r="H33" s="7">
        <v>29</v>
      </c>
      <c r="I33" s="7">
        <v>28</v>
      </c>
      <c r="J33" s="7">
        <v>27</v>
      </c>
      <c r="K33" s="7">
        <v>23</v>
      </c>
      <c r="L33" s="7">
        <v>15</v>
      </c>
      <c r="M33" s="7">
        <v>19</v>
      </c>
      <c r="N33" s="7">
        <v>30</v>
      </c>
      <c r="O33" s="7">
        <v>22</v>
      </c>
      <c r="P33" s="7">
        <v>24</v>
      </c>
      <c r="Q33" s="7">
        <v>22</v>
      </c>
      <c r="R33" s="7">
        <v>22</v>
      </c>
      <c r="S33" s="7">
        <v>22</v>
      </c>
      <c r="T33" s="7">
        <v>14</v>
      </c>
      <c r="U33" s="7">
        <v>16</v>
      </c>
      <c r="V33" s="7">
        <v>12</v>
      </c>
      <c r="W33" s="7">
        <v>8</v>
      </c>
      <c r="X33" s="7">
        <v>11</v>
      </c>
      <c r="Y33" s="7">
        <v>13</v>
      </c>
      <c r="Z33" s="7">
        <v>11</v>
      </c>
      <c r="AA33" s="7">
        <v>14</v>
      </c>
      <c r="AB33" s="7">
        <v>9</v>
      </c>
      <c r="AC33" s="7">
        <v>11</v>
      </c>
      <c r="AD33" s="7">
        <v>4</v>
      </c>
      <c r="AE33" s="7">
        <v>0</v>
      </c>
    </row>
    <row r="34" spans="1:40" s="7" customFormat="1" x14ac:dyDescent="0.3">
      <c r="A34" s="7" t="s">
        <v>6</v>
      </c>
      <c r="B34" s="7" t="str">
        <f>IFERROR(VLOOKUP(LEFT(A34, FIND("__", A34) + 1), [1]Sheet2!I$1:J$71, 2, FALSE), "구독권")</f>
        <v>돌발초월</v>
      </c>
      <c r="C34" s="7">
        <v>688</v>
      </c>
      <c r="D34" s="7">
        <v>26</v>
      </c>
      <c r="E34" s="7">
        <v>23</v>
      </c>
      <c r="F34" s="7">
        <v>25</v>
      </c>
      <c r="G34" s="7">
        <v>29</v>
      </c>
      <c r="H34" s="7">
        <v>36</v>
      </c>
      <c r="I34" s="7">
        <v>37</v>
      </c>
      <c r="J34" s="7">
        <v>15</v>
      </c>
      <c r="K34" s="7">
        <v>16</v>
      </c>
      <c r="L34" s="7">
        <v>19</v>
      </c>
      <c r="M34" s="7">
        <v>14</v>
      </c>
      <c r="N34" s="7">
        <v>16</v>
      </c>
      <c r="O34" s="7">
        <v>14</v>
      </c>
      <c r="P34" s="7">
        <v>22</v>
      </c>
      <c r="Q34" s="7">
        <v>20</v>
      </c>
      <c r="R34" s="7">
        <v>21</v>
      </c>
      <c r="S34" s="7">
        <v>19</v>
      </c>
      <c r="T34" s="7">
        <v>11</v>
      </c>
      <c r="U34" s="7">
        <v>8</v>
      </c>
      <c r="V34" s="7">
        <v>7</v>
      </c>
      <c r="W34" s="7">
        <v>7</v>
      </c>
      <c r="X34" s="7">
        <v>4</v>
      </c>
      <c r="Y34" s="7">
        <v>1</v>
      </c>
      <c r="Z34" s="7">
        <v>2</v>
      </c>
      <c r="AA34" s="7">
        <v>8</v>
      </c>
      <c r="AB34" s="7">
        <v>4</v>
      </c>
      <c r="AC34" s="7">
        <v>5</v>
      </c>
      <c r="AD34" s="7">
        <v>5</v>
      </c>
      <c r="AE34" s="7">
        <v>0</v>
      </c>
    </row>
    <row r="35" spans="1:40" s="7" customFormat="1" x14ac:dyDescent="0.3">
      <c r="A35" s="7" t="s">
        <v>10</v>
      </c>
      <c r="B35" s="7" t="str">
        <f>IFERROR(VLOOKUP(LEFT(A35, FIND("__", A35) + 1), [1]Sheet2!I$1:J$71, 2, FALSE), "구독권")</f>
        <v>돌발무기</v>
      </c>
      <c r="C35" s="7">
        <v>674</v>
      </c>
      <c r="D35" s="7">
        <v>29</v>
      </c>
      <c r="E35" s="7">
        <v>25</v>
      </c>
      <c r="F35" s="7">
        <v>22</v>
      </c>
      <c r="G35" s="7">
        <v>20</v>
      </c>
      <c r="H35" s="7">
        <v>32</v>
      </c>
      <c r="I35" s="7">
        <v>17</v>
      </c>
      <c r="J35" s="7">
        <v>19</v>
      </c>
      <c r="K35" s="7">
        <v>14</v>
      </c>
      <c r="L35" s="7">
        <v>16</v>
      </c>
      <c r="M35" s="7">
        <v>16</v>
      </c>
      <c r="N35" s="7">
        <v>17</v>
      </c>
      <c r="O35" s="7">
        <v>12</v>
      </c>
      <c r="P35" s="7">
        <v>19</v>
      </c>
      <c r="Q35" s="7">
        <v>20</v>
      </c>
      <c r="R35" s="7">
        <v>24</v>
      </c>
      <c r="S35" s="7">
        <v>22</v>
      </c>
      <c r="T35" s="7">
        <v>12</v>
      </c>
      <c r="U35" s="7">
        <v>10</v>
      </c>
      <c r="V35" s="7">
        <v>8</v>
      </c>
      <c r="W35" s="7">
        <v>2</v>
      </c>
      <c r="X35" s="7">
        <v>4</v>
      </c>
      <c r="Y35" s="7">
        <v>2</v>
      </c>
      <c r="Z35" s="7">
        <v>5</v>
      </c>
      <c r="AA35" s="7">
        <v>7</v>
      </c>
      <c r="AB35" s="7">
        <v>8</v>
      </c>
      <c r="AC35" s="7">
        <v>6</v>
      </c>
      <c r="AD35" s="7">
        <v>4</v>
      </c>
      <c r="AE35" s="7">
        <v>0</v>
      </c>
    </row>
    <row r="36" spans="1:40" s="7" customFormat="1" x14ac:dyDescent="0.3">
      <c r="A36" s="7" t="s">
        <v>12</v>
      </c>
      <c r="B36" s="7" t="str">
        <f>IFERROR(VLOOKUP(LEFT(A36, FIND("__", A36) + 1), [1]Sheet2!I$1:J$71, 2, FALSE), "구독권")</f>
        <v>돌발고려</v>
      </c>
      <c r="C36" s="7">
        <v>663</v>
      </c>
      <c r="D36" s="7">
        <v>32</v>
      </c>
      <c r="E36" s="7">
        <v>27</v>
      </c>
      <c r="F36" s="7">
        <v>21</v>
      </c>
      <c r="G36" s="7">
        <v>21</v>
      </c>
      <c r="H36" s="7">
        <v>30</v>
      </c>
      <c r="I36" s="7">
        <v>30</v>
      </c>
      <c r="J36" s="7">
        <v>20</v>
      </c>
      <c r="K36" s="7">
        <v>16</v>
      </c>
      <c r="L36" s="7">
        <v>18</v>
      </c>
      <c r="M36" s="7">
        <v>12</v>
      </c>
      <c r="N36" s="7">
        <v>19</v>
      </c>
      <c r="O36" s="7">
        <v>18</v>
      </c>
      <c r="P36" s="7">
        <v>15</v>
      </c>
      <c r="Q36" s="7">
        <v>19</v>
      </c>
      <c r="R36" s="7">
        <v>19</v>
      </c>
      <c r="S36" s="7">
        <v>20</v>
      </c>
      <c r="T36" s="7">
        <v>9</v>
      </c>
      <c r="U36" s="7">
        <v>9</v>
      </c>
      <c r="V36" s="7">
        <v>12</v>
      </c>
      <c r="W36" s="7">
        <v>3</v>
      </c>
      <c r="X36" s="7">
        <v>1</v>
      </c>
      <c r="Y36" s="7">
        <v>2</v>
      </c>
      <c r="Z36" s="7">
        <v>4</v>
      </c>
      <c r="AA36" s="7">
        <v>4</v>
      </c>
      <c r="AB36" s="7">
        <v>4</v>
      </c>
      <c r="AC36" s="7">
        <v>6</v>
      </c>
      <c r="AD36" s="7">
        <v>4</v>
      </c>
      <c r="AE36" s="7">
        <v>0</v>
      </c>
      <c r="AF36"/>
      <c r="AG36"/>
      <c r="AH36"/>
      <c r="AI36"/>
      <c r="AJ36"/>
      <c r="AK36"/>
      <c r="AL36"/>
      <c r="AM36"/>
      <c r="AN36"/>
    </row>
    <row r="37" spans="1:40" x14ac:dyDescent="0.3">
      <c r="A37" s="7" t="s">
        <v>9</v>
      </c>
      <c r="B37" s="7" t="str">
        <f>IFERROR(VLOOKUP(LEFT(A37, FIND("__", A37) + 1), [1]Sheet2!I$1:J$71, 2, FALSE), "구독권")</f>
        <v>계정한정소환무기</v>
      </c>
      <c r="C37" s="7">
        <v>627</v>
      </c>
      <c r="D37" s="7">
        <v>25</v>
      </c>
      <c r="E37" s="7">
        <v>21</v>
      </c>
      <c r="F37" s="7">
        <v>21</v>
      </c>
      <c r="G37" s="7">
        <v>23</v>
      </c>
      <c r="H37" s="7">
        <v>31</v>
      </c>
      <c r="I37" s="7">
        <v>26</v>
      </c>
      <c r="J37" s="7">
        <v>23</v>
      </c>
      <c r="K37" s="7">
        <v>21</v>
      </c>
      <c r="L37" s="7">
        <v>21</v>
      </c>
      <c r="M37" s="7">
        <v>15</v>
      </c>
      <c r="N37" s="7">
        <v>17</v>
      </c>
      <c r="O37" s="7">
        <v>21</v>
      </c>
      <c r="P37" s="7">
        <v>19</v>
      </c>
      <c r="Q37" s="7">
        <v>23</v>
      </c>
      <c r="R37" s="7">
        <v>22</v>
      </c>
      <c r="S37" s="7">
        <v>19</v>
      </c>
      <c r="T37" s="7">
        <v>15</v>
      </c>
      <c r="U37" s="7">
        <v>11</v>
      </c>
      <c r="V37" s="7">
        <v>9</v>
      </c>
      <c r="W37" s="7">
        <v>11</v>
      </c>
      <c r="X37" s="7">
        <v>10</v>
      </c>
      <c r="Y37" s="7">
        <v>7</v>
      </c>
      <c r="Z37" s="7">
        <v>7</v>
      </c>
      <c r="AA37" s="7">
        <v>11</v>
      </c>
      <c r="AB37" s="7">
        <v>9</v>
      </c>
      <c r="AC37" s="7">
        <v>9</v>
      </c>
      <c r="AD37" s="7">
        <v>5</v>
      </c>
      <c r="AE37" s="7">
        <v>0</v>
      </c>
    </row>
    <row r="38" spans="1:40" x14ac:dyDescent="0.3">
      <c r="A38" s="7" t="s">
        <v>23</v>
      </c>
      <c r="B38" s="7" t="str">
        <f>IFERROR(VLOOKUP(LEFT(A38, FIND("__", A38) + 1), [1]Sheet2!I$1:J$71, 2, FALSE), "구독권")</f>
        <v>사냥패스1</v>
      </c>
      <c r="C38" s="7">
        <v>522</v>
      </c>
      <c r="D38" s="7">
        <v>21</v>
      </c>
      <c r="E38" s="7">
        <v>19</v>
      </c>
      <c r="F38" s="7">
        <v>19</v>
      </c>
      <c r="G38" s="7">
        <v>27</v>
      </c>
      <c r="H38" s="7">
        <v>25</v>
      </c>
      <c r="I38" s="7">
        <v>18</v>
      </c>
      <c r="J38" s="7">
        <v>8</v>
      </c>
      <c r="K38" s="7">
        <v>26</v>
      </c>
      <c r="L38" s="7">
        <v>15</v>
      </c>
      <c r="M38" s="7">
        <v>13</v>
      </c>
      <c r="N38" s="7">
        <v>21</v>
      </c>
      <c r="O38" s="7">
        <v>19</v>
      </c>
      <c r="P38" s="7">
        <v>14</v>
      </c>
      <c r="Q38" s="7">
        <v>21</v>
      </c>
      <c r="R38" s="7">
        <v>20</v>
      </c>
      <c r="S38" s="7">
        <v>10</v>
      </c>
      <c r="T38" s="7">
        <v>7</v>
      </c>
      <c r="U38" s="7">
        <v>14</v>
      </c>
      <c r="V38" s="7">
        <v>12</v>
      </c>
      <c r="W38" s="7">
        <v>5</v>
      </c>
      <c r="X38" s="7">
        <v>8</v>
      </c>
      <c r="Y38" s="7">
        <v>7</v>
      </c>
      <c r="Z38" s="7">
        <v>8</v>
      </c>
      <c r="AA38" s="7">
        <v>3</v>
      </c>
      <c r="AB38" s="7">
        <v>6</v>
      </c>
      <c r="AC38" s="7">
        <v>8</v>
      </c>
      <c r="AD38" s="7">
        <v>3</v>
      </c>
      <c r="AE38" s="7">
        <v>0</v>
      </c>
    </row>
    <row r="39" spans="1:40" x14ac:dyDescent="0.3">
      <c r="A39" s="7" t="s">
        <v>4</v>
      </c>
      <c r="B39" s="7" t="str">
        <f>IFERROR(VLOOKUP(LEFT(A39, FIND("__", A39) + 1), [1]Sheet2!I$1:J$71, 2, FALSE), "구독권")</f>
        <v>구독권</v>
      </c>
      <c r="C39" s="7">
        <v>521</v>
      </c>
      <c r="D39" s="7">
        <v>0</v>
      </c>
      <c r="E39" s="7">
        <v>0</v>
      </c>
      <c r="F39" s="7">
        <v>0</v>
      </c>
      <c r="G39" s="7">
        <v>0</v>
      </c>
      <c r="H39" s="7">
        <v>52</v>
      </c>
      <c r="I39" s="7">
        <v>51</v>
      </c>
      <c r="J39" s="7">
        <v>36</v>
      </c>
      <c r="K39" s="7">
        <v>32</v>
      </c>
      <c r="L39" s="7">
        <v>40</v>
      </c>
      <c r="M39" s="7">
        <v>21</v>
      </c>
      <c r="N39" s="7">
        <v>27</v>
      </c>
      <c r="O39" s="7">
        <v>25</v>
      </c>
      <c r="P39" s="7">
        <v>27</v>
      </c>
      <c r="Q39" s="7">
        <v>28</v>
      </c>
      <c r="R39" s="7">
        <v>22</v>
      </c>
      <c r="S39" s="7">
        <v>22</v>
      </c>
      <c r="T39" s="7">
        <v>23</v>
      </c>
      <c r="U39" s="7">
        <v>17</v>
      </c>
      <c r="V39" s="7">
        <v>14</v>
      </c>
      <c r="W39" s="7">
        <v>11</v>
      </c>
      <c r="X39" s="7">
        <v>6</v>
      </c>
      <c r="Y39" s="7">
        <v>9</v>
      </c>
      <c r="Z39" s="7">
        <v>11</v>
      </c>
      <c r="AA39" s="7">
        <v>13</v>
      </c>
      <c r="AB39" s="7">
        <v>16</v>
      </c>
      <c r="AC39" s="7">
        <v>8</v>
      </c>
      <c r="AD39" s="7">
        <v>7</v>
      </c>
      <c r="AE39" s="7">
        <v>3</v>
      </c>
    </row>
    <row r="40" spans="1:40" x14ac:dyDescent="0.3">
      <c r="A40" t="s">
        <v>19</v>
      </c>
      <c r="B40" t="str">
        <f>IFERROR(VLOOKUP(LEFT(A40, FIND("__", A40) + 1), [1]Sheet2!I$1:J$71, 2, FALSE), "구독권")</f>
        <v>돌발고려</v>
      </c>
      <c r="C40">
        <v>509</v>
      </c>
      <c r="D40">
        <v>33</v>
      </c>
      <c r="E40">
        <v>31</v>
      </c>
      <c r="F40">
        <v>19</v>
      </c>
      <c r="G40">
        <v>14</v>
      </c>
      <c r="H40">
        <v>18</v>
      </c>
      <c r="I40">
        <v>26</v>
      </c>
      <c r="J40">
        <v>14</v>
      </c>
      <c r="K40">
        <v>12</v>
      </c>
      <c r="L40">
        <v>15</v>
      </c>
      <c r="M40">
        <v>8</v>
      </c>
      <c r="N40">
        <v>14</v>
      </c>
      <c r="O40">
        <v>10</v>
      </c>
      <c r="P40">
        <v>11</v>
      </c>
      <c r="Q40">
        <v>18</v>
      </c>
      <c r="R40">
        <v>18</v>
      </c>
      <c r="S40">
        <v>15</v>
      </c>
      <c r="T40">
        <v>17</v>
      </c>
      <c r="U40">
        <v>7</v>
      </c>
      <c r="V40">
        <v>6</v>
      </c>
      <c r="W40">
        <v>7</v>
      </c>
      <c r="X40">
        <v>1</v>
      </c>
      <c r="Y40">
        <v>3</v>
      </c>
      <c r="Z40">
        <v>6</v>
      </c>
      <c r="AA40">
        <v>2</v>
      </c>
      <c r="AB40">
        <v>6</v>
      </c>
      <c r="AC40">
        <v>4</v>
      </c>
      <c r="AD40">
        <v>5</v>
      </c>
      <c r="AE40">
        <v>0</v>
      </c>
    </row>
    <row r="41" spans="1:40" x14ac:dyDescent="0.3">
      <c r="A41" t="s">
        <v>22</v>
      </c>
      <c r="B41" t="str">
        <f>IFERROR(VLOOKUP(LEFT(A41, FIND("__", A41) + 1), [1]Sheet2!I$1:J$71, 2, FALSE), "구독권")</f>
        <v>돌발조선</v>
      </c>
      <c r="C41">
        <v>507</v>
      </c>
      <c r="D41">
        <v>36</v>
      </c>
      <c r="E41">
        <v>28</v>
      </c>
      <c r="F41">
        <v>20</v>
      </c>
      <c r="G41">
        <v>20</v>
      </c>
      <c r="H41">
        <v>18</v>
      </c>
      <c r="I41">
        <v>21</v>
      </c>
      <c r="J41">
        <v>18</v>
      </c>
      <c r="K41">
        <v>15</v>
      </c>
      <c r="L41">
        <v>14</v>
      </c>
      <c r="M41">
        <v>16</v>
      </c>
      <c r="N41">
        <v>17</v>
      </c>
      <c r="O41">
        <v>12</v>
      </c>
      <c r="P41">
        <v>14</v>
      </c>
      <c r="Q41">
        <v>16</v>
      </c>
      <c r="R41">
        <v>17</v>
      </c>
      <c r="S41">
        <v>17</v>
      </c>
      <c r="T41">
        <v>17</v>
      </c>
      <c r="U41">
        <v>7</v>
      </c>
      <c r="V41">
        <v>7</v>
      </c>
      <c r="W41">
        <v>6</v>
      </c>
      <c r="X41">
        <v>7</v>
      </c>
      <c r="Y41">
        <v>7</v>
      </c>
      <c r="Z41">
        <v>2</v>
      </c>
      <c r="AA41">
        <v>3</v>
      </c>
      <c r="AB41">
        <v>4</v>
      </c>
      <c r="AC41">
        <v>2</v>
      </c>
      <c r="AD41">
        <v>4</v>
      </c>
      <c r="AE41">
        <v>0</v>
      </c>
    </row>
    <row r="42" spans="1:40" x14ac:dyDescent="0.3">
      <c r="A42" t="s">
        <v>14</v>
      </c>
      <c r="B42" t="str">
        <f>IFERROR(VLOOKUP(LEFT(A42, FIND("__", A42) + 1), [1]Sheet2!I$1:J$71, 2, FALSE), "구독권")</f>
        <v>기한한정일간입장권</v>
      </c>
      <c r="C42">
        <v>484</v>
      </c>
      <c r="D42">
        <v>17</v>
      </c>
      <c r="E42">
        <v>18</v>
      </c>
      <c r="F42">
        <v>16</v>
      </c>
      <c r="G42">
        <v>15</v>
      </c>
      <c r="H42">
        <v>24</v>
      </c>
      <c r="I42">
        <v>14</v>
      </c>
      <c r="J42">
        <v>17</v>
      </c>
      <c r="K42">
        <v>19</v>
      </c>
      <c r="L42">
        <v>18</v>
      </c>
      <c r="M42">
        <v>15</v>
      </c>
      <c r="N42">
        <v>14</v>
      </c>
      <c r="O42">
        <v>17</v>
      </c>
      <c r="P42">
        <v>17</v>
      </c>
      <c r="Q42">
        <v>20</v>
      </c>
      <c r="R42">
        <v>16</v>
      </c>
      <c r="S42">
        <v>17</v>
      </c>
      <c r="T42">
        <v>12</v>
      </c>
      <c r="U42">
        <v>16</v>
      </c>
      <c r="V42">
        <v>13</v>
      </c>
      <c r="W42">
        <v>11</v>
      </c>
      <c r="X42">
        <v>16</v>
      </c>
      <c r="Y42">
        <v>15</v>
      </c>
      <c r="Z42">
        <v>16</v>
      </c>
      <c r="AA42">
        <v>16</v>
      </c>
      <c r="AB42">
        <v>7</v>
      </c>
      <c r="AC42">
        <v>11</v>
      </c>
      <c r="AD42">
        <v>9</v>
      </c>
      <c r="AE42">
        <v>1</v>
      </c>
    </row>
    <row r="43" spans="1:40" x14ac:dyDescent="0.3">
      <c r="A43" t="s">
        <v>21</v>
      </c>
      <c r="B43" t="str">
        <f>IFERROR(VLOOKUP(LEFT(A43, FIND("__", A43) + 1), [1]Sheet2!I$1:J$71, 2, FALSE), "구독권")</f>
        <v>계정한정소환가속</v>
      </c>
      <c r="C43">
        <v>477</v>
      </c>
      <c r="D43">
        <v>14</v>
      </c>
      <c r="E43">
        <v>31</v>
      </c>
      <c r="F43">
        <v>23</v>
      </c>
      <c r="G43">
        <v>18</v>
      </c>
      <c r="H43">
        <v>15</v>
      </c>
      <c r="I43">
        <v>14</v>
      </c>
      <c r="J43">
        <v>15</v>
      </c>
      <c r="K43">
        <v>14</v>
      </c>
      <c r="L43">
        <v>19</v>
      </c>
      <c r="M43">
        <v>12</v>
      </c>
      <c r="N43">
        <v>21</v>
      </c>
      <c r="O43">
        <v>24</v>
      </c>
      <c r="P43">
        <v>14</v>
      </c>
      <c r="Q43">
        <v>16</v>
      </c>
      <c r="R43">
        <v>12</v>
      </c>
      <c r="S43">
        <v>10</v>
      </c>
      <c r="T43">
        <v>12</v>
      </c>
      <c r="U43">
        <v>20</v>
      </c>
      <c r="V43">
        <v>9</v>
      </c>
      <c r="W43">
        <v>10</v>
      </c>
      <c r="X43">
        <v>7</v>
      </c>
      <c r="Y43">
        <v>9</v>
      </c>
      <c r="Z43">
        <v>7</v>
      </c>
      <c r="AA43">
        <v>9</v>
      </c>
      <c r="AB43">
        <v>8</v>
      </c>
      <c r="AC43">
        <v>6</v>
      </c>
      <c r="AD43">
        <v>9</v>
      </c>
      <c r="AE43">
        <v>0</v>
      </c>
    </row>
    <row r="44" spans="1:40" x14ac:dyDescent="0.3">
      <c r="A44" t="s">
        <v>173</v>
      </c>
      <c r="B44" t="str">
        <f>IFERROR(VLOOKUP(LEFT(A44, FIND("__", A44) + 1), [1]Sheet2!I$1:J$71, 2, FALSE), "구독권")</f>
        <v>구독권</v>
      </c>
      <c r="C44">
        <v>476</v>
      </c>
      <c r="D44">
        <v>48</v>
      </c>
      <c r="E44">
        <v>37</v>
      </c>
      <c r="F44">
        <v>37</v>
      </c>
      <c r="G44">
        <v>44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40" x14ac:dyDescent="0.3">
      <c r="A45" t="s">
        <v>3</v>
      </c>
      <c r="B45" t="str">
        <f>IFERROR(VLOOKUP(LEFT(A45, FIND("__", A45) + 1), [1]Sheet2!I$1:J$71, 2, FALSE), "구독권")</f>
        <v>구독권</v>
      </c>
      <c r="C45">
        <v>473</v>
      </c>
      <c r="D45">
        <v>0</v>
      </c>
      <c r="E45">
        <v>0</v>
      </c>
      <c r="F45">
        <v>0</v>
      </c>
      <c r="G45">
        <v>0</v>
      </c>
      <c r="H45">
        <v>46</v>
      </c>
      <c r="I45">
        <v>40</v>
      </c>
      <c r="J45">
        <v>22</v>
      </c>
      <c r="K45">
        <v>23</v>
      </c>
      <c r="L45">
        <v>19</v>
      </c>
      <c r="M45">
        <v>17</v>
      </c>
      <c r="N45">
        <v>27</v>
      </c>
      <c r="O45">
        <v>27</v>
      </c>
      <c r="P45">
        <v>41</v>
      </c>
      <c r="Q45">
        <v>32</v>
      </c>
      <c r="R45">
        <v>25</v>
      </c>
      <c r="S45">
        <v>22</v>
      </c>
      <c r="T45">
        <v>14</v>
      </c>
      <c r="U45">
        <v>15</v>
      </c>
      <c r="V45">
        <v>15</v>
      </c>
      <c r="W45">
        <v>17</v>
      </c>
      <c r="X45">
        <v>8</v>
      </c>
      <c r="Y45">
        <v>10</v>
      </c>
      <c r="Z45">
        <v>9</v>
      </c>
      <c r="AA45">
        <v>11</v>
      </c>
      <c r="AB45">
        <v>18</v>
      </c>
      <c r="AC45">
        <v>10</v>
      </c>
      <c r="AD45">
        <v>4</v>
      </c>
      <c r="AE45">
        <v>1</v>
      </c>
    </row>
    <row r="46" spans="1:40" x14ac:dyDescent="0.3">
      <c r="A46" t="s">
        <v>11</v>
      </c>
      <c r="B46" t="str">
        <f>IFERROR(VLOOKUP(LEFT(A46, FIND("__", A46) + 1), [1]Sheet2!I$1:J$71, 2, FALSE), "구독권")</f>
        <v>계정한정소환갑옷</v>
      </c>
      <c r="C46">
        <v>456</v>
      </c>
      <c r="D46">
        <v>15</v>
      </c>
      <c r="E46">
        <v>20</v>
      </c>
      <c r="F46">
        <v>16</v>
      </c>
      <c r="G46">
        <v>18</v>
      </c>
      <c r="H46">
        <v>22</v>
      </c>
      <c r="I46">
        <v>13</v>
      </c>
      <c r="J46">
        <v>16</v>
      </c>
      <c r="K46">
        <v>14</v>
      </c>
      <c r="L46">
        <v>10</v>
      </c>
      <c r="M46">
        <v>9</v>
      </c>
      <c r="N46">
        <v>16</v>
      </c>
      <c r="O46">
        <v>14</v>
      </c>
      <c r="P46">
        <v>17</v>
      </c>
      <c r="Q46">
        <v>20</v>
      </c>
      <c r="R46">
        <v>14</v>
      </c>
      <c r="S46">
        <v>13</v>
      </c>
      <c r="T46">
        <v>11</v>
      </c>
      <c r="U46">
        <v>13</v>
      </c>
      <c r="V46">
        <v>5</v>
      </c>
      <c r="W46">
        <v>11</v>
      </c>
      <c r="X46">
        <v>4</v>
      </c>
      <c r="Y46">
        <v>6</v>
      </c>
      <c r="Z46">
        <v>8</v>
      </c>
      <c r="AA46">
        <v>7</v>
      </c>
      <c r="AB46">
        <v>5</v>
      </c>
      <c r="AC46">
        <v>6</v>
      </c>
      <c r="AD46">
        <v>3</v>
      </c>
      <c r="AE46">
        <v>0</v>
      </c>
    </row>
    <row r="47" spans="1:40" x14ac:dyDescent="0.3">
      <c r="A47" t="s">
        <v>15</v>
      </c>
      <c r="B47" t="str">
        <f>IFERROR(VLOOKUP(LEFT(A47, FIND("__", A47) + 1), [1]Sheet2!I$1:J$71, 2, FALSE), "구독권")</f>
        <v>기한한정일간가속</v>
      </c>
      <c r="C47">
        <v>454</v>
      </c>
      <c r="D47">
        <v>14</v>
      </c>
      <c r="E47">
        <v>12</v>
      </c>
      <c r="F47">
        <v>15</v>
      </c>
      <c r="G47">
        <v>14</v>
      </c>
      <c r="H47">
        <v>17</v>
      </c>
      <c r="I47">
        <v>20</v>
      </c>
      <c r="J47">
        <v>19</v>
      </c>
      <c r="K47">
        <v>14</v>
      </c>
      <c r="L47">
        <v>18</v>
      </c>
      <c r="M47">
        <v>18</v>
      </c>
      <c r="N47">
        <v>18</v>
      </c>
      <c r="O47">
        <v>23</v>
      </c>
      <c r="P47">
        <v>17</v>
      </c>
      <c r="Q47">
        <v>20</v>
      </c>
      <c r="R47">
        <v>14</v>
      </c>
      <c r="S47">
        <v>17</v>
      </c>
      <c r="T47">
        <v>18</v>
      </c>
      <c r="U47">
        <v>13</v>
      </c>
      <c r="V47">
        <v>13</v>
      </c>
      <c r="W47">
        <v>13</v>
      </c>
      <c r="X47">
        <v>14</v>
      </c>
      <c r="Y47">
        <v>12</v>
      </c>
      <c r="Z47">
        <v>13</v>
      </c>
      <c r="AA47">
        <v>14</v>
      </c>
      <c r="AB47">
        <v>9</v>
      </c>
      <c r="AC47">
        <v>10</v>
      </c>
      <c r="AD47">
        <v>14</v>
      </c>
      <c r="AE47">
        <v>0</v>
      </c>
    </row>
    <row r="48" spans="1:40" x14ac:dyDescent="0.3">
      <c r="A48" t="s">
        <v>149</v>
      </c>
      <c r="B48" t="str">
        <f>IFERROR(VLOOKUP(LEFT(A48, FIND("__", A48) + 1), [1]Sheet2!I$1:J$71, 2, FALSE), "구독권")</f>
        <v>구독권</v>
      </c>
      <c r="C48">
        <v>454</v>
      </c>
      <c r="D48">
        <v>54</v>
      </c>
      <c r="E48">
        <v>44</v>
      </c>
      <c r="F48">
        <v>27</v>
      </c>
      <c r="G48">
        <v>37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">
      <c r="A49" t="s">
        <v>29</v>
      </c>
      <c r="B49" t="str">
        <f>IFERROR(VLOOKUP(LEFT(A49, FIND("__", A49) + 1), [1]Sheet2!I$1:J$71, 2, FALSE), "구독권")</f>
        <v>돌발무기</v>
      </c>
      <c r="C49">
        <v>440</v>
      </c>
      <c r="D49">
        <v>28</v>
      </c>
      <c r="E49">
        <v>19</v>
      </c>
      <c r="F49">
        <v>22</v>
      </c>
      <c r="G49">
        <v>8</v>
      </c>
      <c r="H49">
        <v>20</v>
      </c>
      <c r="I49">
        <v>14</v>
      </c>
      <c r="J49">
        <v>15</v>
      </c>
      <c r="K49">
        <v>8</v>
      </c>
      <c r="L49">
        <v>13</v>
      </c>
      <c r="M49">
        <v>12</v>
      </c>
      <c r="N49">
        <v>13</v>
      </c>
      <c r="O49">
        <v>13</v>
      </c>
      <c r="P49">
        <v>11</v>
      </c>
      <c r="Q49">
        <v>11</v>
      </c>
      <c r="R49">
        <v>16</v>
      </c>
      <c r="S49">
        <v>11</v>
      </c>
      <c r="T49">
        <v>11</v>
      </c>
      <c r="U49">
        <v>10</v>
      </c>
      <c r="V49">
        <v>9</v>
      </c>
      <c r="W49">
        <v>6</v>
      </c>
      <c r="X49">
        <v>2</v>
      </c>
      <c r="Y49">
        <v>5</v>
      </c>
      <c r="Z49">
        <v>4</v>
      </c>
      <c r="AA49">
        <v>8</v>
      </c>
      <c r="AB49">
        <v>5</v>
      </c>
      <c r="AC49">
        <v>7</v>
      </c>
      <c r="AD49">
        <v>7</v>
      </c>
      <c r="AE49">
        <v>0</v>
      </c>
    </row>
    <row r="50" spans="1:31" x14ac:dyDescent="0.3">
      <c r="A50" t="s">
        <v>17</v>
      </c>
      <c r="B50" t="str">
        <f>IFERROR(VLOOKUP(LEFT(A50, FIND("__", A50) + 1), [1]Sheet2!I$1:J$71, 2, FALSE), "구독권")</f>
        <v>스테이지패스1</v>
      </c>
      <c r="C50">
        <v>437</v>
      </c>
      <c r="D50">
        <v>18</v>
      </c>
      <c r="E50">
        <v>16</v>
      </c>
      <c r="F50">
        <v>19</v>
      </c>
      <c r="G50">
        <v>14</v>
      </c>
      <c r="H50">
        <v>19</v>
      </c>
      <c r="I50">
        <v>14</v>
      </c>
      <c r="J50">
        <v>7</v>
      </c>
      <c r="K50">
        <v>19</v>
      </c>
      <c r="L50">
        <v>17</v>
      </c>
      <c r="M50">
        <v>10</v>
      </c>
      <c r="N50">
        <v>13</v>
      </c>
      <c r="O50">
        <v>16</v>
      </c>
      <c r="P50">
        <v>14</v>
      </c>
      <c r="Q50">
        <v>12</v>
      </c>
      <c r="R50">
        <v>13</v>
      </c>
      <c r="S50">
        <v>12</v>
      </c>
      <c r="T50">
        <v>7</v>
      </c>
      <c r="U50">
        <v>11</v>
      </c>
      <c r="V50">
        <v>6</v>
      </c>
      <c r="W50">
        <v>4</v>
      </c>
      <c r="X50">
        <v>5</v>
      </c>
      <c r="Y50">
        <v>3</v>
      </c>
      <c r="Z50">
        <v>7</v>
      </c>
      <c r="AA50">
        <v>2</v>
      </c>
      <c r="AB50">
        <v>8</v>
      </c>
      <c r="AC50">
        <v>5</v>
      </c>
      <c r="AD50">
        <v>5</v>
      </c>
      <c r="AE50">
        <v>0</v>
      </c>
    </row>
    <row r="51" spans="1:31" x14ac:dyDescent="0.3">
      <c r="A51" t="s">
        <v>30</v>
      </c>
      <c r="B51" t="str">
        <f>IFERROR(VLOOKUP(LEFT(A51, FIND("__", A51) + 1), [1]Sheet2!I$1:J$71, 2, FALSE), "구독권")</f>
        <v>레벨패스1</v>
      </c>
      <c r="C51">
        <v>424</v>
      </c>
      <c r="D51">
        <v>18</v>
      </c>
      <c r="E51">
        <v>17</v>
      </c>
      <c r="F51">
        <v>15</v>
      </c>
      <c r="G51">
        <v>22</v>
      </c>
      <c r="H51">
        <v>19</v>
      </c>
      <c r="I51">
        <v>16</v>
      </c>
      <c r="J51">
        <v>12</v>
      </c>
      <c r="K51">
        <v>18</v>
      </c>
      <c r="L51">
        <v>7</v>
      </c>
      <c r="M51">
        <v>9</v>
      </c>
      <c r="N51">
        <v>16</v>
      </c>
      <c r="O51">
        <v>18</v>
      </c>
      <c r="P51">
        <v>11</v>
      </c>
      <c r="Q51">
        <v>15</v>
      </c>
      <c r="R51">
        <v>12</v>
      </c>
      <c r="S51">
        <v>12</v>
      </c>
      <c r="T51">
        <v>6</v>
      </c>
      <c r="U51">
        <v>8</v>
      </c>
      <c r="V51">
        <v>8</v>
      </c>
      <c r="W51">
        <v>6</v>
      </c>
      <c r="X51">
        <v>6</v>
      </c>
      <c r="Y51">
        <v>5</v>
      </c>
      <c r="Z51">
        <v>7</v>
      </c>
      <c r="AA51">
        <v>2</v>
      </c>
      <c r="AB51">
        <v>7</v>
      </c>
      <c r="AC51">
        <v>7</v>
      </c>
      <c r="AD51">
        <v>4</v>
      </c>
      <c r="AE51">
        <v>0</v>
      </c>
    </row>
    <row r="52" spans="1:31" x14ac:dyDescent="0.3">
      <c r="A52" t="s">
        <v>36</v>
      </c>
      <c r="B52" t="str">
        <f>IFERROR(VLOOKUP(LEFT(A52, FIND("__", A52) + 1), [1]Sheet2!I$1:J$71, 2, FALSE), "구독권")</f>
        <v>육성패스1</v>
      </c>
      <c r="C52">
        <v>403</v>
      </c>
      <c r="D52">
        <v>17</v>
      </c>
      <c r="E52">
        <v>21</v>
      </c>
      <c r="F52">
        <v>15</v>
      </c>
      <c r="G52">
        <v>15</v>
      </c>
      <c r="H52">
        <v>22</v>
      </c>
      <c r="I52">
        <v>12</v>
      </c>
      <c r="J52">
        <v>12</v>
      </c>
      <c r="K52">
        <v>12</v>
      </c>
      <c r="L52">
        <v>12</v>
      </c>
      <c r="M52">
        <v>14</v>
      </c>
      <c r="N52">
        <v>12</v>
      </c>
      <c r="O52">
        <v>13</v>
      </c>
      <c r="P52">
        <v>10</v>
      </c>
      <c r="Q52">
        <v>10</v>
      </c>
      <c r="R52">
        <v>12</v>
      </c>
      <c r="S52">
        <v>9</v>
      </c>
      <c r="T52">
        <v>11</v>
      </c>
      <c r="U52">
        <v>11</v>
      </c>
      <c r="V52">
        <v>5</v>
      </c>
      <c r="W52">
        <v>6</v>
      </c>
      <c r="X52">
        <v>6</v>
      </c>
      <c r="Y52">
        <v>3</v>
      </c>
      <c r="Z52">
        <v>4</v>
      </c>
      <c r="AA52">
        <v>5</v>
      </c>
      <c r="AB52">
        <v>6</v>
      </c>
      <c r="AC52">
        <v>8</v>
      </c>
      <c r="AD52">
        <v>3</v>
      </c>
      <c r="AE52">
        <v>0</v>
      </c>
    </row>
    <row r="53" spans="1:31" x14ac:dyDescent="0.3">
      <c r="A53" t="s">
        <v>43</v>
      </c>
      <c r="B53" t="str">
        <f>IFERROR(VLOOKUP(LEFT(A53, FIND("__", A53) + 1), [1]Sheet2!I$1:J$71, 2, FALSE), "구독권")</f>
        <v>돌발조선</v>
      </c>
      <c r="C53">
        <v>403</v>
      </c>
      <c r="D53">
        <v>26</v>
      </c>
      <c r="E53">
        <v>30</v>
      </c>
      <c r="F53">
        <v>20</v>
      </c>
      <c r="G53">
        <v>16</v>
      </c>
      <c r="H53">
        <v>17</v>
      </c>
      <c r="I53">
        <v>10</v>
      </c>
      <c r="J53">
        <v>10</v>
      </c>
      <c r="K53">
        <v>11</v>
      </c>
      <c r="L53">
        <v>15</v>
      </c>
      <c r="M53">
        <v>8</v>
      </c>
      <c r="N53">
        <v>13</v>
      </c>
      <c r="O53">
        <v>16</v>
      </c>
      <c r="P53">
        <v>9</v>
      </c>
      <c r="Q53">
        <v>9</v>
      </c>
      <c r="R53">
        <v>15</v>
      </c>
      <c r="S53">
        <v>16</v>
      </c>
      <c r="T53">
        <v>14</v>
      </c>
      <c r="U53">
        <v>9</v>
      </c>
      <c r="V53">
        <v>3</v>
      </c>
      <c r="W53">
        <v>7</v>
      </c>
      <c r="X53">
        <v>1</v>
      </c>
      <c r="Y53">
        <v>7</v>
      </c>
      <c r="Z53">
        <v>6</v>
      </c>
      <c r="AA53">
        <v>3</v>
      </c>
      <c r="AB53">
        <v>4</v>
      </c>
      <c r="AC53">
        <v>1</v>
      </c>
      <c r="AD53">
        <v>7</v>
      </c>
      <c r="AE53">
        <v>0</v>
      </c>
    </row>
    <row r="54" spans="1:31" x14ac:dyDescent="0.3">
      <c r="A54" t="s">
        <v>33</v>
      </c>
      <c r="B54" t="str">
        <f>IFERROR(VLOOKUP(LEFT(A54, FIND("__", A54) + 1), [1]Sheet2!I$1:J$71, 2, FALSE), "구독권")</f>
        <v xml:space="preserve">기한한정일간어빌석 </v>
      </c>
      <c r="C54">
        <v>382</v>
      </c>
      <c r="D54">
        <v>17</v>
      </c>
      <c r="E54">
        <v>22</v>
      </c>
      <c r="F54">
        <v>18</v>
      </c>
      <c r="G54">
        <v>13</v>
      </c>
      <c r="H54">
        <v>17</v>
      </c>
      <c r="I54">
        <v>17</v>
      </c>
      <c r="J54">
        <v>19</v>
      </c>
      <c r="K54">
        <v>13</v>
      </c>
      <c r="L54">
        <v>16</v>
      </c>
      <c r="M54">
        <v>15</v>
      </c>
      <c r="N54">
        <v>13</v>
      </c>
      <c r="O54">
        <v>10</v>
      </c>
      <c r="P54">
        <v>7</v>
      </c>
      <c r="Q54">
        <v>18</v>
      </c>
      <c r="R54">
        <v>5</v>
      </c>
      <c r="S54">
        <v>12</v>
      </c>
      <c r="T54">
        <v>10</v>
      </c>
      <c r="U54">
        <v>9</v>
      </c>
      <c r="V54">
        <v>7</v>
      </c>
      <c r="W54">
        <v>6</v>
      </c>
      <c r="X54">
        <v>5</v>
      </c>
      <c r="Y54">
        <v>5</v>
      </c>
      <c r="Z54">
        <v>6</v>
      </c>
      <c r="AA54">
        <v>9</v>
      </c>
      <c r="AB54">
        <v>3</v>
      </c>
      <c r="AC54">
        <v>5</v>
      </c>
      <c r="AD54">
        <v>6</v>
      </c>
      <c r="AE54">
        <v>0</v>
      </c>
    </row>
    <row r="55" spans="1:31" x14ac:dyDescent="0.3">
      <c r="A55" t="s">
        <v>34</v>
      </c>
      <c r="B55" t="str">
        <f>IFERROR(VLOOKUP(LEFT(A55, FIND("__", A55) + 1), [1]Sheet2!I$1:J$71, 2, FALSE), "구독권")</f>
        <v>돌발스테이지</v>
      </c>
      <c r="C55">
        <v>374</v>
      </c>
      <c r="D55">
        <v>19</v>
      </c>
      <c r="E55">
        <v>20</v>
      </c>
      <c r="F55">
        <v>13</v>
      </c>
      <c r="G55">
        <v>16</v>
      </c>
      <c r="H55">
        <v>7</v>
      </c>
      <c r="I55">
        <v>15</v>
      </c>
      <c r="J55">
        <v>9</v>
      </c>
      <c r="K55">
        <v>2</v>
      </c>
      <c r="L55">
        <v>13</v>
      </c>
      <c r="M55">
        <v>8</v>
      </c>
      <c r="N55">
        <v>15</v>
      </c>
      <c r="O55">
        <v>7</v>
      </c>
      <c r="P55">
        <v>8</v>
      </c>
      <c r="Q55">
        <v>7</v>
      </c>
      <c r="R55">
        <v>10</v>
      </c>
      <c r="S55">
        <v>8</v>
      </c>
      <c r="T55">
        <v>8</v>
      </c>
      <c r="U55">
        <v>6</v>
      </c>
      <c r="V55">
        <v>5</v>
      </c>
      <c r="W55">
        <v>4</v>
      </c>
      <c r="X55">
        <v>4</v>
      </c>
      <c r="Y55">
        <v>2</v>
      </c>
      <c r="Z55">
        <v>3</v>
      </c>
      <c r="AA55">
        <v>3</v>
      </c>
      <c r="AB55">
        <v>3</v>
      </c>
      <c r="AC55">
        <v>4</v>
      </c>
      <c r="AD55">
        <v>3</v>
      </c>
      <c r="AE55">
        <v>0</v>
      </c>
    </row>
    <row r="56" spans="1:31" x14ac:dyDescent="0.3">
      <c r="A56" t="s">
        <v>60</v>
      </c>
      <c r="B56" t="str">
        <f>IFERROR(VLOOKUP(LEFT(A56, FIND("__", A56) + 1), [1]Sheet2!I$1:J$71, 2, FALSE), "구독권")</f>
        <v>돌발갑옷</v>
      </c>
      <c r="C56">
        <v>360</v>
      </c>
      <c r="D56">
        <v>22</v>
      </c>
      <c r="E56">
        <v>15</v>
      </c>
      <c r="F56">
        <v>14</v>
      </c>
      <c r="G56">
        <v>10</v>
      </c>
      <c r="H56">
        <v>9</v>
      </c>
      <c r="I56">
        <v>12</v>
      </c>
      <c r="J56">
        <v>8</v>
      </c>
      <c r="K56">
        <v>10</v>
      </c>
      <c r="L56">
        <v>8</v>
      </c>
      <c r="M56">
        <v>8</v>
      </c>
      <c r="N56">
        <v>11</v>
      </c>
      <c r="O56">
        <v>6</v>
      </c>
      <c r="P56">
        <v>6</v>
      </c>
      <c r="Q56">
        <v>14</v>
      </c>
      <c r="R56">
        <v>10</v>
      </c>
      <c r="S56">
        <v>11</v>
      </c>
      <c r="T56">
        <v>8</v>
      </c>
      <c r="U56">
        <v>2</v>
      </c>
      <c r="V56">
        <v>10</v>
      </c>
      <c r="W56">
        <v>3</v>
      </c>
      <c r="X56">
        <v>3</v>
      </c>
      <c r="Y56">
        <v>3</v>
      </c>
      <c r="Z56">
        <v>3</v>
      </c>
      <c r="AA56">
        <v>1</v>
      </c>
      <c r="AB56">
        <v>3</v>
      </c>
      <c r="AC56">
        <v>3</v>
      </c>
      <c r="AD56">
        <v>5</v>
      </c>
      <c r="AE56">
        <v>0</v>
      </c>
    </row>
    <row r="57" spans="1:31" x14ac:dyDescent="0.3">
      <c r="A57" t="s">
        <v>44</v>
      </c>
      <c r="B57" t="str">
        <f>IFERROR(VLOOKUP(LEFT(A57, FIND("__", A57) + 1), [1]Sheet2!I$1:J$71, 2, FALSE), "구독권")</f>
        <v>돌발초월</v>
      </c>
      <c r="C57">
        <v>354</v>
      </c>
      <c r="D57">
        <v>23</v>
      </c>
      <c r="E57">
        <v>19</v>
      </c>
      <c r="F57">
        <v>15</v>
      </c>
      <c r="G57">
        <v>11</v>
      </c>
      <c r="H57">
        <v>13</v>
      </c>
      <c r="I57">
        <v>11</v>
      </c>
      <c r="J57">
        <v>15</v>
      </c>
      <c r="K57">
        <v>7</v>
      </c>
      <c r="L57">
        <v>8</v>
      </c>
      <c r="M57">
        <v>6</v>
      </c>
      <c r="N57">
        <v>11</v>
      </c>
      <c r="O57">
        <v>7</v>
      </c>
      <c r="P57">
        <v>9</v>
      </c>
      <c r="Q57">
        <v>7</v>
      </c>
      <c r="R57">
        <v>10</v>
      </c>
      <c r="S57">
        <v>9</v>
      </c>
      <c r="T57">
        <v>10</v>
      </c>
      <c r="U57">
        <v>3</v>
      </c>
      <c r="V57">
        <v>7</v>
      </c>
      <c r="W57">
        <v>4</v>
      </c>
      <c r="X57">
        <v>2</v>
      </c>
      <c r="Y57">
        <v>2</v>
      </c>
      <c r="Z57">
        <v>2</v>
      </c>
      <c r="AA57">
        <v>4</v>
      </c>
      <c r="AB57">
        <v>4</v>
      </c>
      <c r="AC57">
        <v>2</v>
      </c>
      <c r="AD57">
        <v>3</v>
      </c>
      <c r="AE57">
        <v>0</v>
      </c>
    </row>
    <row r="58" spans="1:31" x14ac:dyDescent="0.3">
      <c r="A58" t="s">
        <v>38</v>
      </c>
      <c r="B58" t="str">
        <f>IFERROR(VLOOKUP(LEFT(A58, FIND("__", A58) + 1), [1]Sheet2!I$1:J$71, 2, FALSE), "구독권")</f>
        <v>계정한정영웅필드지원</v>
      </c>
      <c r="C58">
        <v>333</v>
      </c>
      <c r="D58">
        <v>18</v>
      </c>
      <c r="E58">
        <v>22</v>
      </c>
      <c r="F58">
        <v>13</v>
      </c>
      <c r="G58">
        <v>12</v>
      </c>
      <c r="H58">
        <v>10</v>
      </c>
      <c r="I58">
        <v>15</v>
      </c>
      <c r="J58">
        <v>9</v>
      </c>
      <c r="K58">
        <v>10</v>
      </c>
      <c r="L58">
        <v>10</v>
      </c>
      <c r="M58">
        <v>7</v>
      </c>
      <c r="N58">
        <v>19</v>
      </c>
      <c r="O58">
        <v>13</v>
      </c>
      <c r="P58">
        <v>8</v>
      </c>
      <c r="Q58">
        <v>5</v>
      </c>
      <c r="R58">
        <v>12</v>
      </c>
      <c r="S58">
        <v>7</v>
      </c>
      <c r="T58">
        <v>6</v>
      </c>
      <c r="U58">
        <v>8</v>
      </c>
      <c r="V58">
        <v>3</v>
      </c>
      <c r="W58">
        <v>3</v>
      </c>
      <c r="X58">
        <v>1</v>
      </c>
      <c r="Y58">
        <v>7</v>
      </c>
      <c r="Z58">
        <v>4</v>
      </c>
      <c r="AA58">
        <v>8</v>
      </c>
      <c r="AB58">
        <v>7</v>
      </c>
      <c r="AC58">
        <v>5</v>
      </c>
      <c r="AD58">
        <v>4</v>
      </c>
      <c r="AE58">
        <v>0</v>
      </c>
    </row>
    <row r="59" spans="1:31" x14ac:dyDescent="0.3">
      <c r="A59" t="s">
        <v>58</v>
      </c>
      <c r="B59" t="str">
        <f>IFERROR(VLOOKUP(LEFT(A59, FIND("__", A59) + 1), [1]Sheet2!I$1:J$71, 2, FALSE), "구독권")</f>
        <v>돌발육성</v>
      </c>
      <c r="C59">
        <v>327</v>
      </c>
      <c r="D59">
        <v>17</v>
      </c>
      <c r="E59">
        <v>14</v>
      </c>
      <c r="F59">
        <v>10</v>
      </c>
      <c r="G59">
        <v>13</v>
      </c>
      <c r="H59">
        <v>12</v>
      </c>
      <c r="I59">
        <v>16</v>
      </c>
      <c r="J59">
        <v>13</v>
      </c>
      <c r="K59">
        <v>5</v>
      </c>
      <c r="L59">
        <v>8</v>
      </c>
      <c r="M59">
        <v>6</v>
      </c>
      <c r="N59">
        <v>8</v>
      </c>
      <c r="O59">
        <v>6</v>
      </c>
      <c r="P59">
        <v>6</v>
      </c>
      <c r="Q59">
        <v>8</v>
      </c>
      <c r="R59">
        <v>14</v>
      </c>
      <c r="S59">
        <v>10</v>
      </c>
      <c r="T59">
        <v>7</v>
      </c>
      <c r="U59">
        <v>2</v>
      </c>
      <c r="V59">
        <v>6</v>
      </c>
      <c r="W59">
        <v>4</v>
      </c>
      <c r="X59">
        <v>2</v>
      </c>
      <c r="Y59">
        <v>1</v>
      </c>
      <c r="Z59">
        <v>3</v>
      </c>
      <c r="AA59">
        <v>5</v>
      </c>
      <c r="AB59">
        <v>3</v>
      </c>
      <c r="AC59">
        <v>1</v>
      </c>
      <c r="AD59">
        <v>4</v>
      </c>
      <c r="AE59">
        <v>0</v>
      </c>
    </row>
    <row r="60" spans="1:31" x14ac:dyDescent="0.3">
      <c r="A60" t="s">
        <v>35</v>
      </c>
      <c r="B60" t="str">
        <f>IFERROR(VLOOKUP(LEFT(A60, FIND("__", A60) + 1), [1]Sheet2!I$1:J$71, 2, FALSE), "구독권")</f>
        <v>돌발고려</v>
      </c>
      <c r="C60">
        <v>319</v>
      </c>
      <c r="D60">
        <v>19</v>
      </c>
      <c r="E60">
        <v>26</v>
      </c>
      <c r="F60">
        <v>20</v>
      </c>
      <c r="G60">
        <v>13</v>
      </c>
      <c r="H60">
        <v>10</v>
      </c>
      <c r="I60">
        <v>12</v>
      </c>
      <c r="J60">
        <v>16</v>
      </c>
      <c r="K60">
        <v>9</v>
      </c>
      <c r="L60">
        <v>8</v>
      </c>
      <c r="M60">
        <v>9</v>
      </c>
      <c r="N60">
        <v>8</v>
      </c>
      <c r="O60">
        <v>7</v>
      </c>
      <c r="P60">
        <v>11</v>
      </c>
      <c r="Q60">
        <v>6</v>
      </c>
      <c r="R60">
        <v>9</v>
      </c>
      <c r="S60">
        <v>14</v>
      </c>
      <c r="T60">
        <v>9</v>
      </c>
      <c r="U60">
        <v>10</v>
      </c>
      <c r="V60">
        <v>6</v>
      </c>
      <c r="W60">
        <v>6</v>
      </c>
      <c r="X60">
        <v>4</v>
      </c>
      <c r="Y60">
        <v>5</v>
      </c>
      <c r="Z60">
        <v>5</v>
      </c>
      <c r="AA60">
        <v>4</v>
      </c>
      <c r="AB60">
        <v>4</v>
      </c>
      <c r="AC60">
        <v>3</v>
      </c>
      <c r="AD60">
        <v>6</v>
      </c>
      <c r="AE60">
        <v>0</v>
      </c>
    </row>
    <row r="61" spans="1:31" x14ac:dyDescent="0.3">
      <c r="A61" t="s">
        <v>13</v>
      </c>
      <c r="B61" t="str">
        <f>IFERROR(VLOOKUP(LEFT(A61, FIND("__", A61) + 1), [1]Sheet2!I$1:J$71, 2, FALSE), "구독권")</f>
        <v>구독권</v>
      </c>
      <c r="C61">
        <v>318</v>
      </c>
      <c r="D61">
        <v>0</v>
      </c>
      <c r="E61">
        <v>0</v>
      </c>
      <c r="F61">
        <v>0</v>
      </c>
      <c r="G61">
        <v>4</v>
      </c>
      <c r="H61">
        <v>58</v>
      </c>
      <c r="I61">
        <v>30</v>
      </c>
      <c r="J61">
        <v>18</v>
      </c>
      <c r="K61">
        <v>15</v>
      </c>
      <c r="L61">
        <v>17</v>
      </c>
      <c r="M61">
        <v>19</v>
      </c>
      <c r="N61">
        <v>25</v>
      </c>
      <c r="O61">
        <v>12</v>
      </c>
      <c r="P61">
        <v>16</v>
      </c>
      <c r="Q61">
        <v>6</v>
      </c>
      <c r="R61">
        <v>17</v>
      </c>
      <c r="S61">
        <v>13</v>
      </c>
      <c r="T61">
        <v>7</v>
      </c>
      <c r="U61">
        <v>7</v>
      </c>
      <c r="V61">
        <v>7</v>
      </c>
      <c r="W61">
        <v>7</v>
      </c>
      <c r="X61">
        <v>8</v>
      </c>
      <c r="Y61">
        <v>3</v>
      </c>
      <c r="Z61">
        <v>5</v>
      </c>
      <c r="AA61">
        <v>8</v>
      </c>
      <c r="AB61">
        <v>8</v>
      </c>
      <c r="AC61">
        <v>6</v>
      </c>
      <c r="AD61">
        <v>2</v>
      </c>
      <c r="AE61">
        <v>0</v>
      </c>
    </row>
    <row r="62" spans="1:31" x14ac:dyDescent="0.3">
      <c r="A62" t="s">
        <v>28</v>
      </c>
      <c r="B62" t="str">
        <f>IFERROR(VLOOKUP(LEFT(A62, FIND("__", A62) + 1), [1]Sheet2!I$1:J$71, 2, FALSE), "구독권")</f>
        <v xml:space="preserve">기한한정일간영웅 </v>
      </c>
      <c r="C62">
        <v>302</v>
      </c>
      <c r="D62">
        <v>11</v>
      </c>
      <c r="E62">
        <v>16</v>
      </c>
      <c r="F62">
        <v>8</v>
      </c>
      <c r="G62">
        <v>11</v>
      </c>
      <c r="H62">
        <v>12</v>
      </c>
      <c r="I62">
        <v>10</v>
      </c>
      <c r="J62">
        <v>13</v>
      </c>
      <c r="K62">
        <v>11</v>
      </c>
      <c r="L62">
        <v>9</v>
      </c>
      <c r="M62">
        <v>11</v>
      </c>
      <c r="N62">
        <v>13</v>
      </c>
      <c r="O62">
        <v>11</v>
      </c>
      <c r="P62">
        <v>10</v>
      </c>
      <c r="Q62">
        <v>12</v>
      </c>
      <c r="R62">
        <v>9</v>
      </c>
      <c r="S62">
        <v>12</v>
      </c>
      <c r="T62">
        <v>7</v>
      </c>
      <c r="U62">
        <v>9</v>
      </c>
      <c r="V62">
        <v>5</v>
      </c>
      <c r="W62">
        <v>6</v>
      </c>
      <c r="X62">
        <v>5</v>
      </c>
      <c r="Y62">
        <v>5</v>
      </c>
      <c r="Z62">
        <v>4</v>
      </c>
      <c r="AA62">
        <v>8</v>
      </c>
      <c r="AB62">
        <v>3</v>
      </c>
      <c r="AC62">
        <v>7</v>
      </c>
      <c r="AD62">
        <v>3</v>
      </c>
      <c r="AE62">
        <v>0</v>
      </c>
    </row>
    <row r="63" spans="1:31" x14ac:dyDescent="0.3">
      <c r="A63" t="s">
        <v>51</v>
      </c>
      <c r="B63" t="str">
        <f>IFERROR(VLOOKUP(LEFT(A63, FIND("__", A63) + 1), [1]Sheet2!I$1:J$71, 2, FALSE), "구독권")</f>
        <v>계정한정소환고려</v>
      </c>
      <c r="C63">
        <v>290</v>
      </c>
      <c r="D63">
        <v>14</v>
      </c>
      <c r="E63">
        <v>15</v>
      </c>
      <c r="F63">
        <v>13</v>
      </c>
      <c r="G63">
        <v>9</v>
      </c>
      <c r="H63">
        <v>9</v>
      </c>
      <c r="I63">
        <v>11</v>
      </c>
      <c r="J63">
        <v>13</v>
      </c>
      <c r="K63">
        <v>7</v>
      </c>
      <c r="L63">
        <v>4</v>
      </c>
      <c r="M63">
        <v>6</v>
      </c>
      <c r="N63">
        <v>12</v>
      </c>
      <c r="O63">
        <v>13</v>
      </c>
      <c r="P63">
        <v>6</v>
      </c>
      <c r="Q63">
        <v>12</v>
      </c>
      <c r="R63">
        <v>9</v>
      </c>
      <c r="S63">
        <v>9</v>
      </c>
      <c r="T63">
        <v>9</v>
      </c>
      <c r="U63">
        <v>11</v>
      </c>
      <c r="V63">
        <v>5</v>
      </c>
      <c r="W63">
        <v>3</v>
      </c>
      <c r="X63">
        <v>6</v>
      </c>
      <c r="Y63">
        <v>6</v>
      </c>
      <c r="Z63">
        <v>9</v>
      </c>
      <c r="AA63">
        <v>5</v>
      </c>
      <c r="AB63">
        <v>6</v>
      </c>
      <c r="AC63">
        <v>7</v>
      </c>
      <c r="AD63">
        <v>1</v>
      </c>
      <c r="AE63">
        <v>0</v>
      </c>
    </row>
    <row r="64" spans="1:31" x14ac:dyDescent="0.3">
      <c r="A64" t="s">
        <v>119</v>
      </c>
      <c r="B64" t="str">
        <f>IFERROR(VLOOKUP(LEFT(A64, FIND("__", A64) + 1), [1]Sheet2!I$1:J$71, 2, FALSE), "구독권")</f>
        <v>돌발연구</v>
      </c>
      <c r="C64">
        <v>279</v>
      </c>
      <c r="D64">
        <v>13</v>
      </c>
      <c r="E64">
        <v>10</v>
      </c>
      <c r="F64">
        <v>12</v>
      </c>
      <c r="G64">
        <v>13</v>
      </c>
      <c r="H64">
        <v>16</v>
      </c>
      <c r="I64">
        <v>17</v>
      </c>
      <c r="J64">
        <v>13</v>
      </c>
      <c r="K64">
        <v>12</v>
      </c>
      <c r="L64">
        <v>14</v>
      </c>
      <c r="M64">
        <v>12</v>
      </c>
      <c r="N64">
        <v>14</v>
      </c>
      <c r="O64">
        <v>10</v>
      </c>
      <c r="P64">
        <v>7</v>
      </c>
      <c r="Q64">
        <v>6</v>
      </c>
      <c r="R64">
        <v>10</v>
      </c>
      <c r="S64">
        <v>8</v>
      </c>
      <c r="T64">
        <v>5</v>
      </c>
      <c r="U64">
        <v>5</v>
      </c>
      <c r="V64">
        <v>5</v>
      </c>
      <c r="W64">
        <v>8</v>
      </c>
      <c r="X64">
        <v>4</v>
      </c>
      <c r="Y64">
        <v>1</v>
      </c>
      <c r="Z64">
        <v>2</v>
      </c>
      <c r="AA64">
        <v>7</v>
      </c>
      <c r="AB64">
        <v>2</v>
      </c>
      <c r="AC64">
        <v>1</v>
      </c>
      <c r="AD64">
        <v>2</v>
      </c>
      <c r="AE64">
        <v>0</v>
      </c>
    </row>
    <row r="65" spans="1:31" x14ac:dyDescent="0.3">
      <c r="A65" t="s">
        <v>48</v>
      </c>
      <c r="B65" t="str">
        <f>IFERROR(VLOOKUP(LEFT(A65, FIND("__", A65) + 1), [1]Sheet2!I$1:J$71, 2, FALSE), "구독권")</f>
        <v>계정한정소환조선</v>
      </c>
      <c r="C65">
        <v>278</v>
      </c>
      <c r="D65">
        <v>12</v>
      </c>
      <c r="E65">
        <v>10</v>
      </c>
      <c r="F65">
        <v>11</v>
      </c>
      <c r="G65">
        <v>12</v>
      </c>
      <c r="H65">
        <v>8</v>
      </c>
      <c r="I65">
        <v>10</v>
      </c>
      <c r="J65">
        <v>10</v>
      </c>
      <c r="K65">
        <v>11</v>
      </c>
      <c r="L65">
        <v>5</v>
      </c>
      <c r="M65">
        <v>3</v>
      </c>
      <c r="N65">
        <v>9</v>
      </c>
      <c r="O65">
        <v>13</v>
      </c>
      <c r="P65">
        <v>7</v>
      </c>
      <c r="Q65">
        <v>12</v>
      </c>
      <c r="R65">
        <v>7</v>
      </c>
      <c r="S65">
        <v>10</v>
      </c>
      <c r="T65">
        <v>8</v>
      </c>
      <c r="U65">
        <v>5</v>
      </c>
      <c r="V65">
        <v>2</v>
      </c>
      <c r="W65">
        <v>4</v>
      </c>
      <c r="X65">
        <v>2</v>
      </c>
      <c r="Y65">
        <v>7</v>
      </c>
      <c r="Z65">
        <v>7</v>
      </c>
      <c r="AA65">
        <v>6</v>
      </c>
      <c r="AB65">
        <v>8</v>
      </c>
      <c r="AC65">
        <v>10</v>
      </c>
      <c r="AD65">
        <v>1</v>
      </c>
      <c r="AE65">
        <v>0</v>
      </c>
    </row>
    <row r="66" spans="1:31" x14ac:dyDescent="0.3">
      <c r="A66" t="s">
        <v>42</v>
      </c>
      <c r="B66" t="str">
        <f>IFERROR(VLOOKUP(LEFT(A66, FIND("__", A66) + 1), [1]Sheet2!I$1:J$71, 2, FALSE), "구독권")</f>
        <v>돌발조선</v>
      </c>
      <c r="C66">
        <v>263</v>
      </c>
      <c r="D66">
        <v>12</v>
      </c>
      <c r="E66">
        <v>11</v>
      </c>
      <c r="F66">
        <v>11</v>
      </c>
      <c r="G66">
        <v>8</v>
      </c>
      <c r="H66">
        <v>8</v>
      </c>
      <c r="I66">
        <v>9</v>
      </c>
      <c r="J66">
        <v>13</v>
      </c>
      <c r="K66">
        <v>8</v>
      </c>
      <c r="L66">
        <v>10</v>
      </c>
      <c r="M66">
        <v>9</v>
      </c>
      <c r="N66">
        <v>10</v>
      </c>
      <c r="O66">
        <v>9</v>
      </c>
      <c r="P66">
        <v>10</v>
      </c>
      <c r="Q66">
        <v>5</v>
      </c>
      <c r="R66">
        <v>10</v>
      </c>
      <c r="S66">
        <v>10</v>
      </c>
      <c r="T66">
        <v>10</v>
      </c>
      <c r="U66">
        <v>10</v>
      </c>
      <c r="V66">
        <v>7</v>
      </c>
      <c r="W66">
        <v>6</v>
      </c>
      <c r="X66">
        <v>5</v>
      </c>
      <c r="Y66">
        <v>2</v>
      </c>
      <c r="Z66">
        <v>2</v>
      </c>
      <c r="AA66">
        <v>4</v>
      </c>
      <c r="AB66">
        <v>7</v>
      </c>
      <c r="AC66">
        <v>3</v>
      </c>
      <c r="AD66">
        <v>4</v>
      </c>
      <c r="AE66">
        <v>0</v>
      </c>
    </row>
    <row r="67" spans="1:31" x14ac:dyDescent="0.3">
      <c r="A67" t="s">
        <v>32</v>
      </c>
      <c r="B67" t="str">
        <f>IFERROR(VLOOKUP(LEFT(A67, FIND("__", A67) + 1), [1]Sheet2!I$1:J$71, 2, FALSE), "구독권")</f>
        <v>계정한정소환무기</v>
      </c>
      <c r="C67">
        <v>251</v>
      </c>
      <c r="D67">
        <v>11</v>
      </c>
      <c r="E67">
        <v>7</v>
      </c>
      <c r="F67">
        <v>10</v>
      </c>
      <c r="G67">
        <v>11</v>
      </c>
      <c r="H67">
        <v>6</v>
      </c>
      <c r="I67">
        <v>15</v>
      </c>
      <c r="J67">
        <v>10</v>
      </c>
      <c r="K67">
        <v>6</v>
      </c>
      <c r="L67">
        <v>5</v>
      </c>
      <c r="M67">
        <v>1</v>
      </c>
      <c r="N67">
        <v>11</v>
      </c>
      <c r="O67">
        <v>12</v>
      </c>
      <c r="P67">
        <v>9</v>
      </c>
      <c r="Q67">
        <v>11</v>
      </c>
      <c r="R67">
        <v>7</v>
      </c>
      <c r="S67">
        <v>8</v>
      </c>
      <c r="T67">
        <v>3</v>
      </c>
      <c r="U67">
        <v>3</v>
      </c>
      <c r="V67">
        <v>3</v>
      </c>
      <c r="W67">
        <v>6</v>
      </c>
      <c r="X67">
        <v>6</v>
      </c>
      <c r="Y67">
        <v>3</v>
      </c>
      <c r="Z67">
        <v>2</v>
      </c>
      <c r="AA67">
        <v>4</v>
      </c>
      <c r="AB67">
        <v>3</v>
      </c>
      <c r="AC67">
        <v>2</v>
      </c>
      <c r="AD67">
        <v>3</v>
      </c>
      <c r="AE67">
        <v>0</v>
      </c>
    </row>
    <row r="68" spans="1:31" x14ac:dyDescent="0.3">
      <c r="A68" t="s">
        <v>26</v>
      </c>
      <c r="B68" t="str">
        <f>IFERROR(VLOOKUP(LEFT(A68, FIND("__", A68) + 1), [1]Sheet2!I$1:J$71, 2, FALSE), "구독권")</f>
        <v>구독권</v>
      </c>
      <c r="C68">
        <v>214</v>
      </c>
      <c r="D68">
        <v>0</v>
      </c>
      <c r="E68">
        <v>0</v>
      </c>
      <c r="F68">
        <v>0</v>
      </c>
      <c r="G68">
        <v>2</v>
      </c>
      <c r="H68">
        <v>35</v>
      </c>
      <c r="I68">
        <v>19</v>
      </c>
      <c r="J68">
        <v>14</v>
      </c>
      <c r="K68">
        <v>11</v>
      </c>
      <c r="L68">
        <v>7</v>
      </c>
      <c r="M68">
        <v>15</v>
      </c>
      <c r="N68">
        <v>16</v>
      </c>
      <c r="O68">
        <v>6</v>
      </c>
      <c r="P68">
        <v>12</v>
      </c>
      <c r="Q68">
        <v>5</v>
      </c>
      <c r="R68">
        <v>11</v>
      </c>
      <c r="S68">
        <v>9</v>
      </c>
      <c r="T68">
        <v>10</v>
      </c>
      <c r="U68">
        <v>5</v>
      </c>
      <c r="V68">
        <v>6</v>
      </c>
      <c r="W68">
        <v>2</v>
      </c>
      <c r="X68">
        <v>7</v>
      </c>
      <c r="Y68">
        <v>2</v>
      </c>
      <c r="Z68">
        <v>8</v>
      </c>
      <c r="AA68">
        <v>2</v>
      </c>
      <c r="AB68">
        <v>5</v>
      </c>
      <c r="AC68">
        <v>4</v>
      </c>
      <c r="AD68">
        <v>1</v>
      </c>
      <c r="AE68">
        <v>0</v>
      </c>
    </row>
    <row r="69" spans="1:31" x14ac:dyDescent="0.3">
      <c r="A69" t="s">
        <v>174</v>
      </c>
      <c r="B69" t="str">
        <f>IFERROR(VLOOKUP(LEFT(A69, FIND("__", A69) + 1), [1]Sheet2!I$1:J$71, 2, FALSE), "구독권")</f>
        <v>계정한정소환장비</v>
      </c>
      <c r="C69">
        <v>209</v>
      </c>
      <c r="D69">
        <v>18</v>
      </c>
      <c r="E69">
        <v>15</v>
      </c>
      <c r="F69">
        <v>19</v>
      </c>
      <c r="G69">
        <v>20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 x14ac:dyDescent="0.3">
      <c r="A70" t="s">
        <v>116</v>
      </c>
      <c r="B70" t="str">
        <f>IFERROR(VLOOKUP(LEFT(A70, FIND("__", A70) + 1), [1]Sheet2!I$1:J$71, 2, FALSE), "구독권")</f>
        <v>돌발연구</v>
      </c>
      <c r="C70">
        <v>206</v>
      </c>
      <c r="D70">
        <v>6</v>
      </c>
      <c r="E70">
        <v>11</v>
      </c>
      <c r="F70">
        <v>5</v>
      </c>
      <c r="G70">
        <v>5</v>
      </c>
      <c r="H70">
        <v>10</v>
      </c>
      <c r="I70">
        <v>11</v>
      </c>
      <c r="J70">
        <v>11</v>
      </c>
      <c r="K70">
        <v>5</v>
      </c>
      <c r="L70">
        <v>13</v>
      </c>
      <c r="M70">
        <v>6</v>
      </c>
      <c r="N70">
        <v>13</v>
      </c>
      <c r="O70">
        <v>7</v>
      </c>
      <c r="P70">
        <v>6</v>
      </c>
      <c r="Q70">
        <v>4</v>
      </c>
      <c r="R70">
        <v>6</v>
      </c>
      <c r="S70">
        <v>8</v>
      </c>
      <c r="T70">
        <v>8</v>
      </c>
      <c r="U70">
        <v>7</v>
      </c>
      <c r="V70">
        <v>3</v>
      </c>
      <c r="W70">
        <v>3</v>
      </c>
      <c r="X70">
        <v>5</v>
      </c>
      <c r="Y70">
        <v>4</v>
      </c>
      <c r="Z70">
        <v>2</v>
      </c>
      <c r="AA70">
        <v>2</v>
      </c>
      <c r="AB70">
        <v>4</v>
      </c>
      <c r="AC70">
        <v>3</v>
      </c>
      <c r="AD70">
        <v>2</v>
      </c>
      <c r="AE70">
        <v>0</v>
      </c>
    </row>
    <row r="71" spans="1:31" x14ac:dyDescent="0.3">
      <c r="A71" t="s">
        <v>81</v>
      </c>
      <c r="B71" t="str">
        <f>IFERROR(VLOOKUP(LEFT(A71, FIND("__", A71) + 1), [1]Sheet2!I$1:J$71, 2, FALSE), "구독권")</f>
        <v>돌발스테이지</v>
      </c>
      <c r="C71">
        <v>205</v>
      </c>
      <c r="D71">
        <v>15</v>
      </c>
      <c r="E71">
        <v>10</v>
      </c>
      <c r="F71">
        <v>13</v>
      </c>
      <c r="G71">
        <v>5</v>
      </c>
      <c r="H71">
        <v>4</v>
      </c>
      <c r="I71">
        <v>10</v>
      </c>
      <c r="J71">
        <v>8</v>
      </c>
      <c r="K71">
        <v>6</v>
      </c>
      <c r="L71">
        <v>3</v>
      </c>
      <c r="M71">
        <v>5</v>
      </c>
      <c r="N71">
        <v>5</v>
      </c>
      <c r="O71">
        <v>5</v>
      </c>
      <c r="P71">
        <v>4</v>
      </c>
      <c r="Q71">
        <v>2</v>
      </c>
      <c r="R71">
        <v>8</v>
      </c>
      <c r="S71">
        <v>7</v>
      </c>
      <c r="T71">
        <v>5</v>
      </c>
      <c r="U71">
        <v>4</v>
      </c>
      <c r="V71">
        <v>0</v>
      </c>
      <c r="W71">
        <v>3</v>
      </c>
      <c r="X71">
        <v>2</v>
      </c>
      <c r="Y71">
        <v>4</v>
      </c>
      <c r="Z71">
        <v>3</v>
      </c>
      <c r="AA71">
        <v>1</v>
      </c>
      <c r="AB71">
        <v>0</v>
      </c>
      <c r="AC71">
        <v>1</v>
      </c>
      <c r="AD71">
        <v>2</v>
      </c>
      <c r="AE71">
        <v>0</v>
      </c>
    </row>
    <row r="72" spans="1:31" x14ac:dyDescent="0.3">
      <c r="A72" t="s">
        <v>25</v>
      </c>
      <c r="B72" t="str">
        <f>IFERROR(VLOOKUP(LEFT(A72, FIND("__", A72) + 1), [1]Sheet2!I$1:J$71, 2, FALSE), "구독권")</f>
        <v>구독권</v>
      </c>
      <c r="C72">
        <v>202</v>
      </c>
      <c r="D72">
        <v>0</v>
      </c>
      <c r="E72">
        <v>0</v>
      </c>
      <c r="F72">
        <v>0</v>
      </c>
      <c r="G72">
        <v>1</v>
      </c>
      <c r="H72">
        <v>26</v>
      </c>
      <c r="I72">
        <v>12</v>
      </c>
      <c r="J72">
        <v>13</v>
      </c>
      <c r="K72">
        <v>15</v>
      </c>
      <c r="L72">
        <v>4</v>
      </c>
      <c r="M72">
        <v>15</v>
      </c>
      <c r="N72">
        <v>19</v>
      </c>
      <c r="O72">
        <v>5</v>
      </c>
      <c r="P72">
        <v>7</v>
      </c>
      <c r="Q72">
        <v>7</v>
      </c>
      <c r="R72">
        <v>13</v>
      </c>
      <c r="S72">
        <v>7</v>
      </c>
      <c r="T72">
        <v>10</v>
      </c>
      <c r="U72">
        <v>9</v>
      </c>
      <c r="V72">
        <v>3</v>
      </c>
      <c r="W72">
        <v>4</v>
      </c>
      <c r="X72">
        <v>4</v>
      </c>
      <c r="Y72">
        <v>2</v>
      </c>
      <c r="Z72">
        <v>3</v>
      </c>
      <c r="AA72">
        <v>4</v>
      </c>
      <c r="AB72">
        <v>10</v>
      </c>
      <c r="AC72">
        <v>5</v>
      </c>
      <c r="AD72">
        <v>4</v>
      </c>
      <c r="AE72">
        <v>0</v>
      </c>
    </row>
    <row r="73" spans="1:31" x14ac:dyDescent="0.3">
      <c r="A73" t="s">
        <v>78</v>
      </c>
      <c r="B73" t="str">
        <f>IFERROR(VLOOKUP(LEFT(A73, FIND("__", A73) + 1), [1]Sheet2!I$1:J$71, 2, FALSE), "구독권")</f>
        <v>돌발초월</v>
      </c>
      <c r="C73">
        <v>199</v>
      </c>
      <c r="D73">
        <v>11</v>
      </c>
      <c r="E73">
        <v>16</v>
      </c>
      <c r="F73">
        <v>6</v>
      </c>
      <c r="G73">
        <v>6</v>
      </c>
      <c r="H73">
        <v>5</v>
      </c>
      <c r="I73">
        <v>8</v>
      </c>
      <c r="J73">
        <v>8</v>
      </c>
      <c r="K73">
        <v>4</v>
      </c>
      <c r="L73">
        <v>5</v>
      </c>
      <c r="M73">
        <v>3</v>
      </c>
      <c r="N73">
        <v>4</v>
      </c>
      <c r="O73">
        <v>5</v>
      </c>
      <c r="P73">
        <v>3</v>
      </c>
      <c r="Q73">
        <v>4</v>
      </c>
      <c r="R73">
        <v>8</v>
      </c>
      <c r="S73">
        <v>6</v>
      </c>
      <c r="T73">
        <v>6</v>
      </c>
      <c r="U73">
        <v>2</v>
      </c>
      <c r="V73">
        <v>2</v>
      </c>
      <c r="W73">
        <v>3</v>
      </c>
      <c r="X73">
        <v>1</v>
      </c>
      <c r="Y73">
        <v>3</v>
      </c>
      <c r="Z73">
        <v>0</v>
      </c>
      <c r="AA73">
        <v>1</v>
      </c>
      <c r="AB73">
        <v>0</v>
      </c>
      <c r="AC73">
        <v>3</v>
      </c>
      <c r="AD73">
        <v>2</v>
      </c>
      <c r="AE73">
        <v>0</v>
      </c>
    </row>
    <row r="74" spans="1:31" x14ac:dyDescent="0.3">
      <c r="A74" t="s">
        <v>27</v>
      </c>
      <c r="B74" t="str">
        <f>IFERROR(VLOOKUP(LEFT(A74, FIND("__", A74) + 1), [1]Sheet2!I$1:J$71, 2, FALSE), "구독권")</f>
        <v>계정한정영웅육성지원</v>
      </c>
      <c r="C74">
        <v>196</v>
      </c>
      <c r="D74">
        <v>9</v>
      </c>
      <c r="E74">
        <v>11</v>
      </c>
      <c r="F74">
        <v>6</v>
      </c>
      <c r="G74">
        <v>7</v>
      </c>
      <c r="H74">
        <v>7</v>
      </c>
      <c r="I74">
        <v>6</v>
      </c>
      <c r="J74">
        <v>7</v>
      </c>
      <c r="K74">
        <v>7</v>
      </c>
      <c r="L74">
        <v>5</v>
      </c>
      <c r="M74">
        <v>3</v>
      </c>
      <c r="N74">
        <v>11</v>
      </c>
      <c r="O74">
        <v>4</v>
      </c>
      <c r="P74">
        <v>8</v>
      </c>
      <c r="Q74">
        <v>6</v>
      </c>
      <c r="R74">
        <v>5</v>
      </c>
      <c r="S74">
        <v>4</v>
      </c>
      <c r="T74">
        <v>9</v>
      </c>
      <c r="U74">
        <v>4</v>
      </c>
      <c r="V74">
        <v>5</v>
      </c>
      <c r="W74">
        <v>1</v>
      </c>
      <c r="X74">
        <v>0</v>
      </c>
      <c r="Y74">
        <v>1</v>
      </c>
      <c r="Z74">
        <v>1</v>
      </c>
      <c r="AA74">
        <v>1</v>
      </c>
      <c r="AB74">
        <v>1</v>
      </c>
      <c r="AC74">
        <v>7</v>
      </c>
      <c r="AD74">
        <v>0</v>
      </c>
      <c r="AE74">
        <v>0</v>
      </c>
    </row>
    <row r="75" spans="1:31" x14ac:dyDescent="0.3">
      <c r="A75" t="s">
        <v>47</v>
      </c>
      <c r="B75" t="str">
        <f>IFERROR(VLOOKUP(LEFT(A75, FIND("__", A75) + 1), [1]Sheet2!I$1:J$71, 2, FALSE), "구독권")</f>
        <v>계정한정소환가속</v>
      </c>
      <c r="C75">
        <v>193</v>
      </c>
      <c r="D75">
        <v>6</v>
      </c>
      <c r="E75">
        <v>7</v>
      </c>
      <c r="F75">
        <v>4</v>
      </c>
      <c r="G75">
        <v>6</v>
      </c>
      <c r="H75">
        <v>7</v>
      </c>
      <c r="I75">
        <v>6</v>
      </c>
      <c r="J75">
        <v>6</v>
      </c>
      <c r="K75">
        <v>8</v>
      </c>
      <c r="L75">
        <v>8</v>
      </c>
      <c r="M75">
        <v>10</v>
      </c>
      <c r="N75">
        <v>11</v>
      </c>
      <c r="O75">
        <v>8</v>
      </c>
      <c r="P75">
        <v>6</v>
      </c>
      <c r="Q75">
        <v>12</v>
      </c>
      <c r="R75">
        <v>2</v>
      </c>
      <c r="S75">
        <v>3</v>
      </c>
      <c r="T75">
        <v>9</v>
      </c>
      <c r="U75">
        <v>6</v>
      </c>
      <c r="V75">
        <v>7</v>
      </c>
      <c r="W75">
        <v>4</v>
      </c>
      <c r="X75">
        <v>4</v>
      </c>
      <c r="Y75">
        <v>5</v>
      </c>
      <c r="Z75">
        <v>6</v>
      </c>
      <c r="AA75">
        <v>4</v>
      </c>
      <c r="AB75">
        <v>4</v>
      </c>
      <c r="AC75">
        <v>3</v>
      </c>
      <c r="AD75">
        <v>2</v>
      </c>
      <c r="AE75">
        <v>0</v>
      </c>
    </row>
    <row r="76" spans="1:31" x14ac:dyDescent="0.3">
      <c r="A76" t="s">
        <v>147</v>
      </c>
      <c r="B76" t="str">
        <f>IFERROR(VLOOKUP(LEFT(A76, FIND("__", A76) + 1), [1]Sheet2!I$1:J$71, 2, FALSE), "구독권")</f>
        <v>구독권</v>
      </c>
      <c r="C76">
        <v>191</v>
      </c>
      <c r="D76">
        <v>23</v>
      </c>
      <c r="E76">
        <v>13</v>
      </c>
      <c r="F76">
        <v>19</v>
      </c>
      <c r="G76">
        <v>11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">
      <c r="A77" t="s">
        <v>16</v>
      </c>
      <c r="B77" t="str">
        <f>IFERROR(VLOOKUP(LEFT(A77, FIND("__", A77) + 1), [1]Sheet2!I$1:J$71, 2, FALSE), "구독권")</f>
        <v>구독권</v>
      </c>
      <c r="C77">
        <v>189</v>
      </c>
      <c r="D77">
        <v>0</v>
      </c>
      <c r="E77">
        <v>0</v>
      </c>
      <c r="F77">
        <v>0</v>
      </c>
      <c r="G77">
        <v>1</v>
      </c>
      <c r="H77">
        <v>15</v>
      </c>
      <c r="I77">
        <v>10</v>
      </c>
      <c r="J77">
        <v>12</v>
      </c>
      <c r="K77">
        <v>15</v>
      </c>
      <c r="L77">
        <v>7</v>
      </c>
      <c r="M77">
        <v>11</v>
      </c>
      <c r="N77">
        <v>9</v>
      </c>
      <c r="O77">
        <v>6</v>
      </c>
      <c r="P77">
        <v>13</v>
      </c>
      <c r="Q77">
        <v>14</v>
      </c>
      <c r="R77">
        <v>6</v>
      </c>
      <c r="S77">
        <v>13</v>
      </c>
      <c r="T77">
        <v>6</v>
      </c>
      <c r="U77">
        <v>3</v>
      </c>
      <c r="V77">
        <v>10</v>
      </c>
      <c r="W77">
        <v>6</v>
      </c>
      <c r="X77">
        <v>0</v>
      </c>
      <c r="Y77">
        <v>2</v>
      </c>
      <c r="Z77">
        <v>4</v>
      </c>
      <c r="AA77">
        <v>5</v>
      </c>
      <c r="AB77">
        <v>5</v>
      </c>
      <c r="AC77">
        <v>8</v>
      </c>
      <c r="AD77">
        <v>7</v>
      </c>
      <c r="AE77">
        <v>1</v>
      </c>
    </row>
    <row r="78" spans="1:31" x14ac:dyDescent="0.3">
      <c r="A78" t="s">
        <v>125</v>
      </c>
      <c r="B78" t="str">
        <f>IFERROR(VLOOKUP(LEFT(A78, FIND("__", A78) + 1), [1]Sheet2!I$1:J$71, 2, FALSE), "구독권")</f>
        <v>돌발육성</v>
      </c>
      <c r="C78">
        <v>184</v>
      </c>
      <c r="D78">
        <v>13</v>
      </c>
      <c r="E78">
        <v>12</v>
      </c>
      <c r="F78">
        <v>7</v>
      </c>
      <c r="G78">
        <v>8</v>
      </c>
      <c r="H78">
        <v>4</v>
      </c>
      <c r="I78">
        <v>7</v>
      </c>
      <c r="J78">
        <v>9</v>
      </c>
      <c r="K78">
        <v>9</v>
      </c>
      <c r="L78">
        <v>9</v>
      </c>
      <c r="M78">
        <v>8</v>
      </c>
      <c r="N78">
        <v>6</v>
      </c>
      <c r="O78">
        <v>7</v>
      </c>
      <c r="P78">
        <v>2</v>
      </c>
      <c r="Q78">
        <v>5</v>
      </c>
      <c r="R78">
        <v>4</v>
      </c>
      <c r="S78">
        <v>11</v>
      </c>
      <c r="T78">
        <v>6</v>
      </c>
      <c r="U78">
        <v>3</v>
      </c>
      <c r="V78">
        <v>4</v>
      </c>
      <c r="W78">
        <v>2</v>
      </c>
      <c r="X78">
        <v>1</v>
      </c>
      <c r="Y78">
        <v>1</v>
      </c>
      <c r="Z78">
        <v>1</v>
      </c>
      <c r="AA78">
        <v>1</v>
      </c>
      <c r="AB78">
        <v>2</v>
      </c>
      <c r="AC78">
        <v>2</v>
      </c>
      <c r="AD78">
        <v>3</v>
      </c>
      <c r="AE78">
        <v>0</v>
      </c>
    </row>
    <row r="79" spans="1:31" x14ac:dyDescent="0.3">
      <c r="A79" t="s">
        <v>55</v>
      </c>
      <c r="B79" t="str">
        <f>IFERROR(VLOOKUP(LEFT(A79, FIND("__", A79) + 1), [1]Sheet2!I$1:J$71, 2, FALSE), "구독권")</f>
        <v xml:space="preserve">기한한정일간장비 </v>
      </c>
      <c r="C79">
        <v>182</v>
      </c>
      <c r="D79">
        <v>6</v>
      </c>
      <c r="E79">
        <v>8</v>
      </c>
      <c r="F79">
        <v>4</v>
      </c>
      <c r="G79">
        <v>8</v>
      </c>
      <c r="H79">
        <v>6</v>
      </c>
      <c r="I79">
        <v>5</v>
      </c>
      <c r="J79">
        <v>10</v>
      </c>
      <c r="K79">
        <v>6</v>
      </c>
      <c r="L79">
        <v>9</v>
      </c>
      <c r="M79">
        <v>7</v>
      </c>
      <c r="N79">
        <v>8</v>
      </c>
      <c r="O79">
        <v>7</v>
      </c>
      <c r="P79">
        <v>5</v>
      </c>
      <c r="Q79">
        <v>5</v>
      </c>
      <c r="R79">
        <v>8</v>
      </c>
      <c r="S79">
        <v>4</v>
      </c>
      <c r="T79">
        <v>4</v>
      </c>
      <c r="U79">
        <v>7</v>
      </c>
      <c r="V79">
        <v>3</v>
      </c>
      <c r="W79">
        <v>3</v>
      </c>
      <c r="X79">
        <v>1</v>
      </c>
      <c r="Y79">
        <v>5</v>
      </c>
      <c r="Z79">
        <v>1</v>
      </c>
      <c r="AA79">
        <v>5</v>
      </c>
      <c r="AB79">
        <v>1</v>
      </c>
      <c r="AC79">
        <v>2</v>
      </c>
      <c r="AD79">
        <v>1</v>
      </c>
      <c r="AE79">
        <v>0</v>
      </c>
    </row>
    <row r="80" spans="1:31" x14ac:dyDescent="0.3">
      <c r="A80" t="s">
        <v>45</v>
      </c>
      <c r="B80" t="str">
        <f>IFERROR(VLOOKUP(LEFT(A80, FIND("__", A80) + 1), [1]Sheet2!I$1:J$71, 2, FALSE), "구독권")</f>
        <v>사냥패스1</v>
      </c>
      <c r="C80">
        <v>182</v>
      </c>
      <c r="D80">
        <v>10</v>
      </c>
      <c r="E80">
        <v>7</v>
      </c>
      <c r="F80">
        <v>8</v>
      </c>
      <c r="G80">
        <v>10</v>
      </c>
      <c r="H80">
        <v>9</v>
      </c>
      <c r="I80">
        <v>4</v>
      </c>
      <c r="J80">
        <v>5</v>
      </c>
      <c r="K80">
        <v>7</v>
      </c>
      <c r="L80">
        <v>6</v>
      </c>
      <c r="M80">
        <v>6</v>
      </c>
      <c r="N80">
        <v>11</v>
      </c>
      <c r="O80">
        <v>7</v>
      </c>
      <c r="P80">
        <v>6</v>
      </c>
      <c r="Q80">
        <v>4</v>
      </c>
      <c r="R80">
        <v>10</v>
      </c>
      <c r="S80">
        <v>5</v>
      </c>
      <c r="T80">
        <v>3</v>
      </c>
      <c r="U80">
        <v>2</v>
      </c>
      <c r="V80">
        <v>5</v>
      </c>
      <c r="W80">
        <v>1</v>
      </c>
      <c r="X80">
        <v>3</v>
      </c>
      <c r="Y80">
        <v>3</v>
      </c>
      <c r="Z80">
        <v>1</v>
      </c>
      <c r="AA80">
        <v>5</v>
      </c>
      <c r="AB80">
        <v>3</v>
      </c>
      <c r="AC80">
        <v>4</v>
      </c>
      <c r="AD80">
        <v>3</v>
      </c>
      <c r="AE80">
        <v>0</v>
      </c>
    </row>
    <row r="81" spans="1:31" x14ac:dyDescent="0.3">
      <c r="A81" t="s">
        <v>75</v>
      </c>
      <c r="B81" t="str">
        <f>IFERROR(VLOOKUP(LEFT(A81, FIND("__", A81) + 1), [1]Sheet2!I$1:J$71, 2, FALSE), "구독권")</f>
        <v>돌발무기</v>
      </c>
      <c r="C81">
        <v>181</v>
      </c>
      <c r="D81">
        <v>9</v>
      </c>
      <c r="E81">
        <v>3</v>
      </c>
      <c r="F81">
        <v>2</v>
      </c>
      <c r="G81">
        <v>11</v>
      </c>
      <c r="H81">
        <v>2</v>
      </c>
      <c r="I81">
        <v>12</v>
      </c>
      <c r="J81">
        <v>4</v>
      </c>
      <c r="K81">
        <v>4</v>
      </c>
      <c r="L81">
        <v>6</v>
      </c>
      <c r="M81">
        <v>2</v>
      </c>
      <c r="N81">
        <v>9</v>
      </c>
      <c r="O81">
        <v>5</v>
      </c>
      <c r="P81">
        <v>6</v>
      </c>
      <c r="Q81">
        <v>3</v>
      </c>
      <c r="R81">
        <v>2</v>
      </c>
      <c r="S81">
        <v>4</v>
      </c>
      <c r="T81">
        <v>7</v>
      </c>
      <c r="U81">
        <v>8</v>
      </c>
      <c r="V81">
        <v>3</v>
      </c>
      <c r="W81">
        <v>5</v>
      </c>
      <c r="X81">
        <v>3</v>
      </c>
      <c r="Y81">
        <v>4</v>
      </c>
      <c r="Z81">
        <v>2</v>
      </c>
      <c r="AA81">
        <v>3</v>
      </c>
      <c r="AB81">
        <v>4</v>
      </c>
      <c r="AC81">
        <v>7</v>
      </c>
      <c r="AD81">
        <v>2</v>
      </c>
      <c r="AE81">
        <v>0</v>
      </c>
    </row>
    <row r="82" spans="1:31" x14ac:dyDescent="0.3">
      <c r="A82" t="s">
        <v>76</v>
      </c>
      <c r="B82" t="str">
        <f>IFERROR(VLOOKUP(LEFT(A82, FIND("__", A82) + 1), [1]Sheet2!I$1:J$71, 2, FALSE), "구독권")</f>
        <v>돌발스테이지</v>
      </c>
      <c r="C82">
        <v>177</v>
      </c>
      <c r="D82">
        <v>8</v>
      </c>
      <c r="E82">
        <v>12</v>
      </c>
      <c r="F82">
        <v>9</v>
      </c>
      <c r="G82">
        <v>7</v>
      </c>
      <c r="H82">
        <v>9</v>
      </c>
      <c r="I82">
        <v>6</v>
      </c>
      <c r="J82">
        <v>7</v>
      </c>
      <c r="K82">
        <v>6</v>
      </c>
      <c r="L82">
        <v>12</v>
      </c>
      <c r="M82">
        <v>6</v>
      </c>
      <c r="N82">
        <v>7</v>
      </c>
      <c r="O82">
        <v>7</v>
      </c>
      <c r="P82">
        <v>5</v>
      </c>
      <c r="Q82">
        <v>4</v>
      </c>
      <c r="R82">
        <v>9</v>
      </c>
      <c r="S82">
        <v>7</v>
      </c>
      <c r="T82">
        <v>3</v>
      </c>
      <c r="U82">
        <v>5</v>
      </c>
      <c r="V82">
        <v>0</v>
      </c>
      <c r="W82">
        <v>3</v>
      </c>
      <c r="X82">
        <v>3</v>
      </c>
      <c r="Y82">
        <v>3</v>
      </c>
      <c r="Z82">
        <v>1</v>
      </c>
      <c r="AA82">
        <v>4</v>
      </c>
      <c r="AB82">
        <v>1</v>
      </c>
      <c r="AC82">
        <v>2</v>
      </c>
      <c r="AD82">
        <v>1</v>
      </c>
      <c r="AE82">
        <v>0</v>
      </c>
    </row>
    <row r="83" spans="1:31" x14ac:dyDescent="0.3">
      <c r="A83" t="s">
        <v>24</v>
      </c>
      <c r="B83" t="str">
        <f>IFERROR(VLOOKUP(LEFT(A83, FIND("__", A83) + 1), [1]Sheet2!I$1:J$71, 2, FALSE), "구독권")</f>
        <v>구독권</v>
      </c>
      <c r="C83">
        <v>173</v>
      </c>
      <c r="D83">
        <v>0</v>
      </c>
      <c r="E83">
        <v>0</v>
      </c>
      <c r="F83">
        <v>0</v>
      </c>
      <c r="G83">
        <v>1</v>
      </c>
      <c r="H83">
        <v>26</v>
      </c>
      <c r="I83">
        <v>5</v>
      </c>
      <c r="J83">
        <v>15</v>
      </c>
      <c r="K83">
        <v>7</v>
      </c>
      <c r="L83">
        <v>2</v>
      </c>
      <c r="M83">
        <v>12</v>
      </c>
      <c r="N83">
        <v>18</v>
      </c>
      <c r="O83">
        <v>10</v>
      </c>
      <c r="P83">
        <v>8</v>
      </c>
      <c r="Q83">
        <v>5</v>
      </c>
      <c r="R83">
        <v>6</v>
      </c>
      <c r="S83">
        <v>9</v>
      </c>
      <c r="T83">
        <v>7</v>
      </c>
      <c r="U83">
        <v>7</v>
      </c>
      <c r="V83">
        <v>4</v>
      </c>
      <c r="W83">
        <v>6</v>
      </c>
      <c r="X83">
        <v>3</v>
      </c>
      <c r="Y83">
        <v>1</v>
      </c>
      <c r="Z83">
        <v>2</v>
      </c>
      <c r="AA83">
        <v>5</v>
      </c>
      <c r="AB83">
        <v>3</v>
      </c>
      <c r="AC83">
        <v>4</v>
      </c>
      <c r="AD83">
        <v>7</v>
      </c>
      <c r="AE83">
        <v>0</v>
      </c>
    </row>
    <row r="84" spans="1:31" x14ac:dyDescent="0.3">
      <c r="A84" t="s">
        <v>50</v>
      </c>
      <c r="B84" t="str">
        <f>IFERROR(VLOOKUP(LEFT(A84, FIND("__", A84) + 1), [1]Sheet2!I$1:J$71, 2, FALSE), "구독권")</f>
        <v>계정한정소환고려</v>
      </c>
      <c r="C84">
        <v>171</v>
      </c>
      <c r="D84">
        <v>4</v>
      </c>
      <c r="E84">
        <v>8</v>
      </c>
      <c r="F84">
        <v>11</v>
      </c>
      <c r="G84">
        <v>5</v>
      </c>
      <c r="H84">
        <v>6</v>
      </c>
      <c r="I84">
        <v>6</v>
      </c>
      <c r="J84">
        <v>6</v>
      </c>
      <c r="K84">
        <v>6</v>
      </c>
      <c r="L84">
        <v>1</v>
      </c>
      <c r="M84">
        <v>1</v>
      </c>
      <c r="N84">
        <v>9</v>
      </c>
      <c r="O84">
        <v>5</v>
      </c>
      <c r="P84">
        <v>5</v>
      </c>
      <c r="Q84">
        <v>5</v>
      </c>
      <c r="R84">
        <v>8</v>
      </c>
      <c r="S84">
        <v>6</v>
      </c>
      <c r="T84">
        <v>6</v>
      </c>
      <c r="U84">
        <v>8</v>
      </c>
      <c r="V84">
        <v>1</v>
      </c>
      <c r="W84">
        <v>0</v>
      </c>
      <c r="X84">
        <v>4</v>
      </c>
      <c r="Y84">
        <v>4</v>
      </c>
      <c r="Z84">
        <v>1</v>
      </c>
      <c r="AA84">
        <v>4</v>
      </c>
      <c r="AB84">
        <v>4</v>
      </c>
      <c r="AC84">
        <v>4</v>
      </c>
      <c r="AD84">
        <v>1</v>
      </c>
      <c r="AE84">
        <v>0</v>
      </c>
    </row>
    <row r="85" spans="1:31" x14ac:dyDescent="0.3">
      <c r="A85" t="s">
        <v>126</v>
      </c>
      <c r="B85" t="str">
        <f>IFERROR(VLOOKUP(LEFT(A85, FIND("__", A85) + 1), [1]Sheet2!I$1:J$71, 2, FALSE), "구독권")</f>
        <v>돌발갑옷</v>
      </c>
      <c r="C85">
        <v>170</v>
      </c>
      <c r="D85">
        <v>7</v>
      </c>
      <c r="E85">
        <v>6</v>
      </c>
      <c r="F85">
        <v>11</v>
      </c>
      <c r="G85">
        <v>5</v>
      </c>
      <c r="H85">
        <v>5</v>
      </c>
      <c r="I85">
        <v>6</v>
      </c>
      <c r="J85">
        <v>7</v>
      </c>
      <c r="K85">
        <v>1</v>
      </c>
      <c r="L85">
        <v>6</v>
      </c>
      <c r="M85">
        <v>2</v>
      </c>
      <c r="N85">
        <v>9</v>
      </c>
      <c r="O85">
        <v>7</v>
      </c>
      <c r="P85">
        <v>2</v>
      </c>
      <c r="Q85">
        <v>5</v>
      </c>
      <c r="R85">
        <v>8</v>
      </c>
      <c r="S85">
        <v>6</v>
      </c>
      <c r="T85">
        <v>5</v>
      </c>
      <c r="U85">
        <v>5</v>
      </c>
      <c r="V85">
        <v>8</v>
      </c>
      <c r="W85">
        <v>4</v>
      </c>
      <c r="X85">
        <v>0</v>
      </c>
      <c r="Y85">
        <v>0</v>
      </c>
      <c r="Z85">
        <v>3</v>
      </c>
      <c r="AA85">
        <v>2</v>
      </c>
      <c r="AB85">
        <v>2</v>
      </c>
      <c r="AC85">
        <v>1</v>
      </c>
      <c r="AD85">
        <v>1</v>
      </c>
      <c r="AE85">
        <v>0</v>
      </c>
    </row>
    <row r="86" spans="1:31" x14ac:dyDescent="0.3">
      <c r="A86" t="s">
        <v>18</v>
      </c>
      <c r="B86" t="str">
        <f>IFERROR(VLOOKUP(LEFT(A86, FIND("__", A86) + 1), [1]Sheet2!I$1:J$71, 2, FALSE), "구독권")</f>
        <v>구독권</v>
      </c>
      <c r="C86">
        <v>170</v>
      </c>
      <c r="D86">
        <v>0</v>
      </c>
      <c r="E86">
        <v>0</v>
      </c>
      <c r="F86">
        <v>0</v>
      </c>
      <c r="G86">
        <v>1</v>
      </c>
      <c r="H86">
        <v>28</v>
      </c>
      <c r="I86">
        <v>5</v>
      </c>
      <c r="J86">
        <v>9</v>
      </c>
      <c r="K86">
        <v>5</v>
      </c>
      <c r="L86">
        <v>11</v>
      </c>
      <c r="M86">
        <v>11</v>
      </c>
      <c r="N86">
        <v>10</v>
      </c>
      <c r="O86">
        <v>4</v>
      </c>
      <c r="P86">
        <v>10</v>
      </c>
      <c r="Q86">
        <v>5</v>
      </c>
      <c r="R86">
        <v>14</v>
      </c>
      <c r="S86">
        <v>4</v>
      </c>
      <c r="T86">
        <v>10</v>
      </c>
      <c r="U86">
        <v>6</v>
      </c>
      <c r="V86">
        <v>5</v>
      </c>
      <c r="W86">
        <v>4</v>
      </c>
      <c r="X86">
        <v>10</v>
      </c>
      <c r="Y86">
        <v>2</v>
      </c>
      <c r="Z86">
        <v>4</v>
      </c>
      <c r="AA86">
        <v>2</v>
      </c>
      <c r="AB86">
        <v>2</v>
      </c>
      <c r="AC86">
        <v>6</v>
      </c>
      <c r="AD86">
        <v>2</v>
      </c>
      <c r="AE86">
        <v>0</v>
      </c>
    </row>
    <row r="87" spans="1:31" x14ac:dyDescent="0.3">
      <c r="A87" t="s">
        <v>20</v>
      </c>
      <c r="B87" t="str">
        <f>IFERROR(VLOOKUP(LEFT(A87, FIND("__", A87) + 1), [1]Sheet2!I$1:J$71, 2, FALSE), "구독권")</f>
        <v>구독권</v>
      </c>
      <c r="C87">
        <v>170</v>
      </c>
      <c r="D87">
        <v>0</v>
      </c>
      <c r="E87">
        <v>0</v>
      </c>
      <c r="F87">
        <v>0</v>
      </c>
      <c r="G87">
        <v>1</v>
      </c>
      <c r="H87">
        <v>12</v>
      </c>
      <c r="I87">
        <v>9</v>
      </c>
      <c r="J87">
        <v>10</v>
      </c>
      <c r="K87">
        <v>12</v>
      </c>
      <c r="L87">
        <v>6</v>
      </c>
      <c r="M87">
        <v>7</v>
      </c>
      <c r="N87">
        <v>8</v>
      </c>
      <c r="O87">
        <v>8</v>
      </c>
      <c r="P87">
        <v>10</v>
      </c>
      <c r="Q87">
        <v>12</v>
      </c>
      <c r="R87">
        <v>7</v>
      </c>
      <c r="S87">
        <v>11</v>
      </c>
      <c r="T87">
        <v>9</v>
      </c>
      <c r="U87">
        <v>4</v>
      </c>
      <c r="V87">
        <v>10</v>
      </c>
      <c r="W87">
        <v>6</v>
      </c>
      <c r="X87">
        <v>0</v>
      </c>
      <c r="Y87">
        <v>1</v>
      </c>
      <c r="Z87">
        <v>5</v>
      </c>
      <c r="AA87">
        <v>3</v>
      </c>
      <c r="AB87">
        <v>3</v>
      </c>
      <c r="AC87">
        <v>7</v>
      </c>
      <c r="AD87">
        <v>8</v>
      </c>
      <c r="AE87">
        <v>1</v>
      </c>
    </row>
    <row r="88" spans="1:31" x14ac:dyDescent="0.3">
      <c r="A88" t="s">
        <v>73</v>
      </c>
      <c r="B88" t="str">
        <f>IFERROR(VLOOKUP(LEFT(A88, FIND("__", A88) + 1), [1]Sheet2!I$1:J$71, 2, FALSE), "구독권")</f>
        <v>계정한정소환조선</v>
      </c>
      <c r="C88">
        <v>167</v>
      </c>
      <c r="D88">
        <v>2</v>
      </c>
      <c r="E88">
        <v>4</v>
      </c>
      <c r="F88">
        <v>11</v>
      </c>
      <c r="G88">
        <v>7</v>
      </c>
      <c r="H88">
        <v>5</v>
      </c>
      <c r="I88">
        <v>4</v>
      </c>
      <c r="J88">
        <v>8</v>
      </c>
      <c r="K88">
        <v>4</v>
      </c>
      <c r="L88">
        <v>5</v>
      </c>
      <c r="M88">
        <v>0</v>
      </c>
      <c r="N88">
        <v>8</v>
      </c>
      <c r="O88">
        <v>4</v>
      </c>
      <c r="P88">
        <v>4</v>
      </c>
      <c r="Q88">
        <v>8</v>
      </c>
      <c r="R88">
        <v>6</v>
      </c>
      <c r="S88">
        <v>7</v>
      </c>
      <c r="T88">
        <v>5</v>
      </c>
      <c r="U88">
        <v>5</v>
      </c>
      <c r="V88">
        <v>1</v>
      </c>
      <c r="W88">
        <v>2</v>
      </c>
      <c r="X88">
        <v>2</v>
      </c>
      <c r="Y88">
        <v>6</v>
      </c>
      <c r="Z88">
        <v>2</v>
      </c>
      <c r="AA88">
        <v>5</v>
      </c>
      <c r="AB88">
        <v>3</v>
      </c>
      <c r="AC88">
        <v>6</v>
      </c>
      <c r="AD88">
        <v>1</v>
      </c>
      <c r="AE88">
        <v>0</v>
      </c>
    </row>
    <row r="89" spans="1:31" x14ac:dyDescent="0.3">
      <c r="A89" t="s">
        <v>148</v>
      </c>
      <c r="B89" t="str">
        <f>IFERROR(VLOOKUP(LEFT(A89, FIND("__", A89) + 1), [1]Sheet2!I$1:J$71, 2, FALSE), "구독권")</f>
        <v>구독권</v>
      </c>
      <c r="C89">
        <v>164</v>
      </c>
      <c r="D89">
        <v>19</v>
      </c>
      <c r="E89">
        <v>14</v>
      </c>
      <c r="F89">
        <v>12</v>
      </c>
      <c r="G89">
        <v>13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 x14ac:dyDescent="0.3">
      <c r="A90" t="s">
        <v>79</v>
      </c>
      <c r="B90" t="str">
        <f>IFERROR(VLOOKUP(LEFT(A90, FIND("__", A90) + 1), [1]Sheet2!I$1:J$71, 2, FALSE), "구독권")</f>
        <v>육성패스1</v>
      </c>
      <c r="C90">
        <v>162</v>
      </c>
      <c r="D90">
        <v>9</v>
      </c>
      <c r="E90">
        <v>6</v>
      </c>
      <c r="F90">
        <v>7</v>
      </c>
      <c r="G90">
        <v>7</v>
      </c>
      <c r="H90">
        <v>5</v>
      </c>
      <c r="I90">
        <v>4</v>
      </c>
      <c r="J90">
        <v>10</v>
      </c>
      <c r="K90">
        <v>5</v>
      </c>
      <c r="L90">
        <v>6</v>
      </c>
      <c r="M90">
        <v>7</v>
      </c>
      <c r="N90">
        <v>7</v>
      </c>
      <c r="O90">
        <v>2</v>
      </c>
      <c r="P90">
        <v>3</v>
      </c>
      <c r="Q90">
        <v>4</v>
      </c>
      <c r="R90">
        <v>9</v>
      </c>
      <c r="S90">
        <v>2</v>
      </c>
      <c r="T90">
        <v>6</v>
      </c>
      <c r="U90">
        <v>6</v>
      </c>
      <c r="V90">
        <v>3</v>
      </c>
      <c r="W90">
        <v>2</v>
      </c>
      <c r="X90">
        <v>2</v>
      </c>
      <c r="Y90">
        <v>2</v>
      </c>
      <c r="Z90">
        <v>1</v>
      </c>
      <c r="AA90">
        <v>1</v>
      </c>
      <c r="AB90">
        <v>2</v>
      </c>
      <c r="AC90">
        <v>6</v>
      </c>
      <c r="AD90">
        <v>2</v>
      </c>
      <c r="AE90">
        <v>0</v>
      </c>
    </row>
    <row r="91" spans="1:31" x14ac:dyDescent="0.3">
      <c r="A91" t="s">
        <v>31</v>
      </c>
      <c r="B91" t="str">
        <f>IFERROR(VLOOKUP(LEFT(A91, FIND("__", A91) + 1), [1]Sheet2!I$1:J$71, 2, FALSE), "구독권")</f>
        <v>계정한정소환무기</v>
      </c>
      <c r="C91">
        <v>152</v>
      </c>
      <c r="D91">
        <v>5</v>
      </c>
      <c r="E91">
        <v>3</v>
      </c>
      <c r="F91">
        <v>8</v>
      </c>
      <c r="G91">
        <v>6</v>
      </c>
      <c r="H91">
        <v>3</v>
      </c>
      <c r="I91">
        <v>2</v>
      </c>
      <c r="J91">
        <v>10</v>
      </c>
      <c r="K91">
        <v>4</v>
      </c>
      <c r="L91">
        <v>2</v>
      </c>
      <c r="M91">
        <v>1</v>
      </c>
      <c r="N91">
        <v>8</v>
      </c>
      <c r="O91">
        <v>7</v>
      </c>
      <c r="P91">
        <v>7</v>
      </c>
      <c r="Q91">
        <v>4</v>
      </c>
      <c r="R91">
        <v>4</v>
      </c>
      <c r="S91">
        <v>4</v>
      </c>
      <c r="T91">
        <v>3</v>
      </c>
      <c r="U91">
        <v>3</v>
      </c>
      <c r="V91">
        <v>4</v>
      </c>
      <c r="W91">
        <v>2</v>
      </c>
      <c r="X91">
        <v>3</v>
      </c>
      <c r="Y91">
        <v>1</v>
      </c>
      <c r="Z91">
        <v>4</v>
      </c>
      <c r="AA91">
        <v>2</v>
      </c>
      <c r="AB91">
        <v>2</v>
      </c>
      <c r="AC91">
        <v>2</v>
      </c>
      <c r="AD91">
        <v>0</v>
      </c>
      <c r="AE91">
        <v>0</v>
      </c>
    </row>
    <row r="92" spans="1:31" x14ac:dyDescent="0.3">
      <c r="A92" t="s">
        <v>54</v>
      </c>
      <c r="B92" t="str">
        <f>IFERROR(VLOOKUP(LEFT(A92, FIND("__", A92) + 1), [1]Sheet2!I$1:J$71, 2, FALSE), "구독권")</f>
        <v>기한한정일간가속</v>
      </c>
      <c r="C92">
        <v>148</v>
      </c>
      <c r="D92">
        <v>6</v>
      </c>
      <c r="E92">
        <v>4</v>
      </c>
      <c r="F92">
        <v>5</v>
      </c>
      <c r="G92">
        <v>5</v>
      </c>
      <c r="H92">
        <v>6</v>
      </c>
      <c r="I92">
        <v>6</v>
      </c>
      <c r="J92">
        <v>10</v>
      </c>
      <c r="K92">
        <v>5</v>
      </c>
      <c r="L92">
        <v>6</v>
      </c>
      <c r="M92">
        <v>6</v>
      </c>
      <c r="N92">
        <v>6</v>
      </c>
      <c r="O92">
        <v>9</v>
      </c>
      <c r="P92">
        <v>6</v>
      </c>
      <c r="Q92">
        <v>9</v>
      </c>
      <c r="R92">
        <v>2</v>
      </c>
      <c r="S92">
        <v>5</v>
      </c>
      <c r="T92">
        <v>2</v>
      </c>
      <c r="U92">
        <v>5</v>
      </c>
      <c r="V92">
        <v>2</v>
      </c>
      <c r="W92">
        <v>5</v>
      </c>
      <c r="X92">
        <v>2</v>
      </c>
      <c r="Y92">
        <v>4</v>
      </c>
      <c r="Z92">
        <v>4</v>
      </c>
      <c r="AA92">
        <v>3</v>
      </c>
      <c r="AB92">
        <v>2</v>
      </c>
      <c r="AC92">
        <v>4</v>
      </c>
      <c r="AD92">
        <v>3</v>
      </c>
      <c r="AE92">
        <v>0</v>
      </c>
    </row>
    <row r="93" spans="1:31" x14ac:dyDescent="0.3">
      <c r="A93" t="s">
        <v>63</v>
      </c>
      <c r="B93" t="str">
        <f>IFERROR(VLOOKUP(LEFT(A93, FIND("__", A93) + 1), [1]Sheet2!I$1:J$71, 2, FALSE), "구독권")</f>
        <v>구독권</v>
      </c>
      <c r="C93">
        <v>147</v>
      </c>
      <c r="D93">
        <v>0</v>
      </c>
      <c r="E93">
        <v>0</v>
      </c>
      <c r="F93">
        <v>0</v>
      </c>
      <c r="G93">
        <v>2</v>
      </c>
      <c r="H93">
        <v>27</v>
      </c>
      <c r="I93">
        <v>12</v>
      </c>
      <c r="J93">
        <v>10</v>
      </c>
      <c r="K93">
        <v>6</v>
      </c>
      <c r="L93">
        <v>2</v>
      </c>
      <c r="M93">
        <v>8</v>
      </c>
      <c r="N93">
        <v>18</v>
      </c>
      <c r="O93">
        <v>1</v>
      </c>
      <c r="P93">
        <v>7</v>
      </c>
      <c r="Q93">
        <v>4</v>
      </c>
      <c r="R93">
        <v>8</v>
      </c>
      <c r="S93">
        <v>7</v>
      </c>
      <c r="T93">
        <v>9</v>
      </c>
      <c r="U93">
        <v>6</v>
      </c>
      <c r="V93">
        <v>5</v>
      </c>
      <c r="W93">
        <v>5</v>
      </c>
      <c r="X93">
        <v>0</v>
      </c>
      <c r="Y93">
        <v>1</v>
      </c>
      <c r="Z93">
        <v>2</v>
      </c>
      <c r="AA93">
        <v>3</v>
      </c>
      <c r="AB93">
        <v>2</v>
      </c>
      <c r="AC93">
        <v>1</v>
      </c>
      <c r="AD93">
        <v>0</v>
      </c>
      <c r="AE93">
        <v>1</v>
      </c>
    </row>
    <row r="94" spans="1:31" x14ac:dyDescent="0.3">
      <c r="A94" t="s">
        <v>56</v>
      </c>
      <c r="B94" t="str">
        <f>IFERROR(VLOOKUP(LEFT(A94, FIND("__", A94) + 1), [1]Sheet2!I$1:J$71, 2, FALSE), "구독권")</f>
        <v>돌발스테이지</v>
      </c>
      <c r="C94">
        <v>145</v>
      </c>
      <c r="D94">
        <v>3</v>
      </c>
      <c r="E94">
        <v>8</v>
      </c>
      <c r="F94">
        <v>7</v>
      </c>
      <c r="G94">
        <v>5</v>
      </c>
      <c r="H94">
        <v>3</v>
      </c>
      <c r="I94">
        <v>5</v>
      </c>
      <c r="J94">
        <v>10</v>
      </c>
      <c r="K94">
        <v>5</v>
      </c>
      <c r="L94">
        <v>3</v>
      </c>
      <c r="M94">
        <v>9</v>
      </c>
      <c r="N94">
        <v>6</v>
      </c>
      <c r="O94">
        <v>5</v>
      </c>
      <c r="P94">
        <v>4</v>
      </c>
      <c r="Q94">
        <v>5</v>
      </c>
      <c r="R94">
        <v>10</v>
      </c>
      <c r="S94">
        <v>6</v>
      </c>
      <c r="T94">
        <v>8</v>
      </c>
      <c r="U94">
        <v>2</v>
      </c>
      <c r="V94">
        <v>5</v>
      </c>
      <c r="W94">
        <v>5</v>
      </c>
      <c r="X94">
        <v>4</v>
      </c>
      <c r="Y94">
        <v>3</v>
      </c>
      <c r="Z94">
        <v>3</v>
      </c>
      <c r="AA94">
        <v>3</v>
      </c>
      <c r="AB94">
        <v>2</v>
      </c>
      <c r="AC94">
        <v>1</v>
      </c>
      <c r="AD94">
        <v>0</v>
      </c>
      <c r="AE94">
        <v>0</v>
      </c>
    </row>
    <row r="95" spans="1:31" x14ac:dyDescent="0.3">
      <c r="A95" t="s">
        <v>69</v>
      </c>
      <c r="B95" t="str">
        <f>IFERROR(VLOOKUP(LEFT(A95, FIND("__", A95) + 1), [1]Sheet2!I$1:J$71, 2, FALSE), "구독권")</f>
        <v>계정한정영웅초월지원</v>
      </c>
      <c r="C95">
        <v>139</v>
      </c>
      <c r="D95">
        <v>7</v>
      </c>
      <c r="E95">
        <v>8</v>
      </c>
      <c r="F95">
        <v>8</v>
      </c>
      <c r="G95">
        <v>4</v>
      </c>
      <c r="H95">
        <v>6</v>
      </c>
      <c r="I95">
        <v>5</v>
      </c>
      <c r="J95">
        <v>2</v>
      </c>
      <c r="K95">
        <v>2</v>
      </c>
      <c r="L95">
        <v>3</v>
      </c>
      <c r="M95">
        <v>4</v>
      </c>
      <c r="N95">
        <v>7</v>
      </c>
      <c r="O95">
        <v>4</v>
      </c>
      <c r="P95">
        <v>3</v>
      </c>
      <c r="Q95">
        <v>2</v>
      </c>
      <c r="R95">
        <v>6</v>
      </c>
      <c r="S95">
        <v>4</v>
      </c>
      <c r="T95">
        <v>8</v>
      </c>
      <c r="U95">
        <v>2</v>
      </c>
      <c r="V95">
        <v>2</v>
      </c>
      <c r="W95">
        <v>0</v>
      </c>
      <c r="X95">
        <v>4</v>
      </c>
      <c r="Y95">
        <v>1</v>
      </c>
      <c r="Z95">
        <v>2</v>
      </c>
      <c r="AA95">
        <v>0</v>
      </c>
      <c r="AB95">
        <v>1</v>
      </c>
      <c r="AC95">
        <v>1</v>
      </c>
      <c r="AD95">
        <v>1</v>
      </c>
      <c r="AE95">
        <v>0</v>
      </c>
    </row>
    <row r="96" spans="1:31" x14ac:dyDescent="0.3">
      <c r="A96" t="s">
        <v>74</v>
      </c>
      <c r="B96" t="str">
        <f>IFERROR(VLOOKUP(LEFT(A96, FIND("__", A96) + 1), [1]Sheet2!I$1:J$71, 2, FALSE), "구독권")</f>
        <v>계정한정소환갑옷</v>
      </c>
      <c r="C96">
        <v>139</v>
      </c>
      <c r="D96">
        <v>4</v>
      </c>
      <c r="E96">
        <v>3</v>
      </c>
      <c r="F96">
        <v>8</v>
      </c>
      <c r="G96">
        <v>5</v>
      </c>
      <c r="H96">
        <v>2</v>
      </c>
      <c r="I96">
        <v>7</v>
      </c>
      <c r="J96">
        <v>4</v>
      </c>
      <c r="K96">
        <v>4</v>
      </c>
      <c r="L96">
        <v>5</v>
      </c>
      <c r="M96">
        <v>2</v>
      </c>
      <c r="N96">
        <v>8</v>
      </c>
      <c r="O96">
        <v>5</v>
      </c>
      <c r="P96">
        <v>3</v>
      </c>
      <c r="Q96">
        <v>4</v>
      </c>
      <c r="R96">
        <v>3</v>
      </c>
      <c r="S96">
        <v>5</v>
      </c>
      <c r="T96">
        <v>2</v>
      </c>
      <c r="U96">
        <v>5</v>
      </c>
      <c r="V96">
        <v>1</v>
      </c>
      <c r="W96">
        <v>4</v>
      </c>
      <c r="X96">
        <v>3</v>
      </c>
      <c r="Y96">
        <v>3</v>
      </c>
      <c r="Z96">
        <v>3</v>
      </c>
      <c r="AA96">
        <v>4</v>
      </c>
      <c r="AB96">
        <v>2</v>
      </c>
      <c r="AC96">
        <v>3</v>
      </c>
      <c r="AD96">
        <v>1</v>
      </c>
      <c r="AE96">
        <v>0</v>
      </c>
    </row>
    <row r="97" spans="1:31" x14ac:dyDescent="0.3">
      <c r="A97" t="s">
        <v>61</v>
      </c>
      <c r="B97" t="str">
        <f>IFERROR(VLOOKUP(LEFT(A97, FIND("__", A97) + 1), [1]Sheet2!I$1:J$71, 2, FALSE), "구독권")</f>
        <v>스테이지패스1</v>
      </c>
      <c r="C97">
        <v>139</v>
      </c>
      <c r="D97">
        <v>7</v>
      </c>
      <c r="E97">
        <v>4</v>
      </c>
      <c r="F97">
        <v>5</v>
      </c>
      <c r="G97">
        <v>10</v>
      </c>
      <c r="H97">
        <v>2</v>
      </c>
      <c r="I97">
        <v>3</v>
      </c>
      <c r="J97">
        <v>8</v>
      </c>
      <c r="K97">
        <v>5</v>
      </c>
      <c r="L97">
        <v>8</v>
      </c>
      <c r="M97">
        <v>7</v>
      </c>
      <c r="N97">
        <v>8</v>
      </c>
      <c r="O97">
        <v>4</v>
      </c>
      <c r="P97">
        <v>4</v>
      </c>
      <c r="Q97">
        <v>2</v>
      </c>
      <c r="R97">
        <v>5</v>
      </c>
      <c r="S97">
        <v>5</v>
      </c>
      <c r="T97">
        <v>2</v>
      </c>
      <c r="U97">
        <v>1</v>
      </c>
      <c r="V97">
        <v>4</v>
      </c>
      <c r="W97">
        <v>1</v>
      </c>
      <c r="X97">
        <v>0</v>
      </c>
      <c r="Y97">
        <v>0</v>
      </c>
      <c r="Z97">
        <v>1</v>
      </c>
      <c r="AA97">
        <v>2</v>
      </c>
      <c r="AB97">
        <v>4</v>
      </c>
      <c r="AC97">
        <v>3</v>
      </c>
      <c r="AD97">
        <v>0</v>
      </c>
      <c r="AE97">
        <v>0</v>
      </c>
    </row>
    <row r="98" spans="1:31" x14ac:dyDescent="0.3">
      <c r="A98" t="s">
        <v>40</v>
      </c>
      <c r="B98" t="str">
        <f>IFERROR(VLOOKUP(LEFT(A98, FIND("__", A98) + 1), [1]Sheet2!I$1:J$71, 2, FALSE), "구독권")</f>
        <v>돌발연구</v>
      </c>
      <c r="C98">
        <v>136</v>
      </c>
      <c r="D98">
        <v>8</v>
      </c>
      <c r="E98">
        <v>7</v>
      </c>
      <c r="F98">
        <v>3</v>
      </c>
      <c r="G98">
        <v>5</v>
      </c>
      <c r="H98">
        <v>6</v>
      </c>
      <c r="I98">
        <v>3</v>
      </c>
      <c r="J98">
        <v>6</v>
      </c>
      <c r="K98">
        <v>5</v>
      </c>
      <c r="L98">
        <v>5</v>
      </c>
      <c r="M98">
        <v>5</v>
      </c>
      <c r="N98">
        <v>9</v>
      </c>
      <c r="O98">
        <v>5</v>
      </c>
      <c r="P98">
        <v>6</v>
      </c>
      <c r="Q98">
        <v>1</v>
      </c>
      <c r="R98">
        <v>7</v>
      </c>
      <c r="S98">
        <v>9</v>
      </c>
      <c r="T98">
        <v>3</v>
      </c>
      <c r="U98">
        <v>3</v>
      </c>
      <c r="V98">
        <v>4</v>
      </c>
      <c r="W98">
        <v>7</v>
      </c>
      <c r="X98">
        <v>3</v>
      </c>
      <c r="Y98">
        <v>3</v>
      </c>
      <c r="Z98">
        <v>2</v>
      </c>
      <c r="AA98">
        <v>2</v>
      </c>
      <c r="AB98">
        <v>0</v>
      </c>
      <c r="AC98">
        <v>3</v>
      </c>
      <c r="AD98">
        <v>4</v>
      </c>
      <c r="AE98">
        <v>0</v>
      </c>
    </row>
    <row r="99" spans="1:31" x14ac:dyDescent="0.3">
      <c r="A99" t="s">
        <v>131</v>
      </c>
      <c r="B99" t="str">
        <f>IFERROR(VLOOKUP(LEFT(A99, FIND("__", A99) + 1), [1]Sheet2!I$1:J$71, 2, FALSE), "구독권")</f>
        <v>돌발스테이지</v>
      </c>
      <c r="C99">
        <v>132</v>
      </c>
      <c r="D99">
        <v>14</v>
      </c>
      <c r="E99">
        <v>4</v>
      </c>
      <c r="F99">
        <v>8</v>
      </c>
      <c r="G99">
        <v>2</v>
      </c>
      <c r="H99">
        <v>5</v>
      </c>
      <c r="I99">
        <v>5</v>
      </c>
      <c r="J99">
        <v>10</v>
      </c>
      <c r="K99">
        <v>3</v>
      </c>
      <c r="L99">
        <v>5</v>
      </c>
      <c r="M99">
        <v>4</v>
      </c>
      <c r="N99">
        <v>2</v>
      </c>
      <c r="O99">
        <v>3</v>
      </c>
      <c r="P99">
        <v>3</v>
      </c>
      <c r="Q99">
        <v>3</v>
      </c>
      <c r="R99">
        <v>4</v>
      </c>
      <c r="S99">
        <v>4</v>
      </c>
      <c r="T99">
        <v>3</v>
      </c>
      <c r="U99">
        <v>1</v>
      </c>
      <c r="V99">
        <v>0</v>
      </c>
      <c r="W99">
        <v>1</v>
      </c>
      <c r="X99">
        <v>2</v>
      </c>
      <c r="Y99">
        <v>2</v>
      </c>
      <c r="Z99">
        <v>2</v>
      </c>
      <c r="AA99">
        <v>1</v>
      </c>
      <c r="AB99">
        <v>1</v>
      </c>
      <c r="AC99">
        <v>0</v>
      </c>
      <c r="AD99">
        <v>0</v>
      </c>
      <c r="AE99">
        <v>0</v>
      </c>
    </row>
    <row r="100" spans="1:31" x14ac:dyDescent="0.3">
      <c r="A100" t="s">
        <v>62</v>
      </c>
      <c r="B100" t="str">
        <f>IFERROR(VLOOKUP(LEFT(A100, FIND("__", A100) + 1), [1]Sheet2!I$1:J$71, 2, FALSE), "구독권")</f>
        <v>레벨패스1</v>
      </c>
      <c r="C100">
        <v>132</v>
      </c>
      <c r="D100">
        <v>9</v>
      </c>
      <c r="E100">
        <v>4</v>
      </c>
      <c r="F100">
        <v>4</v>
      </c>
      <c r="G100">
        <v>9</v>
      </c>
      <c r="H100">
        <v>5</v>
      </c>
      <c r="I100">
        <v>6</v>
      </c>
      <c r="J100">
        <v>8</v>
      </c>
      <c r="K100">
        <v>4</v>
      </c>
      <c r="L100">
        <v>4</v>
      </c>
      <c r="M100">
        <v>6</v>
      </c>
      <c r="N100">
        <v>7</v>
      </c>
      <c r="O100">
        <v>4</v>
      </c>
      <c r="P100">
        <v>5</v>
      </c>
      <c r="Q100">
        <v>6</v>
      </c>
      <c r="R100">
        <v>4</v>
      </c>
      <c r="S100">
        <v>2</v>
      </c>
      <c r="T100">
        <v>2</v>
      </c>
      <c r="U100">
        <v>4</v>
      </c>
      <c r="V100">
        <v>5</v>
      </c>
      <c r="W100">
        <v>2</v>
      </c>
      <c r="X100">
        <v>3</v>
      </c>
      <c r="Y100">
        <v>2</v>
      </c>
      <c r="Z100">
        <v>3</v>
      </c>
      <c r="AA100">
        <v>1</v>
      </c>
      <c r="AB100">
        <v>3</v>
      </c>
      <c r="AC100">
        <v>2</v>
      </c>
      <c r="AD100">
        <v>4</v>
      </c>
      <c r="AE100">
        <v>0</v>
      </c>
    </row>
    <row r="101" spans="1:31" x14ac:dyDescent="0.3">
      <c r="A101" t="s">
        <v>135</v>
      </c>
      <c r="B101" t="str">
        <f>IFERROR(VLOOKUP(LEFT(A101, FIND("__", A101) + 1), [1]Sheet2!I$1:J$71, 2, FALSE), "구독권")</f>
        <v>돌발초월</v>
      </c>
      <c r="C101">
        <v>129</v>
      </c>
      <c r="D101">
        <v>9</v>
      </c>
      <c r="E101">
        <v>8</v>
      </c>
      <c r="F101">
        <v>6</v>
      </c>
      <c r="G101">
        <v>3</v>
      </c>
      <c r="H101">
        <v>2</v>
      </c>
      <c r="I101">
        <v>3</v>
      </c>
      <c r="J101">
        <v>9</v>
      </c>
      <c r="K101">
        <v>3</v>
      </c>
      <c r="L101">
        <v>4</v>
      </c>
      <c r="M101">
        <v>5</v>
      </c>
      <c r="N101">
        <v>3</v>
      </c>
      <c r="O101">
        <v>2</v>
      </c>
      <c r="P101">
        <v>1</v>
      </c>
      <c r="Q101">
        <v>3</v>
      </c>
      <c r="R101">
        <v>6</v>
      </c>
      <c r="S101">
        <v>6</v>
      </c>
      <c r="T101">
        <v>1</v>
      </c>
      <c r="U101">
        <v>0</v>
      </c>
      <c r="V101">
        <v>2</v>
      </c>
      <c r="W101">
        <v>1</v>
      </c>
      <c r="X101">
        <v>1</v>
      </c>
      <c r="Y101">
        <v>1</v>
      </c>
      <c r="Z101">
        <v>1</v>
      </c>
      <c r="AA101">
        <v>2</v>
      </c>
      <c r="AB101">
        <v>0</v>
      </c>
      <c r="AC101">
        <v>0</v>
      </c>
      <c r="AD101">
        <v>1</v>
      </c>
      <c r="AE101">
        <v>0</v>
      </c>
    </row>
    <row r="102" spans="1:31" x14ac:dyDescent="0.3">
      <c r="A102" t="s">
        <v>122</v>
      </c>
      <c r="B102" t="str">
        <f>IFERROR(VLOOKUP(LEFT(A102, FIND("__", A102) + 1), [1]Sheet2!I$1:J$71, 2, FALSE), "구독권")</f>
        <v>계정한정영웅점령전지원</v>
      </c>
      <c r="C102">
        <v>129</v>
      </c>
      <c r="D102">
        <v>4</v>
      </c>
      <c r="E102">
        <v>8</v>
      </c>
      <c r="F102">
        <v>3</v>
      </c>
      <c r="G102">
        <v>6</v>
      </c>
      <c r="H102">
        <v>3</v>
      </c>
      <c r="I102">
        <v>3</v>
      </c>
      <c r="J102">
        <v>2</v>
      </c>
      <c r="K102">
        <v>4</v>
      </c>
      <c r="L102">
        <v>2</v>
      </c>
      <c r="M102">
        <v>3</v>
      </c>
      <c r="N102">
        <v>5</v>
      </c>
      <c r="O102">
        <v>2</v>
      </c>
      <c r="P102">
        <v>4</v>
      </c>
      <c r="Q102">
        <v>3</v>
      </c>
      <c r="R102">
        <v>7</v>
      </c>
      <c r="S102">
        <v>2</v>
      </c>
      <c r="T102">
        <v>4</v>
      </c>
      <c r="U102">
        <v>0</v>
      </c>
      <c r="V102">
        <v>4</v>
      </c>
      <c r="W102">
        <v>0</v>
      </c>
      <c r="X102">
        <v>1</v>
      </c>
      <c r="Y102">
        <v>4</v>
      </c>
      <c r="Z102">
        <v>1</v>
      </c>
      <c r="AA102">
        <v>1</v>
      </c>
      <c r="AB102">
        <v>3</v>
      </c>
      <c r="AC102">
        <v>3</v>
      </c>
      <c r="AD102">
        <v>1</v>
      </c>
      <c r="AE102">
        <v>0</v>
      </c>
    </row>
    <row r="103" spans="1:31" x14ac:dyDescent="0.3">
      <c r="A103" t="s">
        <v>66</v>
      </c>
      <c r="B103" t="str">
        <f>IFERROR(VLOOKUP(LEFT(A103, FIND("__", A103) + 1), [1]Sheet2!I$1:J$71, 2, FALSE), "구독권")</f>
        <v>계정한정영웅무기지원</v>
      </c>
      <c r="C103">
        <v>124</v>
      </c>
      <c r="D103">
        <v>5</v>
      </c>
      <c r="E103">
        <v>5</v>
      </c>
      <c r="F103">
        <v>9</v>
      </c>
      <c r="G103">
        <v>6</v>
      </c>
      <c r="H103">
        <v>8</v>
      </c>
      <c r="I103">
        <v>3</v>
      </c>
      <c r="J103">
        <v>5</v>
      </c>
      <c r="K103">
        <v>2</v>
      </c>
      <c r="L103">
        <v>2</v>
      </c>
      <c r="M103">
        <v>3</v>
      </c>
      <c r="N103">
        <v>5</v>
      </c>
      <c r="O103">
        <v>4</v>
      </c>
      <c r="P103">
        <v>3</v>
      </c>
      <c r="Q103">
        <v>2</v>
      </c>
      <c r="R103">
        <v>3</v>
      </c>
      <c r="S103">
        <v>2</v>
      </c>
      <c r="T103">
        <v>8</v>
      </c>
      <c r="U103">
        <v>2</v>
      </c>
      <c r="V103">
        <v>3</v>
      </c>
      <c r="W103">
        <v>1</v>
      </c>
      <c r="X103">
        <v>0</v>
      </c>
      <c r="Y103">
        <v>1</v>
      </c>
      <c r="Z103">
        <v>3</v>
      </c>
      <c r="AA103">
        <v>0</v>
      </c>
      <c r="AB103">
        <v>3</v>
      </c>
      <c r="AC103">
        <v>2</v>
      </c>
      <c r="AD103">
        <v>1</v>
      </c>
      <c r="AE103">
        <v>0</v>
      </c>
    </row>
    <row r="104" spans="1:31" x14ac:dyDescent="0.3">
      <c r="A104" t="s">
        <v>121</v>
      </c>
      <c r="B104" t="str">
        <f>IFERROR(VLOOKUP(LEFT(A104, FIND("__", A104) + 1), [1]Sheet2!I$1:J$71, 2, FALSE), "구독권")</f>
        <v>계정한정영웅필드지원</v>
      </c>
      <c r="C104">
        <v>124</v>
      </c>
      <c r="D104">
        <v>4</v>
      </c>
      <c r="E104">
        <v>7</v>
      </c>
      <c r="F104">
        <v>4</v>
      </c>
      <c r="G104">
        <v>4</v>
      </c>
      <c r="H104">
        <v>2</v>
      </c>
      <c r="I104">
        <v>5</v>
      </c>
      <c r="J104">
        <v>1</v>
      </c>
      <c r="K104">
        <v>4</v>
      </c>
      <c r="L104">
        <v>8</v>
      </c>
      <c r="M104">
        <v>2</v>
      </c>
      <c r="N104">
        <v>9</v>
      </c>
      <c r="O104">
        <v>6</v>
      </c>
      <c r="P104">
        <v>1</v>
      </c>
      <c r="Q104">
        <v>4</v>
      </c>
      <c r="R104">
        <v>1</v>
      </c>
      <c r="S104">
        <v>4</v>
      </c>
      <c r="T104">
        <v>1</v>
      </c>
      <c r="U104">
        <v>3</v>
      </c>
      <c r="V104">
        <v>1</v>
      </c>
      <c r="W104">
        <v>3</v>
      </c>
      <c r="X104">
        <v>0</v>
      </c>
      <c r="Y104">
        <v>2</v>
      </c>
      <c r="Z104">
        <v>1</v>
      </c>
      <c r="AA104">
        <v>4</v>
      </c>
      <c r="AB104">
        <v>1</v>
      </c>
      <c r="AC104">
        <v>2</v>
      </c>
      <c r="AD104">
        <v>0</v>
      </c>
      <c r="AE104">
        <v>0</v>
      </c>
    </row>
    <row r="105" spans="1:31" x14ac:dyDescent="0.3">
      <c r="A105" t="s">
        <v>46</v>
      </c>
      <c r="B105" t="str">
        <f>IFERROR(VLOOKUP(LEFT(A105, FIND("__", A105) + 1), [1]Sheet2!I$1:J$71, 2, FALSE), "구독권")</f>
        <v>계정한정소환가속</v>
      </c>
      <c r="C105">
        <v>124</v>
      </c>
      <c r="D105">
        <v>3</v>
      </c>
      <c r="E105">
        <v>7</v>
      </c>
      <c r="F105">
        <v>2</v>
      </c>
      <c r="G105">
        <v>2</v>
      </c>
      <c r="H105">
        <v>6</v>
      </c>
      <c r="I105">
        <v>7</v>
      </c>
      <c r="J105">
        <v>5</v>
      </c>
      <c r="K105">
        <v>4</v>
      </c>
      <c r="L105">
        <v>4</v>
      </c>
      <c r="M105">
        <v>7</v>
      </c>
      <c r="N105">
        <v>9</v>
      </c>
      <c r="O105">
        <v>5</v>
      </c>
      <c r="P105">
        <v>6</v>
      </c>
      <c r="Q105">
        <v>5</v>
      </c>
      <c r="R105">
        <v>4</v>
      </c>
      <c r="S105">
        <v>4</v>
      </c>
      <c r="T105">
        <v>4</v>
      </c>
      <c r="U105">
        <v>2</v>
      </c>
      <c r="V105">
        <v>3</v>
      </c>
      <c r="W105">
        <v>2</v>
      </c>
      <c r="X105">
        <v>1</v>
      </c>
      <c r="Y105">
        <v>2</v>
      </c>
      <c r="Z105">
        <v>2</v>
      </c>
      <c r="AA105">
        <v>3</v>
      </c>
      <c r="AB105">
        <v>2</v>
      </c>
      <c r="AC105">
        <v>5</v>
      </c>
      <c r="AD105">
        <v>1</v>
      </c>
      <c r="AE105">
        <v>0</v>
      </c>
    </row>
    <row r="106" spans="1:31" x14ac:dyDescent="0.3">
      <c r="A106" t="s">
        <v>68</v>
      </c>
      <c r="B106" t="str">
        <f>IFERROR(VLOOKUP(LEFT(A106, FIND("__", A106) + 1), [1]Sheet2!I$1:J$71, 2, FALSE), "구독권")</f>
        <v>계정한정영웅어빌지원</v>
      </c>
      <c r="C106">
        <v>112</v>
      </c>
      <c r="D106">
        <v>6</v>
      </c>
      <c r="E106">
        <v>6</v>
      </c>
      <c r="F106">
        <v>6</v>
      </c>
      <c r="G106">
        <v>4</v>
      </c>
      <c r="H106">
        <v>6</v>
      </c>
      <c r="I106">
        <v>5</v>
      </c>
      <c r="J106">
        <v>3</v>
      </c>
      <c r="K106">
        <v>3</v>
      </c>
      <c r="L106">
        <v>3</v>
      </c>
      <c r="M106">
        <v>4</v>
      </c>
      <c r="N106">
        <v>5</v>
      </c>
      <c r="O106">
        <v>2</v>
      </c>
      <c r="P106">
        <v>3</v>
      </c>
      <c r="Q106">
        <v>3</v>
      </c>
      <c r="R106">
        <v>3</v>
      </c>
      <c r="S106">
        <v>2</v>
      </c>
      <c r="T106">
        <v>5</v>
      </c>
      <c r="U106">
        <v>1</v>
      </c>
      <c r="V106">
        <v>3</v>
      </c>
      <c r="W106">
        <v>0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0</v>
      </c>
      <c r="AE106">
        <v>0</v>
      </c>
    </row>
    <row r="107" spans="1:31" x14ac:dyDescent="0.3">
      <c r="A107" t="s">
        <v>49</v>
      </c>
      <c r="B107" t="str">
        <f>IFERROR(VLOOKUP(LEFT(A107, FIND("__", A107) + 1), [1]Sheet2!I$1:J$71, 2, FALSE), "구독권")</f>
        <v>계정한정소환고려</v>
      </c>
      <c r="C107">
        <v>112</v>
      </c>
      <c r="D107">
        <v>5</v>
      </c>
      <c r="E107">
        <v>4</v>
      </c>
      <c r="F107">
        <v>7</v>
      </c>
      <c r="G107">
        <v>5</v>
      </c>
      <c r="H107">
        <v>0</v>
      </c>
      <c r="I107">
        <v>5</v>
      </c>
      <c r="J107">
        <v>3</v>
      </c>
      <c r="K107">
        <v>4</v>
      </c>
      <c r="L107">
        <v>1</v>
      </c>
      <c r="M107">
        <v>1</v>
      </c>
      <c r="N107">
        <v>4</v>
      </c>
      <c r="O107">
        <v>6</v>
      </c>
      <c r="P107">
        <v>5</v>
      </c>
      <c r="Q107">
        <v>5</v>
      </c>
      <c r="R107">
        <v>1</v>
      </c>
      <c r="S107">
        <v>0</v>
      </c>
      <c r="T107">
        <v>5</v>
      </c>
      <c r="U107">
        <v>5</v>
      </c>
      <c r="V107">
        <v>2</v>
      </c>
      <c r="W107">
        <v>3</v>
      </c>
      <c r="X107">
        <v>3</v>
      </c>
      <c r="Y107">
        <v>1</v>
      </c>
      <c r="Z107">
        <v>3</v>
      </c>
      <c r="AA107">
        <v>1</v>
      </c>
      <c r="AB107">
        <v>3</v>
      </c>
      <c r="AC107">
        <v>0</v>
      </c>
      <c r="AD107">
        <v>1</v>
      </c>
      <c r="AE107">
        <v>0</v>
      </c>
    </row>
    <row r="108" spans="1:31" x14ac:dyDescent="0.3">
      <c r="A108" t="s">
        <v>175</v>
      </c>
      <c r="B108" t="str">
        <f>IFERROR(VLOOKUP(LEFT(A108, FIND("__", A108) + 1), [1]Sheet2!I$1:J$71, 2, FALSE), "구독권")</f>
        <v xml:space="preserve">기한한정일간어빌석 </v>
      </c>
      <c r="C108">
        <v>110</v>
      </c>
      <c r="D108">
        <v>6</v>
      </c>
      <c r="E108">
        <v>3</v>
      </c>
      <c r="F108">
        <v>3</v>
      </c>
      <c r="G108">
        <v>6</v>
      </c>
      <c r="H108">
        <v>7</v>
      </c>
      <c r="I108">
        <v>8</v>
      </c>
      <c r="J108">
        <v>5</v>
      </c>
      <c r="K108">
        <v>6</v>
      </c>
      <c r="L108">
        <v>5</v>
      </c>
      <c r="M108">
        <v>4</v>
      </c>
      <c r="N108">
        <v>2</v>
      </c>
      <c r="O108">
        <v>3</v>
      </c>
      <c r="P108">
        <v>1</v>
      </c>
      <c r="Q108">
        <v>6</v>
      </c>
      <c r="R108">
        <v>1</v>
      </c>
      <c r="S108">
        <v>5</v>
      </c>
      <c r="T108">
        <v>2</v>
      </c>
      <c r="U108">
        <v>3</v>
      </c>
      <c r="V108">
        <v>2</v>
      </c>
      <c r="W108">
        <v>2</v>
      </c>
      <c r="X108">
        <v>1</v>
      </c>
      <c r="Y108">
        <v>2</v>
      </c>
      <c r="Z108">
        <v>2</v>
      </c>
      <c r="AA108">
        <v>2</v>
      </c>
      <c r="AB108">
        <v>1</v>
      </c>
      <c r="AC108">
        <v>2</v>
      </c>
      <c r="AD108">
        <v>1</v>
      </c>
      <c r="AE108">
        <v>0</v>
      </c>
    </row>
    <row r="109" spans="1:31" x14ac:dyDescent="0.3">
      <c r="A109" t="s">
        <v>70</v>
      </c>
      <c r="B109" t="str">
        <f>IFERROR(VLOOKUP(LEFT(A109, FIND("__", A109) + 1), [1]Sheet2!I$1:J$71, 2, FALSE), "구독권")</f>
        <v>계정한정영웅연구지원</v>
      </c>
      <c r="C109">
        <v>103</v>
      </c>
      <c r="D109">
        <v>3</v>
      </c>
      <c r="E109">
        <v>9</v>
      </c>
      <c r="F109">
        <v>5</v>
      </c>
      <c r="G109">
        <v>5</v>
      </c>
      <c r="H109">
        <v>4</v>
      </c>
      <c r="I109">
        <v>1</v>
      </c>
      <c r="J109">
        <v>3</v>
      </c>
      <c r="K109">
        <v>3</v>
      </c>
      <c r="L109">
        <v>2</v>
      </c>
      <c r="M109">
        <v>3</v>
      </c>
      <c r="N109">
        <v>4</v>
      </c>
      <c r="O109">
        <v>2</v>
      </c>
      <c r="P109">
        <v>3</v>
      </c>
      <c r="Q109">
        <v>3</v>
      </c>
      <c r="R109">
        <v>4</v>
      </c>
      <c r="S109">
        <v>2</v>
      </c>
      <c r="T109">
        <v>1</v>
      </c>
      <c r="U109">
        <v>2</v>
      </c>
      <c r="V109">
        <v>3</v>
      </c>
      <c r="W109">
        <v>1</v>
      </c>
      <c r="X109">
        <v>0</v>
      </c>
      <c r="Y109">
        <v>0</v>
      </c>
      <c r="Z109">
        <v>1</v>
      </c>
      <c r="AA109">
        <v>3</v>
      </c>
      <c r="AB109">
        <v>3</v>
      </c>
      <c r="AC109">
        <v>1</v>
      </c>
      <c r="AD109">
        <v>0</v>
      </c>
      <c r="AE109">
        <v>0</v>
      </c>
    </row>
    <row r="110" spans="1:31" x14ac:dyDescent="0.3">
      <c r="A110" t="s">
        <v>72</v>
      </c>
      <c r="B110" t="str">
        <f>IFERROR(VLOOKUP(LEFT(A110, FIND("__", A110) + 1), [1]Sheet2!I$1:J$71, 2, FALSE), "구독권")</f>
        <v>계정한정소환조선</v>
      </c>
      <c r="C110">
        <v>101</v>
      </c>
      <c r="D110">
        <v>4</v>
      </c>
      <c r="E110">
        <v>2</v>
      </c>
      <c r="F110">
        <v>5</v>
      </c>
      <c r="G110">
        <v>6</v>
      </c>
      <c r="H110">
        <v>1</v>
      </c>
      <c r="I110">
        <v>4</v>
      </c>
      <c r="J110">
        <v>2</v>
      </c>
      <c r="K110">
        <v>4</v>
      </c>
      <c r="L110">
        <v>3</v>
      </c>
      <c r="M110">
        <v>0</v>
      </c>
      <c r="N110">
        <v>3</v>
      </c>
      <c r="O110">
        <v>4</v>
      </c>
      <c r="P110">
        <v>3</v>
      </c>
      <c r="Q110">
        <v>5</v>
      </c>
      <c r="R110">
        <v>2</v>
      </c>
      <c r="S110">
        <v>1</v>
      </c>
      <c r="T110">
        <v>2</v>
      </c>
      <c r="U110">
        <v>8</v>
      </c>
      <c r="V110">
        <v>0</v>
      </c>
      <c r="W110">
        <v>3</v>
      </c>
      <c r="X110">
        <v>0</v>
      </c>
      <c r="Y110">
        <v>1</v>
      </c>
      <c r="Z110">
        <v>2</v>
      </c>
      <c r="AA110">
        <v>8</v>
      </c>
      <c r="AB110">
        <v>1</v>
      </c>
      <c r="AC110">
        <v>1</v>
      </c>
      <c r="AD110">
        <v>1</v>
      </c>
      <c r="AE110">
        <v>0</v>
      </c>
    </row>
    <row r="111" spans="1:31" x14ac:dyDescent="0.3">
      <c r="A111" t="s">
        <v>118</v>
      </c>
      <c r="B111" t="str">
        <f>IFERROR(VLOOKUP(LEFT(A111, FIND("__", A111) + 1), [1]Sheet2!I$1:J$71, 2, FALSE), "구독권")</f>
        <v>육성패스1</v>
      </c>
      <c r="C111">
        <v>101</v>
      </c>
      <c r="D111">
        <v>3</v>
      </c>
      <c r="E111">
        <v>7</v>
      </c>
      <c r="F111">
        <v>1</v>
      </c>
      <c r="G111">
        <v>10</v>
      </c>
      <c r="H111">
        <v>1</v>
      </c>
      <c r="I111">
        <v>2</v>
      </c>
      <c r="J111">
        <v>8</v>
      </c>
      <c r="K111">
        <v>5</v>
      </c>
      <c r="L111">
        <v>4</v>
      </c>
      <c r="M111">
        <v>2</v>
      </c>
      <c r="N111">
        <v>4</v>
      </c>
      <c r="O111">
        <v>3</v>
      </c>
      <c r="P111">
        <v>3</v>
      </c>
      <c r="Q111">
        <v>1</v>
      </c>
      <c r="R111">
        <v>4</v>
      </c>
      <c r="S111">
        <v>3</v>
      </c>
      <c r="T111">
        <v>8</v>
      </c>
      <c r="U111">
        <v>2</v>
      </c>
      <c r="V111">
        <v>4</v>
      </c>
      <c r="W111">
        <v>2</v>
      </c>
      <c r="X111">
        <v>1</v>
      </c>
      <c r="Y111">
        <v>1</v>
      </c>
      <c r="Z111">
        <v>1</v>
      </c>
      <c r="AA111">
        <v>0</v>
      </c>
      <c r="AB111">
        <v>1</v>
      </c>
      <c r="AC111">
        <v>3</v>
      </c>
      <c r="AD111">
        <v>5</v>
      </c>
      <c r="AE111">
        <v>0</v>
      </c>
    </row>
    <row r="112" spans="1:31" x14ac:dyDescent="0.3">
      <c r="A112" t="s">
        <v>77</v>
      </c>
      <c r="B112" t="str">
        <f>IFERROR(VLOOKUP(LEFT(A112, FIND("__", A112) + 1), [1]Sheet2!I$1:J$71, 2, FALSE), "구독권")</f>
        <v>돌발고려</v>
      </c>
      <c r="C112">
        <v>100</v>
      </c>
      <c r="D112">
        <v>3</v>
      </c>
      <c r="E112">
        <v>6</v>
      </c>
      <c r="F112">
        <v>4</v>
      </c>
      <c r="G112">
        <v>5</v>
      </c>
      <c r="H112">
        <v>1</v>
      </c>
      <c r="I112">
        <v>5</v>
      </c>
      <c r="J112">
        <v>5</v>
      </c>
      <c r="K112">
        <v>1</v>
      </c>
      <c r="L112">
        <v>0</v>
      </c>
      <c r="M112">
        <v>5</v>
      </c>
      <c r="N112">
        <v>3</v>
      </c>
      <c r="O112">
        <v>3</v>
      </c>
      <c r="P112">
        <v>2</v>
      </c>
      <c r="Q112">
        <v>5</v>
      </c>
      <c r="R112">
        <v>4</v>
      </c>
      <c r="S112">
        <v>4</v>
      </c>
      <c r="T112">
        <v>1</v>
      </c>
      <c r="U112">
        <v>4</v>
      </c>
      <c r="V112">
        <v>3</v>
      </c>
      <c r="W112">
        <v>3</v>
      </c>
      <c r="X112">
        <v>1</v>
      </c>
      <c r="Y112">
        <v>3</v>
      </c>
      <c r="Z112">
        <v>3</v>
      </c>
      <c r="AA112">
        <v>4</v>
      </c>
      <c r="AB112">
        <v>2</v>
      </c>
      <c r="AC112">
        <v>2</v>
      </c>
      <c r="AD112">
        <v>1</v>
      </c>
      <c r="AE112">
        <v>0</v>
      </c>
    </row>
    <row r="113" spans="1:31" x14ac:dyDescent="0.3">
      <c r="A113" t="s">
        <v>124</v>
      </c>
      <c r="B113" t="str">
        <f>IFERROR(VLOOKUP(LEFT(A113, FIND("__", A113) + 1), [1]Sheet2!I$1:J$71, 2, FALSE), "구독권")</f>
        <v>계정한정영웅무릉전</v>
      </c>
      <c r="C113">
        <v>100</v>
      </c>
      <c r="D113">
        <v>4</v>
      </c>
      <c r="E113">
        <v>5</v>
      </c>
      <c r="F113">
        <v>3</v>
      </c>
      <c r="G113">
        <v>6</v>
      </c>
      <c r="H113">
        <v>4</v>
      </c>
      <c r="I113">
        <v>1</v>
      </c>
      <c r="J113">
        <v>3</v>
      </c>
      <c r="K113">
        <v>2</v>
      </c>
      <c r="L113">
        <v>2</v>
      </c>
      <c r="M113">
        <v>2</v>
      </c>
      <c r="N113">
        <v>6</v>
      </c>
      <c r="O113">
        <v>0</v>
      </c>
      <c r="P113">
        <v>2</v>
      </c>
      <c r="Q113">
        <v>1</v>
      </c>
      <c r="R113">
        <v>5</v>
      </c>
      <c r="S113">
        <v>3</v>
      </c>
      <c r="T113">
        <v>3</v>
      </c>
      <c r="U113">
        <v>0</v>
      </c>
      <c r="V113">
        <v>4</v>
      </c>
      <c r="W113">
        <v>1</v>
      </c>
      <c r="X113">
        <v>0</v>
      </c>
      <c r="Y113">
        <v>1</v>
      </c>
      <c r="Z113">
        <v>1</v>
      </c>
      <c r="AA113">
        <v>2</v>
      </c>
      <c r="AB113">
        <v>2</v>
      </c>
      <c r="AC113">
        <v>2</v>
      </c>
      <c r="AD113">
        <v>0</v>
      </c>
      <c r="AE113">
        <v>0</v>
      </c>
    </row>
    <row r="114" spans="1:31" x14ac:dyDescent="0.3">
      <c r="A114" t="s">
        <v>41</v>
      </c>
      <c r="B114" t="str">
        <f>IFERROR(VLOOKUP(LEFT(A114, FIND("__", A114) + 1), [1]Sheet2!I$1:J$71, 2, FALSE), "구독권")</f>
        <v>돌발조선</v>
      </c>
      <c r="C114">
        <v>96</v>
      </c>
      <c r="D114">
        <v>5</v>
      </c>
      <c r="E114">
        <v>6</v>
      </c>
      <c r="F114">
        <v>2</v>
      </c>
      <c r="G114">
        <v>4</v>
      </c>
      <c r="H114">
        <v>1</v>
      </c>
      <c r="I114">
        <v>1</v>
      </c>
      <c r="J114">
        <v>2</v>
      </c>
      <c r="K114">
        <v>3</v>
      </c>
      <c r="L114">
        <v>1</v>
      </c>
      <c r="M114">
        <v>3</v>
      </c>
      <c r="N114">
        <v>4</v>
      </c>
      <c r="O114">
        <v>2</v>
      </c>
      <c r="P114">
        <v>5</v>
      </c>
      <c r="Q114">
        <v>3</v>
      </c>
      <c r="R114">
        <v>6</v>
      </c>
      <c r="S114">
        <v>3</v>
      </c>
      <c r="T114">
        <v>7</v>
      </c>
      <c r="U114">
        <v>5</v>
      </c>
      <c r="V114">
        <v>1</v>
      </c>
      <c r="W114">
        <v>6</v>
      </c>
      <c r="X114">
        <v>1</v>
      </c>
      <c r="Y114">
        <v>4</v>
      </c>
      <c r="Z114">
        <v>1</v>
      </c>
      <c r="AA114">
        <v>2</v>
      </c>
      <c r="AB114">
        <v>1</v>
      </c>
      <c r="AC114">
        <v>2</v>
      </c>
      <c r="AD114">
        <v>2</v>
      </c>
      <c r="AE114">
        <v>0</v>
      </c>
    </row>
    <row r="115" spans="1:31" x14ac:dyDescent="0.3">
      <c r="A115" t="s">
        <v>117</v>
      </c>
      <c r="B115" t="str">
        <f>IFERROR(VLOOKUP(LEFT(A115, FIND("__", A115) + 1), [1]Sheet2!I$1:J$71, 2, FALSE), "구독권")</f>
        <v>돌발육성</v>
      </c>
      <c r="C115">
        <v>96</v>
      </c>
      <c r="D115">
        <v>4</v>
      </c>
      <c r="E115">
        <v>7</v>
      </c>
      <c r="F115">
        <v>9</v>
      </c>
      <c r="G115">
        <v>1</v>
      </c>
      <c r="H115">
        <v>8</v>
      </c>
      <c r="I115">
        <v>1</v>
      </c>
      <c r="J115">
        <v>4</v>
      </c>
      <c r="K115">
        <v>2</v>
      </c>
      <c r="L115">
        <v>5</v>
      </c>
      <c r="M115">
        <v>3</v>
      </c>
      <c r="N115">
        <v>3</v>
      </c>
      <c r="O115">
        <v>4</v>
      </c>
      <c r="P115">
        <v>4</v>
      </c>
      <c r="Q115">
        <v>4</v>
      </c>
      <c r="R115">
        <v>3</v>
      </c>
      <c r="S115">
        <v>4</v>
      </c>
      <c r="T115">
        <v>3</v>
      </c>
      <c r="U115">
        <v>3</v>
      </c>
      <c r="V115">
        <v>1</v>
      </c>
      <c r="W115">
        <v>5</v>
      </c>
      <c r="X115">
        <v>2</v>
      </c>
      <c r="Y115">
        <v>3</v>
      </c>
      <c r="Z115">
        <v>2</v>
      </c>
      <c r="AA115">
        <v>0</v>
      </c>
      <c r="AB115">
        <v>1</v>
      </c>
      <c r="AC115">
        <v>1</v>
      </c>
      <c r="AD115">
        <v>0</v>
      </c>
      <c r="AE115">
        <v>0</v>
      </c>
    </row>
    <row r="116" spans="1:31" x14ac:dyDescent="0.3">
      <c r="A116" t="s">
        <v>37</v>
      </c>
      <c r="B116" t="str">
        <f>IFERROR(VLOOKUP(LEFT(A116, FIND("__", A116) + 1), [1]Sheet2!I$1:J$71, 2, FALSE), "구독권")</f>
        <v>사냥패스1</v>
      </c>
      <c r="C116">
        <v>95</v>
      </c>
      <c r="D116">
        <v>7</v>
      </c>
      <c r="E116">
        <v>5</v>
      </c>
      <c r="F116">
        <v>4</v>
      </c>
      <c r="G116">
        <v>7</v>
      </c>
      <c r="H116">
        <v>6</v>
      </c>
      <c r="I116">
        <v>4</v>
      </c>
      <c r="J116">
        <v>2</v>
      </c>
      <c r="K116">
        <v>3</v>
      </c>
      <c r="L116">
        <v>3</v>
      </c>
      <c r="M116">
        <v>2</v>
      </c>
      <c r="N116">
        <v>6</v>
      </c>
      <c r="O116">
        <v>2</v>
      </c>
      <c r="P116">
        <v>6</v>
      </c>
      <c r="Q116">
        <v>3</v>
      </c>
      <c r="R116">
        <v>3</v>
      </c>
      <c r="S116">
        <v>5</v>
      </c>
      <c r="T116">
        <v>1</v>
      </c>
      <c r="U116">
        <v>1</v>
      </c>
      <c r="V116">
        <v>2</v>
      </c>
      <c r="W116">
        <v>0</v>
      </c>
      <c r="X116">
        <v>1</v>
      </c>
      <c r="Y116">
        <v>2</v>
      </c>
      <c r="Z116">
        <v>0</v>
      </c>
      <c r="AA116">
        <v>3</v>
      </c>
      <c r="AB116">
        <v>4</v>
      </c>
      <c r="AC116">
        <v>0</v>
      </c>
      <c r="AD116">
        <v>2</v>
      </c>
      <c r="AE116">
        <v>0</v>
      </c>
    </row>
    <row r="117" spans="1:31" x14ac:dyDescent="0.3">
      <c r="A117" t="s">
        <v>134</v>
      </c>
      <c r="B117" t="str">
        <f>IFERROR(VLOOKUP(LEFT(A117, FIND("__", A117) + 1), [1]Sheet2!I$1:J$71, 2, FALSE), "구독권")</f>
        <v xml:space="preserve">주간입장권 </v>
      </c>
      <c r="C117">
        <v>93</v>
      </c>
      <c r="D117">
        <v>6</v>
      </c>
      <c r="E117">
        <v>7</v>
      </c>
      <c r="F117">
        <v>1</v>
      </c>
      <c r="G117">
        <v>3</v>
      </c>
      <c r="H117">
        <v>5</v>
      </c>
      <c r="I117">
        <v>1</v>
      </c>
      <c r="J117">
        <v>6</v>
      </c>
      <c r="K117">
        <v>4</v>
      </c>
      <c r="L117">
        <v>3</v>
      </c>
      <c r="M117">
        <v>2</v>
      </c>
      <c r="N117">
        <v>1</v>
      </c>
      <c r="O117">
        <v>4</v>
      </c>
      <c r="P117">
        <v>0</v>
      </c>
      <c r="Q117">
        <v>6</v>
      </c>
      <c r="R117">
        <v>1</v>
      </c>
      <c r="S117">
        <v>3</v>
      </c>
      <c r="T117">
        <v>0</v>
      </c>
      <c r="U117">
        <v>3</v>
      </c>
      <c r="V117">
        <v>1</v>
      </c>
      <c r="W117">
        <v>4</v>
      </c>
      <c r="X117">
        <v>2</v>
      </c>
      <c r="Y117">
        <v>1</v>
      </c>
      <c r="Z117">
        <v>2</v>
      </c>
      <c r="AA117">
        <v>2</v>
      </c>
      <c r="AB117">
        <v>1</v>
      </c>
      <c r="AC117">
        <v>1</v>
      </c>
      <c r="AD117">
        <v>0</v>
      </c>
      <c r="AE117">
        <v>0</v>
      </c>
    </row>
    <row r="118" spans="1:31" x14ac:dyDescent="0.3">
      <c r="A118" t="s">
        <v>67</v>
      </c>
      <c r="B118" t="str">
        <f>IFERROR(VLOOKUP(LEFT(A118, FIND("__", A118) + 1), [1]Sheet2!I$1:J$71, 2, FALSE), "구독권")</f>
        <v>계정한정영웅룬지원</v>
      </c>
      <c r="C118">
        <v>92</v>
      </c>
      <c r="D118">
        <v>5</v>
      </c>
      <c r="E118">
        <v>4</v>
      </c>
      <c r="F118">
        <v>7</v>
      </c>
      <c r="G118">
        <v>3</v>
      </c>
      <c r="H118">
        <v>4</v>
      </c>
      <c r="I118">
        <v>4</v>
      </c>
      <c r="J118">
        <v>2</v>
      </c>
      <c r="K118">
        <v>3</v>
      </c>
      <c r="L118">
        <v>1</v>
      </c>
      <c r="M118">
        <v>2</v>
      </c>
      <c r="N118">
        <v>5</v>
      </c>
      <c r="O118">
        <v>3</v>
      </c>
      <c r="P118">
        <v>4</v>
      </c>
      <c r="Q118">
        <v>1</v>
      </c>
      <c r="R118">
        <v>3</v>
      </c>
      <c r="S118">
        <v>2</v>
      </c>
      <c r="T118">
        <v>5</v>
      </c>
      <c r="U118">
        <v>1</v>
      </c>
      <c r="V118">
        <v>2</v>
      </c>
      <c r="W118">
        <v>0</v>
      </c>
      <c r="X118">
        <v>0</v>
      </c>
      <c r="Y118">
        <v>1</v>
      </c>
      <c r="Z118">
        <v>1</v>
      </c>
      <c r="AA118">
        <v>0</v>
      </c>
      <c r="AB118">
        <v>1</v>
      </c>
      <c r="AC118">
        <v>1</v>
      </c>
      <c r="AD118">
        <v>0</v>
      </c>
      <c r="AE118">
        <v>0</v>
      </c>
    </row>
    <row r="119" spans="1:31" x14ac:dyDescent="0.3">
      <c r="A119" t="s">
        <v>64</v>
      </c>
      <c r="B119" t="str">
        <f>IFERROR(VLOOKUP(LEFT(A119, FIND("__", A119) + 1), [1]Sheet2!I$1:J$71, 2, FALSE), "구독권")</f>
        <v>계정한정영웅퇴마전</v>
      </c>
      <c r="C119">
        <v>91</v>
      </c>
      <c r="D119">
        <v>3</v>
      </c>
      <c r="E119">
        <v>4</v>
      </c>
      <c r="F119">
        <v>3</v>
      </c>
      <c r="G119">
        <v>5</v>
      </c>
      <c r="H119">
        <v>3</v>
      </c>
      <c r="I119">
        <v>1</v>
      </c>
      <c r="J119">
        <v>3</v>
      </c>
      <c r="K119">
        <v>2</v>
      </c>
      <c r="L119">
        <v>3</v>
      </c>
      <c r="M119">
        <v>2</v>
      </c>
      <c r="N119">
        <v>5</v>
      </c>
      <c r="O119">
        <v>0</v>
      </c>
      <c r="P119">
        <v>4</v>
      </c>
      <c r="Q119">
        <v>2</v>
      </c>
      <c r="R119">
        <v>4</v>
      </c>
      <c r="S119">
        <v>3</v>
      </c>
      <c r="T119">
        <v>3</v>
      </c>
      <c r="U119">
        <v>1</v>
      </c>
      <c r="V119">
        <v>4</v>
      </c>
      <c r="W119">
        <v>0</v>
      </c>
      <c r="X119">
        <v>0</v>
      </c>
      <c r="Y119">
        <v>0</v>
      </c>
      <c r="Z119">
        <v>1</v>
      </c>
      <c r="AA119">
        <v>2</v>
      </c>
      <c r="AB119">
        <v>1</v>
      </c>
      <c r="AC119">
        <v>1</v>
      </c>
      <c r="AD119">
        <v>0</v>
      </c>
      <c r="AE119">
        <v>0</v>
      </c>
    </row>
    <row r="120" spans="1:31" x14ac:dyDescent="0.3">
      <c r="A120" t="s">
        <v>53</v>
      </c>
      <c r="B120" t="str">
        <f>IFERROR(VLOOKUP(LEFT(A120, FIND("__", A120) + 1), [1]Sheet2!I$1:J$71, 2, FALSE), "구독권")</f>
        <v>기한한정일간가속</v>
      </c>
      <c r="C120">
        <v>90</v>
      </c>
      <c r="D120">
        <v>3</v>
      </c>
      <c r="E120">
        <v>2</v>
      </c>
      <c r="F120">
        <v>5</v>
      </c>
      <c r="G120">
        <v>4</v>
      </c>
      <c r="H120">
        <v>3</v>
      </c>
      <c r="I120">
        <v>6</v>
      </c>
      <c r="J120">
        <v>5</v>
      </c>
      <c r="K120">
        <v>3</v>
      </c>
      <c r="L120">
        <v>4</v>
      </c>
      <c r="M120">
        <v>4</v>
      </c>
      <c r="N120">
        <v>5</v>
      </c>
      <c r="O120">
        <v>7</v>
      </c>
      <c r="P120">
        <v>5</v>
      </c>
      <c r="Q120">
        <v>5</v>
      </c>
      <c r="R120">
        <v>1</v>
      </c>
      <c r="S120">
        <v>2</v>
      </c>
      <c r="T120">
        <v>2</v>
      </c>
      <c r="U120">
        <v>3</v>
      </c>
      <c r="V120">
        <v>1</v>
      </c>
      <c r="W120">
        <v>3</v>
      </c>
      <c r="X120">
        <v>1</v>
      </c>
      <c r="Y120">
        <v>0</v>
      </c>
      <c r="Z120">
        <v>1</v>
      </c>
      <c r="AA120">
        <v>2</v>
      </c>
      <c r="AB120">
        <v>1</v>
      </c>
      <c r="AC120">
        <v>1</v>
      </c>
      <c r="AD120">
        <v>3</v>
      </c>
      <c r="AE120">
        <v>0</v>
      </c>
    </row>
    <row r="121" spans="1:31" x14ac:dyDescent="0.3">
      <c r="A121" t="s">
        <v>52</v>
      </c>
      <c r="B121" t="str">
        <f>IFERROR(VLOOKUP(LEFT(A121, FIND("__", A121) + 1), [1]Sheet2!I$1:J$71, 2, FALSE), "구독권")</f>
        <v>계정한정소환무기</v>
      </c>
      <c r="C121">
        <v>86</v>
      </c>
      <c r="D121">
        <v>3</v>
      </c>
      <c r="E121">
        <v>2</v>
      </c>
      <c r="F121">
        <v>6</v>
      </c>
      <c r="G121">
        <v>4</v>
      </c>
      <c r="H121">
        <v>2</v>
      </c>
      <c r="I121">
        <v>2</v>
      </c>
      <c r="J121">
        <v>2</v>
      </c>
      <c r="K121">
        <v>3</v>
      </c>
      <c r="L121">
        <v>2</v>
      </c>
      <c r="M121">
        <v>2</v>
      </c>
      <c r="N121">
        <v>4</v>
      </c>
      <c r="O121">
        <v>6</v>
      </c>
      <c r="P121">
        <v>5</v>
      </c>
      <c r="Q121">
        <v>1</v>
      </c>
      <c r="R121">
        <v>2</v>
      </c>
      <c r="S121">
        <v>3</v>
      </c>
      <c r="T121">
        <v>4</v>
      </c>
      <c r="U121">
        <v>0</v>
      </c>
      <c r="V121">
        <v>1</v>
      </c>
      <c r="W121">
        <v>1</v>
      </c>
      <c r="X121">
        <v>5</v>
      </c>
      <c r="Y121">
        <v>0</v>
      </c>
      <c r="Z121">
        <v>1</v>
      </c>
      <c r="AA121">
        <v>2</v>
      </c>
      <c r="AB121">
        <v>2</v>
      </c>
      <c r="AC121">
        <v>0</v>
      </c>
      <c r="AD121">
        <v>0</v>
      </c>
      <c r="AE121">
        <v>0</v>
      </c>
    </row>
    <row r="122" spans="1:31" x14ac:dyDescent="0.3">
      <c r="A122" t="s">
        <v>71</v>
      </c>
      <c r="B122" t="str">
        <f>IFERROR(VLOOKUP(LEFT(A122, FIND("__", A122) + 1), [1]Sheet2!I$1:J$71, 2, FALSE), "구독권")</f>
        <v>계정한정소환가속</v>
      </c>
      <c r="C122">
        <v>85</v>
      </c>
      <c r="D122">
        <v>2</v>
      </c>
      <c r="E122">
        <v>4</v>
      </c>
      <c r="F122">
        <v>3</v>
      </c>
      <c r="G122">
        <v>1</v>
      </c>
      <c r="H122">
        <v>4</v>
      </c>
      <c r="I122">
        <v>2</v>
      </c>
      <c r="J122">
        <v>7</v>
      </c>
      <c r="K122">
        <v>2</v>
      </c>
      <c r="L122">
        <v>3</v>
      </c>
      <c r="M122">
        <v>2</v>
      </c>
      <c r="N122">
        <v>8</v>
      </c>
      <c r="O122">
        <v>4</v>
      </c>
      <c r="P122">
        <v>4</v>
      </c>
      <c r="Q122">
        <v>2</v>
      </c>
      <c r="R122">
        <v>3</v>
      </c>
      <c r="S122">
        <v>1</v>
      </c>
      <c r="T122">
        <v>3</v>
      </c>
      <c r="U122">
        <v>3</v>
      </c>
      <c r="V122">
        <v>4</v>
      </c>
      <c r="W122">
        <v>1</v>
      </c>
      <c r="X122">
        <v>0</v>
      </c>
      <c r="Y122">
        <v>4</v>
      </c>
      <c r="Z122">
        <v>1</v>
      </c>
      <c r="AA122">
        <v>0</v>
      </c>
      <c r="AB122">
        <v>0</v>
      </c>
      <c r="AC122">
        <v>5</v>
      </c>
      <c r="AD122">
        <v>1</v>
      </c>
      <c r="AE122">
        <v>0</v>
      </c>
    </row>
    <row r="123" spans="1:31" x14ac:dyDescent="0.3">
      <c r="A123" t="s">
        <v>120</v>
      </c>
      <c r="B123" t="str">
        <f>IFERROR(VLOOKUP(LEFT(A123, FIND("__", A123) + 1), [1]Sheet2!I$1:J$71, 2, FALSE), "구독권")</f>
        <v>구독권</v>
      </c>
      <c r="C123">
        <v>85</v>
      </c>
      <c r="D123">
        <v>0</v>
      </c>
      <c r="E123">
        <v>0</v>
      </c>
      <c r="F123">
        <v>0</v>
      </c>
      <c r="G123">
        <v>0</v>
      </c>
      <c r="H123">
        <v>17</v>
      </c>
      <c r="I123">
        <v>6</v>
      </c>
      <c r="J123">
        <v>14</v>
      </c>
      <c r="K123">
        <v>3</v>
      </c>
      <c r="L123">
        <v>2</v>
      </c>
      <c r="M123">
        <v>9</v>
      </c>
      <c r="N123">
        <v>8</v>
      </c>
      <c r="O123">
        <v>3</v>
      </c>
      <c r="P123">
        <v>2</v>
      </c>
      <c r="Q123">
        <v>5</v>
      </c>
      <c r="R123">
        <v>3</v>
      </c>
      <c r="S123">
        <v>2</v>
      </c>
      <c r="T123">
        <v>1</v>
      </c>
      <c r="U123">
        <v>3</v>
      </c>
      <c r="V123">
        <v>1</v>
      </c>
      <c r="W123">
        <v>1</v>
      </c>
      <c r="X123">
        <v>0</v>
      </c>
      <c r="Y123">
        <v>1</v>
      </c>
      <c r="Z123">
        <v>0</v>
      </c>
      <c r="AA123">
        <v>2</v>
      </c>
      <c r="AB123">
        <v>0</v>
      </c>
      <c r="AC123">
        <v>0</v>
      </c>
      <c r="AD123">
        <v>2</v>
      </c>
      <c r="AE123">
        <v>0</v>
      </c>
    </row>
    <row r="124" spans="1:31" x14ac:dyDescent="0.3">
      <c r="A124" t="s">
        <v>123</v>
      </c>
      <c r="B124" t="str">
        <f>IFERROR(VLOOKUP(LEFT(A124, FIND("__", A124) + 1), [1]Sheet2!I$1:J$71, 2, FALSE), "구독권")</f>
        <v xml:space="preserve">주간가속 </v>
      </c>
      <c r="C124">
        <v>84</v>
      </c>
      <c r="D124">
        <v>1</v>
      </c>
      <c r="E124">
        <v>3</v>
      </c>
      <c r="F124">
        <v>2</v>
      </c>
      <c r="G124">
        <v>2</v>
      </c>
      <c r="H124">
        <v>2</v>
      </c>
      <c r="I124">
        <v>1</v>
      </c>
      <c r="J124">
        <v>10</v>
      </c>
      <c r="K124">
        <v>2</v>
      </c>
      <c r="L124">
        <v>3</v>
      </c>
      <c r="M124">
        <v>0</v>
      </c>
      <c r="N124">
        <v>7</v>
      </c>
      <c r="O124">
        <v>5</v>
      </c>
      <c r="P124">
        <v>1</v>
      </c>
      <c r="Q124">
        <v>8</v>
      </c>
      <c r="R124">
        <v>2</v>
      </c>
      <c r="S124">
        <v>2</v>
      </c>
      <c r="T124">
        <v>1</v>
      </c>
      <c r="U124">
        <v>2</v>
      </c>
      <c r="V124">
        <v>1</v>
      </c>
      <c r="W124">
        <v>1</v>
      </c>
      <c r="X124">
        <v>6</v>
      </c>
      <c r="Y124">
        <v>1</v>
      </c>
      <c r="Z124">
        <v>1</v>
      </c>
      <c r="AA124">
        <v>3</v>
      </c>
      <c r="AB124">
        <v>4</v>
      </c>
      <c r="AC124">
        <v>2</v>
      </c>
      <c r="AD124">
        <v>1</v>
      </c>
      <c r="AE124">
        <v>0</v>
      </c>
    </row>
    <row r="125" spans="1:31" x14ac:dyDescent="0.3">
      <c r="A125" t="s">
        <v>59</v>
      </c>
      <c r="B125" t="str">
        <f>IFERROR(VLOOKUP(LEFT(A125, FIND("__", A125) + 1), [1]Sheet2!I$1:J$71, 2, FALSE), "구독권")</f>
        <v>돌발가속권</v>
      </c>
      <c r="C125">
        <v>82</v>
      </c>
      <c r="D125">
        <v>2</v>
      </c>
      <c r="E125">
        <v>1</v>
      </c>
      <c r="F125">
        <v>2</v>
      </c>
      <c r="G125">
        <v>1</v>
      </c>
      <c r="H125">
        <v>4</v>
      </c>
      <c r="I125">
        <v>2</v>
      </c>
      <c r="J125">
        <v>2</v>
      </c>
      <c r="K125">
        <v>3</v>
      </c>
      <c r="L125">
        <v>2</v>
      </c>
      <c r="M125">
        <v>3</v>
      </c>
      <c r="N125">
        <v>4</v>
      </c>
      <c r="O125">
        <v>5</v>
      </c>
      <c r="P125">
        <v>4</v>
      </c>
      <c r="Q125">
        <v>2</v>
      </c>
      <c r="R125">
        <v>2</v>
      </c>
      <c r="S125">
        <v>2</v>
      </c>
      <c r="T125">
        <v>7</v>
      </c>
      <c r="U125">
        <v>2</v>
      </c>
      <c r="V125">
        <v>2</v>
      </c>
      <c r="W125">
        <v>1</v>
      </c>
      <c r="X125">
        <v>7</v>
      </c>
      <c r="Y125">
        <v>2</v>
      </c>
      <c r="Z125">
        <v>1</v>
      </c>
      <c r="AA125">
        <v>4</v>
      </c>
      <c r="AB125">
        <v>4</v>
      </c>
      <c r="AC125">
        <v>3</v>
      </c>
      <c r="AD125">
        <v>6</v>
      </c>
      <c r="AE125">
        <v>0</v>
      </c>
    </row>
    <row r="126" spans="1:31" x14ac:dyDescent="0.3">
      <c r="A126" t="s">
        <v>57</v>
      </c>
      <c r="B126" t="str">
        <f>IFERROR(VLOOKUP(LEFT(A126, FIND("__", A126) + 1), [1]Sheet2!I$1:J$71, 2, FALSE), "구독권")</f>
        <v>돌발연구</v>
      </c>
      <c r="C126">
        <v>82</v>
      </c>
      <c r="D126">
        <v>4</v>
      </c>
      <c r="E126">
        <v>7</v>
      </c>
      <c r="F126">
        <v>2</v>
      </c>
      <c r="G126">
        <v>5</v>
      </c>
      <c r="H126">
        <v>1</v>
      </c>
      <c r="I126">
        <v>5</v>
      </c>
      <c r="J126">
        <v>7</v>
      </c>
      <c r="K126">
        <v>0</v>
      </c>
      <c r="L126">
        <v>2</v>
      </c>
      <c r="M126">
        <v>3</v>
      </c>
      <c r="N126">
        <v>4</v>
      </c>
      <c r="O126">
        <v>4</v>
      </c>
      <c r="P126">
        <v>5</v>
      </c>
      <c r="Q126">
        <v>1</v>
      </c>
      <c r="R126">
        <v>3</v>
      </c>
      <c r="S126">
        <v>4</v>
      </c>
      <c r="T126">
        <v>4</v>
      </c>
      <c r="U126">
        <v>1</v>
      </c>
      <c r="V126">
        <v>1</v>
      </c>
      <c r="W126">
        <v>2</v>
      </c>
      <c r="X126">
        <v>2</v>
      </c>
      <c r="Y126">
        <v>1</v>
      </c>
      <c r="Z126">
        <v>0</v>
      </c>
      <c r="AA126">
        <v>2</v>
      </c>
      <c r="AB126">
        <v>0</v>
      </c>
      <c r="AC126">
        <v>1</v>
      </c>
      <c r="AD126">
        <v>2</v>
      </c>
      <c r="AE126">
        <v>0</v>
      </c>
    </row>
    <row r="127" spans="1:31" x14ac:dyDescent="0.3">
      <c r="A127" t="s">
        <v>65</v>
      </c>
      <c r="B127" t="str">
        <f>IFERROR(VLOOKUP(LEFT(A127, FIND("__", A127) + 1), [1]Sheet2!I$1:J$71, 2, FALSE), "구독권")</f>
        <v>계정한정영웅갑옷지원</v>
      </c>
      <c r="C127">
        <v>81</v>
      </c>
      <c r="D127">
        <v>3</v>
      </c>
      <c r="E127">
        <v>4</v>
      </c>
      <c r="F127">
        <v>4</v>
      </c>
      <c r="G127">
        <v>4</v>
      </c>
      <c r="H127">
        <v>6</v>
      </c>
      <c r="I127">
        <v>2</v>
      </c>
      <c r="J127">
        <v>2</v>
      </c>
      <c r="K127">
        <v>3</v>
      </c>
      <c r="L127">
        <v>1</v>
      </c>
      <c r="M127">
        <v>2</v>
      </c>
      <c r="N127">
        <v>3</v>
      </c>
      <c r="O127">
        <v>1</v>
      </c>
      <c r="P127">
        <v>4</v>
      </c>
      <c r="Q127">
        <v>1</v>
      </c>
      <c r="R127">
        <v>1</v>
      </c>
      <c r="S127">
        <v>2</v>
      </c>
      <c r="T127">
        <v>4</v>
      </c>
      <c r="U127">
        <v>0</v>
      </c>
      <c r="V127">
        <v>2</v>
      </c>
      <c r="W127">
        <v>0</v>
      </c>
      <c r="X127">
        <v>0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0</v>
      </c>
      <c r="AE127">
        <v>0</v>
      </c>
    </row>
    <row r="128" spans="1:31" x14ac:dyDescent="0.3">
      <c r="A128" t="s">
        <v>39</v>
      </c>
      <c r="B128" t="str">
        <f>IFERROR(VLOOKUP(LEFT(A128, FIND("__", A128) + 1), [1]Sheet2!I$1:J$71, 2, FALSE), "구독권")</f>
        <v>돌발스테이지</v>
      </c>
      <c r="C128">
        <v>80</v>
      </c>
      <c r="D128">
        <v>2</v>
      </c>
      <c r="E128">
        <v>2</v>
      </c>
      <c r="F128">
        <v>4</v>
      </c>
      <c r="G128">
        <v>4</v>
      </c>
      <c r="H128">
        <v>2</v>
      </c>
      <c r="I128">
        <v>3</v>
      </c>
      <c r="J128">
        <v>3</v>
      </c>
      <c r="K128">
        <v>3</v>
      </c>
      <c r="L128">
        <v>5</v>
      </c>
      <c r="M128">
        <v>1</v>
      </c>
      <c r="N128">
        <v>2</v>
      </c>
      <c r="O128">
        <v>3</v>
      </c>
      <c r="P128">
        <v>4</v>
      </c>
      <c r="Q128">
        <v>4</v>
      </c>
      <c r="R128">
        <v>0</v>
      </c>
      <c r="S128">
        <v>7</v>
      </c>
      <c r="T128">
        <v>2</v>
      </c>
      <c r="U128">
        <v>3</v>
      </c>
      <c r="V128">
        <v>3</v>
      </c>
      <c r="W128">
        <v>2</v>
      </c>
      <c r="X128">
        <v>3</v>
      </c>
      <c r="Y128">
        <v>2</v>
      </c>
      <c r="Z128">
        <v>2</v>
      </c>
      <c r="AA128">
        <v>2</v>
      </c>
      <c r="AB128">
        <v>1</v>
      </c>
      <c r="AC128">
        <v>2</v>
      </c>
      <c r="AD128">
        <v>1</v>
      </c>
      <c r="AE128">
        <v>0</v>
      </c>
    </row>
    <row r="129" spans="1:31" x14ac:dyDescent="0.3">
      <c r="A129" t="s">
        <v>127</v>
      </c>
      <c r="B129" t="str">
        <f>IFERROR(VLOOKUP(LEFT(A129, FIND("__", A129) + 1), [1]Sheet2!I$1:J$71, 2, FALSE), "구독권")</f>
        <v>계정한정영웅필드지원</v>
      </c>
      <c r="C129">
        <v>80</v>
      </c>
      <c r="D129">
        <v>3</v>
      </c>
      <c r="E129">
        <v>7</v>
      </c>
      <c r="F129">
        <v>4</v>
      </c>
      <c r="G129">
        <v>2</v>
      </c>
      <c r="H129">
        <v>1</v>
      </c>
      <c r="I129">
        <v>3</v>
      </c>
      <c r="J129">
        <v>0</v>
      </c>
      <c r="K129">
        <v>3</v>
      </c>
      <c r="L129">
        <v>4</v>
      </c>
      <c r="M129">
        <v>2</v>
      </c>
      <c r="N129">
        <v>4</v>
      </c>
      <c r="O129">
        <v>3</v>
      </c>
      <c r="P129">
        <v>3</v>
      </c>
      <c r="Q129">
        <v>5</v>
      </c>
      <c r="R129">
        <v>1</v>
      </c>
      <c r="S129">
        <v>2</v>
      </c>
      <c r="T129">
        <v>2</v>
      </c>
      <c r="U129">
        <v>0</v>
      </c>
      <c r="V129">
        <v>0</v>
      </c>
      <c r="W129">
        <v>1</v>
      </c>
      <c r="X129">
        <v>0</v>
      </c>
      <c r="Y129">
        <v>1</v>
      </c>
      <c r="Z129">
        <v>1</v>
      </c>
      <c r="AA129">
        <v>2</v>
      </c>
      <c r="AB129">
        <v>0</v>
      </c>
      <c r="AC129">
        <v>1</v>
      </c>
      <c r="AD129">
        <v>0</v>
      </c>
      <c r="AE129">
        <v>0</v>
      </c>
    </row>
    <row r="130" spans="1:31" x14ac:dyDescent="0.3">
      <c r="A130" t="s">
        <v>176</v>
      </c>
      <c r="B130" t="str">
        <f>IFERROR(VLOOKUP(LEFT(A130, FIND("__", A130) + 1), [1]Sheet2!I$1:J$71, 2, FALSE), "구독권")</f>
        <v>구독권</v>
      </c>
      <c r="C130">
        <v>80</v>
      </c>
      <c r="D130">
        <v>0</v>
      </c>
      <c r="E130">
        <v>0</v>
      </c>
      <c r="F130">
        <v>0</v>
      </c>
      <c r="G130">
        <v>2</v>
      </c>
      <c r="H130">
        <v>26</v>
      </c>
      <c r="I130">
        <v>6</v>
      </c>
      <c r="J130">
        <v>24</v>
      </c>
      <c r="K130">
        <v>1</v>
      </c>
      <c r="L130">
        <v>3</v>
      </c>
      <c r="M130">
        <v>5</v>
      </c>
      <c r="N130">
        <v>1</v>
      </c>
      <c r="O130">
        <v>0</v>
      </c>
      <c r="P130">
        <v>2</v>
      </c>
      <c r="Q130">
        <v>0</v>
      </c>
      <c r="R130">
        <v>1</v>
      </c>
      <c r="S130">
        <v>1</v>
      </c>
      <c r="T130">
        <v>1</v>
      </c>
      <c r="U130">
        <v>2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2</v>
      </c>
      <c r="AB130">
        <v>1</v>
      </c>
      <c r="AC130">
        <v>0</v>
      </c>
      <c r="AD130">
        <v>0</v>
      </c>
      <c r="AE130">
        <v>0</v>
      </c>
    </row>
  </sheetData>
  <phoneticPr fontId="1" type="noConversion"/>
  <conditionalFormatting sqref="H2:AN28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{D57ECFFA-A14C-4EFE-860E-33DDA927CD3C}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7ECFFA-A14C-4EFE-860E-33DDA927CD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H2:AN28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E79EB-21CC-49B9-9AA1-9627DFAC1C7C}">
  <dimension ref="A1:AC101"/>
  <sheetViews>
    <sheetView topLeftCell="C1" workbookViewId="0">
      <selection activeCell="Q17" sqref="Q17"/>
    </sheetView>
  </sheetViews>
  <sheetFormatPr defaultRowHeight="16.5" x14ac:dyDescent="0.3"/>
  <cols>
    <col min="2" max="2" width="31.75" bestFit="1" customWidth="1"/>
  </cols>
  <sheetData>
    <row r="1" spans="1:29" x14ac:dyDescent="0.3">
      <c r="A1" t="s">
        <v>152</v>
      </c>
      <c r="B1" t="s">
        <v>2</v>
      </c>
      <c r="C1" t="s">
        <v>138</v>
      </c>
      <c r="D1" s="5">
        <v>45870</v>
      </c>
      <c r="E1" s="5">
        <v>45871</v>
      </c>
      <c r="F1" s="5">
        <v>45872</v>
      </c>
      <c r="G1" s="5">
        <v>45873</v>
      </c>
      <c r="H1" s="5">
        <v>45874</v>
      </c>
      <c r="I1" s="5">
        <v>45875</v>
      </c>
      <c r="J1" s="5">
        <v>45876</v>
      </c>
      <c r="K1" s="5">
        <v>45877</v>
      </c>
      <c r="L1" s="5">
        <v>45878</v>
      </c>
      <c r="M1" s="5">
        <v>45879</v>
      </c>
      <c r="N1" s="5">
        <v>45880</v>
      </c>
      <c r="O1" s="5">
        <v>45881</v>
      </c>
      <c r="P1" s="5">
        <v>45882</v>
      </c>
      <c r="Q1" s="5">
        <v>45883</v>
      </c>
      <c r="R1" s="5">
        <v>45884</v>
      </c>
      <c r="S1" s="5">
        <v>45885</v>
      </c>
      <c r="T1" s="5">
        <v>45886</v>
      </c>
      <c r="U1" s="5">
        <v>45887</v>
      </c>
      <c r="V1" s="5">
        <v>45888</v>
      </c>
      <c r="W1" s="5">
        <v>45889</v>
      </c>
      <c r="X1" s="5">
        <v>45890</v>
      </c>
      <c r="Y1" s="5">
        <v>45891</v>
      </c>
      <c r="Z1" s="5">
        <v>45892</v>
      </c>
      <c r="AA1" s="5">
        <v>45893</v>
      </c>
      <c r="AB1" s="5">
        <v>45894</v>
      </c>
      <c r="AC1" s="5">
        <v>45895</v>
      </c>
    </row>
    <row r="2" spans="1:29" x14ac:dyDescent="0.3">
      <c r="A2" t="s">
        <v>1818</v>
      </c>
      <c r="B2" t="s">
        <v>8</v>
      </c>
      <c r="C2">
        <v>479</v>
      </c>
      <c r="D2">
        <v>40</v>
      </c>
      <c r="E2">
        <v>39</v>
      </c>
      <c r="F2">
        <v>22</v>
      </c>
      <c r="G2">
        <v>29</v>
      </c>
      <c r="H2">
        <v>26</v>
      </c>
      <c r="I2">
        <v>24</v>
      </c>
      <c r="J2">
        <v>20</v>
      </c>
      <c r="K2">
        <v>23</v>
      </c>
      <c r="L2">
        <v>21</v>
      </c>
      <c r="M2">
        <v>19</v>
      </c>
      <c r="N2">
        <v>16</v>
      </c>
      <c r="O2">
        <v>16</v>
      </c>
      <c r="P2">
        <v>14</v>
      </c>
      <c r="Q2">
        <v>14</v>
      </c>
      <c r="R2">
        <v>10</v>
      </c>
      <c r="S2">
        <v>14</v>
      </c>
      <c r="T2">
        <v>8</v>
      </c>
      <c r="U2">
        <v>11</v>
      </c>
      <c r="V2">
        <v>10</v>
      </c>
      <c r="W2">
        <v>16</v>
      </c>
      <c r="X2">
        <v>15</v>
      </c>
      <c r="Y2">
        <v>11</v>
      </c>
      <c r="Z2">
        <v>11</v>
      </c>
      <c r="AA2">
        <v>21</v>
      </c>
      <c r="AB2">
        <v>18</v>
      </c>
      <c r="AC2">
        <v>11</v>
      </c>
    </row>
    <row r="3" spans="1:29" x14ac:dyDescent="0.3">
      <c r="A3" t="s">
        <v>1818</v>
      </c>
      <c r="B3" t="s">
        <v>15</v>
      </c>
      <c r="C3">
        <v>384</v>
      </c>
      <c r="D3">
        <v>18</v>
      </c>
      <c r="E3">
        <v>23</v>
      </c>
      <c r="F3">
        <v>17</v>
      </c>
      <c r="G3">
        <v>20</v>
      </c>
      <c r="H3">
        <v>14</v>
      </c>
      <c r="I3">
        <v>17</v>
      </c>
      <c r="J3">
        <v>18</v>
      </c>
      <c r="K3">
        <v>13</v>
      </c>
      <c r="L3">
        <v>13</v>
      </c>
      <c r="M3">
        <v>13</v>
      </c>
      <c r="N3">
        <v>14</v>
      </c>
      <c r="O3">
        <v>12</v>
      </c>
      <c r="P3">
        <v>13</v>
      </c>
      <c r="Q3">
        <v>14</v>
      </c>
      <c r="R3">
        <v>9</v>
      </c>
      <c r="S3">
        <v>10</v>
      </c>
      <c r="T3">
        <v>14</v>
      </c>
      <c r="U3">
        <v>14</v>
      </c>
      <c r="V3">
        <v>18</v>
      </c>
      <c r="W3">
        <v>15</v>
      </c>
      <c r="X3">
        <v>14</v>
      </c>
      <c r="Y3">
        <v>16</v>
      </c>
      <c r="Z3">
        <v>16</v>
      </c>
      <c r="AA3">
        <v>18</v>
      </c>
      <c r="AB3">
        <v>15</v>
      </c>
      <c r="AC3">
        <v>6</v>
      </c>
    </row>
    <row r="4" spans="1:29" x14ac:dyDescent="0.3">
      <c r="A4" t="s">
        <v>1818</v>
      </c>
      <c r="B4" t="s">
        <v>3</v>
      </c>
      <c r="C4">
        <v>375</v>
      </c>
      <c r="D4">
        <v>27</v>
      </c>
      <c r="E4">
        <v>27</v>
      </c>
      <c r="F4">
        <v>41</v>
      </c>
      <c r="G4">
        <v>32</v>
      </c>
      <c r="H4">
        <v>25</v>
      </c>
      <c r="I4">
        <v>22</v>
      </c>
      <c r="J4">
        <v>14</v>
      </c>
      <c r="K4">
        <v>15</v>
      </c>
      <c r="L4">
        <v>15</v>
      </c>
      <c r="M4">
        <v>17</v>
      </c>
      <c r="N4">
        <v>8</v>
      </c>
      <c r="O4">
        <v>10</v>
      </c>
      <c r="P4">
        <v>9</v>
      </c>
      <c r="Q4">
        <v>11</v>
      </c>
      <c r="R4">
        <v>18</v>
      </c>
      <c r="S4">
        <v>10</v>
      </c>
      <c r="T4">
        <v>4</v>
      </c>
      <c r="U4">
        <v>8</v>
      </c>
      <c r="V4">
        <v>11</v>
      </c>
      <c r="W4">
        <v>9</v>
      </c>
      <c r="X4">
        <v>7</v>
      </c>
      <c r="Y4">
        <v>3</v>
      </c>
      <c r="Z4">
        <v>7</v>
      </c>
      <c r="AA4">
        <v>14</v>
      </c>
      <c r="AB4">
        <v>7</v>
      </c>
      <c r="AC4">
        <v>4</v>
      </c>
    </row>
    <row r="5" spans="1:29" x14ac:dyDescent="0.3">
      <c r="A5" t="s">
        <v>1818</v>
      </c>
      <c r="B5" t="s">
        <v>4</v>
      </c>
      <c r="C5">
        <v>370</v>
      </c>
      <c r="D5">
        <v>27</v>
      </c>
      <c r="E5">
        <v>25</v>
      </c>
      <c r="F5">
        <v>27</v>
      </c>
      <c r="G5">
        <v>28</v>
      </c>
      <c r="H5">
        <v>22</v>
      </c>
      <c r="I5">
        <v>22</v>
      </c>
      <c r="J5">
        <v>23</v>
      </c>
      <c r="K5">
        <v>17</v>
      </c>
      <c r="L5">
        <v>14</v>
      </c>
      <c r="M5">
        <v>11</v>
      </c>
      <c r="N5">
        <v>6</v>
      </c>
      <c r="O5">
        <v>9</v>
      </c>
      <c r="P5">
        <v>11</v>
      </c>
      <c r="Q5">
        <v>13</v>
      </c>
      <c r="R5">
        <v>16</v>
      </c>
      <c r="S5">
        <v>8</v>
      </c>
      <c r="T5">
        <v>7</v>
      </c>
      <c r="U5">
        <v>15</v>
      </c>
      <c r="V5">
        <v>10</v>
      </c>
      <c r="W5">
        <v>9</v>
      </c>
      <c r="X5">
        <v>14</v>
      </c>
      <c r="Y5">
        <v>10</v>
      </c>
      <c r="Z5">
        <v>7</v>
      </c>
      <c r="AA5">
        <v>9</v>
      </c>
      <c r="AB5">
        <v>5</v>
      </c>
      <c r="AC5">
        <v>5</v>
      </c>
    </row>
    <row r="6" spans="1:29" x14ac:dyDescent="0.3">
      <c r="A6" t="s">
        <v>1818</v>
      </c>
      <c r="B6" t="s">
        <v>14</v>
      </c>
      <c r="C6">
        <v>352</v>
      </c>
      <c r="D6">
        <v>14</v>
      </c>
      <c r="E6">
        <v>17</v>
      </c>
      <c r="F6">
        <v>17</v>
      </c>
      <c r="G6">
        <v>20</v>
      </c>
      <c r="H6">
        <v>16</v>
      </c>
      <c r="I6">
        <v>17</v>
      </c>
      <c r="J6">
        <v>12</v>
      </c>
      <c r="K6">
        <v>16</v>
      </c>
      <c r="L6">
        <v>13</v>
      </c>
      <c r="M6">
        <v>11</v>
      </c>
      <c r="N6">
        <v>16</v>
      </c>
      <c r="O6">
        <v>15</v>
      </c>
      <c r="P6">
        <v>16</v>
      </c>
      <c r="Q6">
        <v>16</v>
      </c>
      <c r="R6">
        <v>7</v>
      </c>
      <c r="S6">
        <v>11</v>
      </c>
      <c r="T6">
        <v>9</v>
      </c>
      <c r="U6">
        <v>8</v>
      </c>
      <c r="V6">
        <v>13</v>
      </c>
      <c r="W6">
        <v>10</v>
      </c>
      <c r="X6">
        <v>16</v>
      </c>
      <c r="Y6">
        <v>11</v>
      </c>
      <c r="Z6">
        <v>11</v>
      </c>
      <c r="AA6">
        <v>18</v>
      </c>
      <c r="AB6">
        <v>11</v>
      </c>
      <c r="AC6">
        <v>11</v>
      </c>
    </row>
    <row r="7" spans="1:29" x14ac:dyDescent="0.3">
      <c r="A7" t="s">
        <v>1818</v>
      </c>
      <c r="B7" t="s">
        <v>5</v>
      </c>
      <c r="C7">
        <v>348</v>
      </c>
      <c r="D7">
        <v>27</v>
      </c>
      <c r="E7">
        <v>24</v>
      </c>
      <c r="F7">
        <v>25</v>
      </c>
      <c r="G7">
        <v>20</v>
      </c>
      <c r="H7">
        <v>18</v>
      </c>
      <c r="I7">
        <v>21</v>
      </c>
      <c r="J7">
        <v>22</v>
      </c>
      <c r="K7">
        <v>14</v>
      </c>
      <c r="L7">
        <v>10</v>
      </c>
      <c r="M7">
        <v>11</v>
      </c>
      <c r="N7">
        <v>11</v>
      </c>
      <c r="O7">
        <v>14</v>
      </c>
      <c r="P7">
        <v>10</v>
      </c>
      <c r="Q7">
        <v>12</v>
      </c>
      <c r="R7">
        <v>10</v>
      </c>
      <c r="S7">
        <v>10</v>
      </c>
      <c r="T7">
        <v>6</v>
      </c>
      <c r="U7">
        <v>13</v>
      </c>
      <c r="V7">
        <v>13</v>
      </c>
      <c r="W7">
        <v>6</v>
      </c>
      <c r="X7">
        <v>5</v>
      </c>
      <c r="Y7">
        <v>7</v>
      </c>
      <c r="Z7">
        <v>12</v>
      </c>
      <c r="AA7">
        <v>13</v>
      </c>
      <c r="AB7">
        <v>10</v>
      </c>
      <c r="AC7">
        <v>4</v>
      </c>
    </row>
    <row r="8" spans="1:29" x14ac:dyDescent="0.3">
      <c r="A8" t="s">
        <v>1818</v>
      </c>
      <c r="B8" t="s">
        <v>7</v>
      </c>
      <c r="C8">
        <v>344</v>
      </c>
      <c r="D8">
        <v>30</v>
      </c>
      <c r="E8">
        <v>22</v>
      </c>
      <c r="F8">
        <v>24</v>
      </c>
      <c r="G8">
        <v>22</v>
      </c>
      <c r="H8">
        <v>22</v>
      </c>
      <c r="I8">
        <v>22</v>
      </c>
      <c r="J8">
        <v>14</v>
      </c>
      <c r="K8">
        <v>16</v>
      </c>
      <c r="L8">
        <v>12</v>
      </c>
      <c r="M8">
        <v>8</v>
      </c>
      <c r="N8">
        <v>11</v>
      </c>
      <c r="O8">
        <v>13</v>
      </c>
      <c r="P8">
        <v>11</v>
      </c>
      <c r="Q8">
        <v>14</v>
      </c>
      <c r="R8">
        <v>9</v>
      </c>
      <c r="S8">
        <v>11</v>
      </c>
      <c r="T8">
        <v>4</v>
      </c>
      <c r="U8">
        <v>12</v>
      </c>
      <c r="V8">
        <v>13</v>
      </c>
      <c r="W8">
        <v>7</v>
      </c>
      <c r="X8">
        <v>5</v>
      </c>
      <c r="Y8">
        <v>7</v>
      </c>
      <c r="Z8">
        <v>9</v>
      </c>
      <c r="AA8">
        <v>10</v>
      </c>
      <c r="AB8">
        <v>12</v>
      </c>
      <c r="AC8">
        <v>4</v>
      </c>
    </row>
    <row r="9" spans="1:29" x14ac:dyDescent="0.3">
      <c r="A9" t="s">
        <v>1818</v>
      </c>
      <c r="B9" t="s">
        <v>9</v>
      </c>
      <c r="C9">
        <v>301</v>
      </c>
      <c r="D9">
        <v>17</v>
      </c>
      <c r="E9">
        <v>21</v>
      </c>
      <c r="F9">
        <v>19</v>
      </c>
      <c r="G9">
        <v>23</v>
      </c>
      <c r="H9">
        <v>22</v>
      </c>
      <c r="I9">
        <v>19</v>
      </c>
      <c r="J9">
        <v>15</v>
      </c>
      <c r="K9">
        <v>11</v>
      </c>
      <c r="L9">
        <v>9</v>
      </c>
      <c r="M9">
        <v>11</v>
      </c>
      <c r="N9">
        <v>10</v>
      </c>
      <c r="O9">
        <v>7</v>
      </c>
      <c r="P9">
        <v>7</v>
      </c>
      <c r="Q9">
        <v>11</v>
      </c>
      <c r="R9">
        <v>9</v>
      </c>
      <c r="S9">
        <v>9</v>
      </c>
      <c r="T9">
        <v>5</v>
      </c>
      <c r="U9">
        <v>11</v>
      </c>
      <c r="V9">
        <v>10</v>
      </c>
      <c r="W9">
        <v>11</v>
      </c>
      <c r="X9">
        <v>6</v>
      </c>
      <c r="Y9">
        <v>6</v>
      </c>
      <c r="Z9">
        <v>9</v>
      </c>
      <c r="AA9">
        <v>15</v>
      </c>
      <c r="AB9">
        <v>6</v>
      </c>
      <c r="AC9">
        <v>2</v>
      </c>
    </row>
    <row r="10" spans="1:29" x14ac:dyDescent="0.3">
      <c r="A10" t="s">
        <v>1818</v>
      </c>
      <c r="B10" t="s">
        <v>21</v>
      </c>
      <c r="C10">
        <v>254</v>
      </c>
      <c r="D10">
        <v>21</v>
      </c>
      <c r="E10">
        <v>24</v>
      </c>
      <c r="F10">
        <v>14</v>
      </c>
      <c r="G10">
        <v>16</v>
      </c>
      <c r="H10">
        <v>12</v>
      </c>
      <c r="I10">
        <v>10</v>
      </c>
      <c r="J10">
        <v>12</v>
      </c>
      <c r="K10">
        <v>20</v>
      </c>
      <c r="L10">
        <v>9</v>
      </c>
      <c r="M10">
        <v>10</v>
      </c>
      <c r="N10">
        <v>7</v>
      </c>
      <c r="O10">
        <v>9</v>
      </c>
      <c r="P10">
        <v>7</v>
      </c>
      <c r="Q10">
        <v>9</v>
      </c>
      <c r="R10">
        <v>8</v>
      </c>
      <c r="S10">
        <v>6</v>
      </c>
      <c r="T10">
        <v>9</v>
      </c>
      <c r="U10">
        <v>6</v>
      </c>
      <c r="V10">
        <v>8</v>
      </c>
      <c r="W10">
        <v>3</v>
      </c>
      <c r="X10">
        <v>5</v>
      </c>
      <c r="Y10">
        <v>3</v>
      </c>
      <c r="Z10">
        <v>9</v>
      </c>
      <c r="AA10">
        <v>9</v>
      </c>
      <c r="AB10">
        <v>5</v>
      </c>
      <c r="AC10">
        <v>3</v>
      </c>
    </row>
    <row r="11" spans="1:29" x14ac:dyDescent="0.3">
      <c r="A11" t="s">
        <v>1818</v>
      </c>
      <c r="B11" t="s">
        <v>23</v>
      </c>
      <c r="C11">
        <v>250</v>
      </c>
      <c r="D11">
        <v>21</v>
      </c>
      <c r="E11">
        <v>19</v>
      </c>
      <c r="F11">
        <v>14</v>
      </c>
      <c r="G11">
        <v>21</v>
      </c>
      <c r="H11">
        <v>20</v>
      </c>
      <c r="I11">
        <v>10</v>
      </c>
      <c r="J11">
        <v>7</v>
      </c>
      <c r="K11">
        <v>14</v>
      </c>
      <c r="L11">
        <v>12</v>
      </c>
      <c r="M11">
        <v>5</v>
      </c>
      <c r="N11">
        <v>8</v>
      </c>
      <c r="O11">
        <v>7</v>
      </c>
      <c r="P11">
        <v>8</v>
      </c>
      <c r="Q11">
        <v>3</v>
      </c>
      <c r="R11">
        <v>6</v>
      </c>
      <c r="S11">
        <v>8</v>
      </c>
      <c r="T11">
        <v>3</v>
      </c>
      <c r="U11">
        <v>9</v>
      </c>
      <c r="V11">
        <v>7</v>
      </c>
      <c r="W11">
        <v>3</v>
      </c>
      <c r="X11">
        <v>8</v>
      </c>
      <c r="Y11">
        <v>6</v>
      </c>
      <c r="Z11">
        <v>9</v>
      </c>
      <c r="AA11">
        <v>12</v>
      </c>
      <c r="AB11">
        <v>6</v>
      </c>
      <c r="AC11">
        <v>4</v>
      </c>
    </row>
    <row r="12" spans="1:29" x14ac:dyDescent="0.3">
      <c r="A12" t="s">
        <v>1818</v>
      </c>
      <c r="B12" t="s">
        <v>10</v>
      </c>
      <c r="C12">
        <v>229</v>
      </c>
      <c r="D12">
        <v>17</v>
      </c>
      <c r="E12">
        <v>12</v>
      </c>
      <c r="F12">
        <v>19</v>
      </c>
      <c r="G12">
        <v>20</v>
      </c>
      <c r="H12">
        <v>24</v>
      </c>
      <c r="I12">
        <v>22</v>
      </c>
      <c r="J12">
        <v>12</v>
      </c>
      <c r="K12">
        <v>10</v>
      </c>
      <c r="L12">
        <v>8</v>
      </c>
      <c r="M12">
        <v>2</v>
      </c>
      <c r="N12">
        <v>4</v>
      </c>
      <c r="O12">
        <v>2</v>
      </c>
      <c r="P12">
        <v>5</v>
      </c>
      <c r="Q12">
        <v>7</v>
      </c>
      <c r="R12">
        <v>8</v>
      </c>
      <c r="S12">
        <v>6</v>
      </c>
      <c r="T12">
        <v>4</v>
      </c>
      <c r="U12">
        <v>8</v>
      </c>
      <c r="V12">
        <v>5</v>
      </c>
      <c r="W12">
        <v>5</v>
      </c>
      <c r="X12">
        <v>3</v>
      </c>
      <c r="Y12">
        <v>6</v>
      </c>
      <c r="Z12">
        <v>5</v>
      </c>
      <c r="AA12">
        <v>6</v>
      </c>
      <c r="AB12">
        <v>5</v>
      </c>
      <c r="AC12">
        <v>4</v>
      </c>
    </row>
    <row r="13" spans="1:29" x14ac:dyDescent="0.3">
      <c r="A13" t="s">
        <v>1818</v>
      </c>
      <c r="B13" t="s">
        <v>6</v>
      </c>
      <c r="C13">
        <v>220</v>
      </c>
      <c r="D13">
        <v>16</v>
      </c>
      <c r="E13">
        <v>14</v>
      </c>
      <c r="F13">
        <v>22</v>
      </c>
      <c r="G13">
        <v>20</v>
      </c>
      <c r="H13">
        <v>21</v>
      </c>
      <c r="I13">
        <v>19</v>
      </c>
      <c r="J13">
        <v>11</v>
      </c>
      <c r="K13">
        <v>8</v>
      </c>
      <c r="L13">
        <v>7</v>
      </c>
      <c r="M13">
        <v>7</v>
      </c>
      <c r="N13">
        <v>4</v>
      </c>
      <c r="O13">
        <v>1</v>
      </c>
      <c r="P13">
        <v>2</v>
      </c>
      <c r="Q13">
        <v>8</v>
      </c>
      <c r="R13">
        <v>4</v>
      </c>
      <c r="S13">
        <v>5</v>
      </c>
      <c r="T13">
        <v>5</v>
      </c>
      <c r="U13">
        <v>4</v>
      </c>
      <c r="V13">
        <v>2</v>
      </c>
      <c r="W13">
        <v>8</v>
      </c>
      <c r="X13">
        <v>4</v>
      </c>
      <c r="Y13">
        <v>6</v>
      </c>
      <c r="Z13">
        <v>6</v>
      </c>
      <c r="AA13">
        <v>7</v>
      </c>
      <c r="AB13">
        <v>7</v>
      </c>
      <c r="AC13">
        <v>2</v>
      </c>
    </row>
    <row r="14" spans="1:29" x14ac:dyDescent="0.3">
      <c r="A14" t="s">
        <v>1818</v>
      </c>
      <c r="B14" t="s">
        <v>11</v>
      </c>
      <c r="C14">
        <v>218</v>
      </c>
      <c r="D14">
        <v>16</v>
      </c>
      <c r="E14">
        <v>14</v>
      </c>
      <c r="F14">
        <v>17</v>
      </c>
      <c r="G14">
        <v>20</v>
      </c>
      <c r="H14">
        <v>14</v>
      </c>
      <c r="I14">
        <v>13</v>
      </c>
      <c r="J14">
        <v>11</v>
      </c>
      <c r="K14">
        <v>13</v>
      </c>
      <c r="L14">
        <v>5</v>
      </c>
      <c r="M14">
        <v>11</v>
      </c>
      <c r="N14">
        <v>4</v>
      </c>
      <c r="O14">
        <v>6</v>
      </c>
      <c r="P14">
        <v>8</v>
      </c>
      <c r="Q14">
        <v>7</v>
      </c>
      <c r="R14">
        <v>5</v>
      </c>
      <c r="S14">
        <v>6</v>
      </c>
      <c r="T14">
        <v>3</v>
      </c>
      <c r="U14">
        <v>6</v>
      </c>
      <c r="V14">
        <v>7</v>
      </c>
      <c r="W14">
        <v>3</v>
      </c>
      <c r="X14">
        <v>3</v>
      </c>
      <c r="Y14">
        <v>7</v>
      </c>
      <c r="Z14">
        <v>6</v>
      </c>
      <c r="AA14">
        <v>8</v>
      </c>
      <c r="AB14">
        <v>4</v>
      </c>
      <c r="AC14">
        <v>1</v>
      </c>
    </row>
    <row r="15" spans="1:29" x14ac:dyDescent="0.3">
      <c r="A15" t="s">
        <v>1818</v>
      </c>
      <c r="B15" t="s">
        <v>13</v>
      </c>
      <c r="C15">
        <v>208</v>
      </c>
      <c r="D15">
        <v>25</v>
      </c>
      <c r="E15">
        <v>12</v>
      </c>
      <c r="F15">
        <v>16</v>
      </c>
      <c r="G15">
        <v>6</v>
      </c>
      <c r="H15">
        <v>17</v>
      </c>
      <c r="I15">
        <v>13</v>
      </c>
      <c r="J15">
        <v>7</v>
      </c>
      <c r="K15">
        <v>7</v>
      </c>
      <c r="L15">
        <v>7</v>
      </c>
      <c r="M15">
        <v>7</v>
      </c>
      <c r="N15">
        <v>8</v>
      </c>
      <c r="O15">
        <v>3</v>
      </c>
      <c r="P15">
        <v>5</v>
      </c>
      <c r="Q15">
        <v>8</v>
      </c>
      <c r="R15">
        <v>8</v>
      </c>
      <c r="S15">
        <v>6</v>
      </c>
      <c r="T15">
        <v>2</v>
      </c>
      <c r="U15">
        <v>7</v>
      </c>
      <c r="V15">
        <v>7</v>
      </c>
      <c r="W15">
        <v>6</v>
      </c>
      <c r="X15">
        <v>4</v>
      </c>
      <c r="Y15">
        <v>8</v>
      </c>
      <c r="Z15">
        <v>7</v>
      </c>
      <c r="AA15">
        <v>11</v>
      </c>
      <c r="AB15">
        <v>1</v>
      </c>
      <c r="AC15">
        <v>0</v>
      </c>
    </row>
    <row r="16" spans="1:29" x14ac:dyDescent="0.3">
      <c r="A16" t="s">
        <v>1818</v>
      </c>
      <c r="B16" t="s">
        <v>12</v>
      </c>
      <c r="C16">
        <v>206</v>
      </c>
      <c r="D16">
        <v>19</v>
      </c>
      <c r="E16">
        <v>18</v>
      </c>
      <c r="F16">
        <v>15</v>
      </c>
      <c r="G16">
        <v>19</v>
      </c>
      <c r="H16">
        <v>19</v>
      </c>
      <c r="I16">
        <v>20</v>
      </c>
      <c r="J16">
        <v>9</v>
      </c>
      <c r="K16">
        <v>9</v>
      </c>
      <c r="L16">
        <v>12</v>
      </c>
      <c r="M16">
        <v>3</v>
      </c>
      <c r="N16">
        <v>1</v>
      </c>
      <c r="O16">
        <v>2</v>
      </c>
      <c r="P16">
        <v>4</v>
      </c>
      <c r="Q16">
        <v>4</v>
      </c>
      <c r="R16">
        <v>4</v>
      </c>
      <c r="S16">
        <v>6</v>
      </c>
      <c r="T16">
        <v>4</v>
      </c>
      <c r="U16">
        <v>4</v>
      </c>
      <c r="V16">
        <v>3</v>
      </c>
      <c r="W16">
        <v>8</v>
      </c>
      <c r="X16">
        <v>3</v>
      </c>
      <c r="Y16">
        <v>3</v>
      </c>
      <c r="Z16">
        <v>2</v>
      </c>
      <c r="AA16">
        <v>6</v>
      </c>
      <c r="AB16">
        <v>7</v>
      </c>
      <c r="AC16">
        <v>2</v>
      </c>
    </row>
    <row r="17" spans="1:29" x14ac:dyDescent="0.3">
      <c r="A17" t="s">
        <v>1818</v>
      </c>
      <c r="B17" t="s">
        <v>30</v>
      </c>
      <c r="C17">
        <v>198</v>
      </c>
      <c r="D17">
        <v>16</v>
      </c>
      <c r="E17">
        <v>18</v>
      </c>
      <c r="F17">
        <v>11</v>
      </c>
      <c r="G17">
        <v>15</v>
      </c>
      <c r="H17">
        <v>12</v>
      </c>
      <c r="I17">
        <v>12</v>
      </c>
      <c r="J17">
        <v>6</v>
      </c>
      <c r="K17">
        <v>8</v>
      </c>
      <c r="L17">
        <v>8</v>
      </c>
      <c r="M17">
        <v>6</v>
      </c>
      <c r="N17">
        <v>6</v>
      </c>
      <c r="O17">
        <v>5</v>
      </c>
      <c r="P17">
        <v>7</v>
      </c>
      <c r="Q17">
        <v>2</v>
      </c>
      <c r="R17">
        <v>7</v>
      </c>
      <c r="S17">
        <v>7</v>
      </c>
      <c r="T17">
        <v>4</v>
      </c>
      <c r="U17">
        <v>8</v>
      </c>
      <c r="V17">
        <v>3</v>
      </c>
      <c r="W17">
        <v>2</v>
      </c>
      <c r="X17">
        <v>5</v>
      </c>
      <c r="Y17">
        <v>8</v>
      </c>
      <c r="Z17">
        <v>6</v>
      </c>
      <c r="AA17">
        <v>9</v>
      </c>
      <c r="AB17">
        <v>5</v>
      </c>
      <c r="AC17">
        <v>2</v>
      </c>
    </row>
    <row r="18" spans="1:29" x14ac:dyDescent="0.3">
      <c r="A18" t="s">
        <v>1818</v>
      </c>
      <c r="B18" t="s">
        <v>29</v>
      </c>
      <c r="C18">
        <v>189</v>
      </c>
      <c r="D18">
        <v>13</v>
      </c>
      <c r="E18">
        <v>13</v>
      </c>
      <c r="F18">
        <v>11</v>
      </c>
      <c r="G18">
        <v>11</v>
      </c>
      <c r="H18">
        <v>16</v>
      </c>
      <c r="I18">
        <v>11</v>
      </c>
      <c r="J18">
        <v>11</v>
      </c>
      <c r="K18">
        <v>10</v>
      </c>
      <c r="L18">
        <v>9</v>
      </c>
      <c r="M18">
        <v>6</v>
      </c>
      <c r="N18">
        <v>2</v>
      </c>
      <c r="O18">
        <v>5</v>
      </c>
      <c r="P18">
        <v>4</v>
      </c>
      <c r="Q18">
        <v>8</v>
      </c>
      <c r="R18">
        <v>5</v>
      </c>
      <c r="S18">
        <v>7</v>
      </c>
      <c r="T18">
        <v>7</v>
      </c>
      <c r="U18">
        <v>4</v>
      </c>
      <c r="V18">
        <v>2</v>
      </c>
      <c r="W18">
        <v>4</v>
      </c>
      <c r="X18">
        <v>6</v>
      </c>
      <c r="Y18">
        <v>4</v>
      </c>
      <c r="Z18">
        <v>3</v>
      </c>
      <c r="AA18">
        <v>9</v>
      </c>
      <c r="AB18">
        <v>5</v>
      </c>
      <c r="AC18">
        <v>3</v>
      </c>
    </row>
    <row r="19" spans="1:29" x14ac:dyDescent="0.3">
      <c r="A19" t="s">
        <v>1818</v>
      </c>
      <c r="B19" t="s">
        <v>22</v>
      </c>
      <c r="C19">
        <v>186</v>
      </c>
      <c r="D19">
        <v>17</v>
      </c>
      <c r="E19">
        <v>12</v>
      </c>
      <c r="F19">
        <v>14</v>
      </c>
      <c r="G19">
        <v>16</v>
      </c>
      <c r="H19">
        <v>17</v>
      </c>
      <c r="I19">
        <v>17</v>
      </c>
      <c r="J19">
        <v>17</v>
      </c>
      <c r="K19">
        <v>7</v>
      </c>
      <c r="L19">
        <v>7</v>
      </c>
      <c r="M19">
        <v>6</v>
      </c>
      <c r="N19">
        <v>7</v>
      </c>
      <c r="O19">
        <v>7</v>
      </c>
      <c r="P19">
        <v>2</v>
      </c>
      <c r="Q19">
        <v>3</v>
      </c>
      <c r="R19">
        <v>4</v>
      </c>
      <c r="S19">
        <v>2</v>
      </c>
      <c r="T19">
        <v>4</v>
      </c>
      <c r="U19">
        <v>3</v>
      </c>
      <c r="V19">
        <v>3</v>
      </c>
      <c r="W19">
        <v>2</v>
      </c>
      <c r="X19">
        <v>1</v>
      </c>
      <c r="Y19">
        <v>4</v>
      </c>
      <c r="Z19">
        <v>5</v>
      </c>
      <c r="AA19">
        <v>3</v>
      </c>
      <c r="AB19">
        <v>2</v>
      </c>
      <c r="AC19">
        <v>4</v>
      </c>
    </row>
    <row r="20" spans="1:29" x14ac:dyDescent="0.3">
      <c r="A20" t="s">
        <v>1818</v>
      </c>
      <c r="B20" t="s">
        <v>33</v>
      </c>
      <c r="C20">
        <v>185</v>
      </c>
      <c r="D20">
        <v>13</v>
      </c>
      <c r="E20">
        <v>10</v>
      </c>
      <c r="F20">
        <v>7</v>
      </c>
      <c r="G20">
        <v>18</v>
      </c>
      <c r="H20">
        <v>5</v>
      </c>
      <c r="I20">
        <v>12</v>
      </c>
      <c r="J20">
        <v>10</v>
      </c>
      <c r="K20">
        <v>9</v>
      </c>
      <c r="L20">
        <v>7</v>
      </c>
      <c r="M20">
        <v>6</v>
      </c>
      <c r="N20">
        <v>5</v>
      </c>
      <c r="O20">
        <v>5</v>
      </c>
      <c r="P20">
        <v>6</v>
      </c>
      <c r="Q20">
        <v>9</v>
      </c>
      <c r="R20">
        <v>3</v>
      </c>
      <c r="S20">
        <v>5</v>
      </c>
      <c r="T20">
        <v>6</v>
      </c>
      <c r="U20">
        <v>3</v>
      </c>
      <c r="V20">
        <v>9</v>
      </c>
      <c r="W20">
        <v>5</v>
      </c>
      <c r="X20">
        <v>9</v>
      </c>
      <c r="Y20">
        <v>3</v>
      </c>
      <c r="Z20">
        <v>9</v>
      </c>
      <c r="AA20">
        <v>7</v>
      </c>
      <c r="AB20">
        <v>2</v>
      </c>
      <c r="AC20">
        <v>2</v>
      </c>
    </row>
    <row r="21" spans="1:29" x14ac:dyDescent="0.3">
      <c r="A21" t="s">
        <v>1818</v>
      </c>
      <c r="B21" t="s">
        <v>17</v>
      </c>
      <c r="C21">
        <v>184</v>
      </c>
      <c r="D21">
        <v>13</v>
      </c>
      <c r="E21">
        <v>16</v>
      </c>
      <c r="F21">
        <v>14</v>
      </c>
      <c r="G21">
        <v>12</v>
      </c>
      <c r="H21">
        <v>13</v>
      </c>
      <c r="I21">
        <v>12</v>
      </c>
      <c r="J21">
        <v>7</v>
      </c>
      <c r="K21">
        <v>11</v>
      </c>
      <c r="L21">
        <v>6</v>
      </c>
      <c r="M21">
        <v>4</v>
      </c>
      <c r="N21">
        <v>5</v>
      </c>
      <c r="O21">
        <v>3</v>
      </c>
      <c r="P21">
        <v>7</v>
      </c>
      <c r="Q21">
        <v>2</v>
      </c>
      <c r="R21">
        <v>8</v>
      </c>
      <c r="S21">
        <v>5</v>
      </c>
      <c r="T21">
        <v>5</v>
      </c>
      <c r="U21">
        <v>7</v>
      </c>
      <c r="V21">
        <v>0</v>
      </c>
      <c r="W21">
        <v>3</v>
      </c>
      <c r="X21">
        <v>5</v>
      </c>
      <c r="Y21">
        <v>3</v>
      </c>
      <c r="Z21">
        <v>5</v>
      </c>
      <c r="AA21">
        <v>10</v>
      </c>
      <c r="AB21">
        <v>4</v>
      </c>
      <c r="AC21">
        <v>4</v>
      </c>
    </row>
    <row r="22" spans="1:29" x14ac:dyDescent="0.3">
      <c r="A22" t="s">
        <v>1818</v>
      </c>
      <c r="B22" t="s">
        <v>19</v>
      </c>
      <c r="C22">
        <v>182</v>
      </c>
      <c r="D22">
        <v>14</v>
      </c>
      <c r="E22">
        <v>10</v>
      </c>
      <c r="F22">
        <v>11</v>
      </c>
      <c r="G22">
        <v>18</v>
      </c>
      <c r="H22">
        <v>18</v>
      </c>
      <c r="I22">
        <v>15</v>
      </c>
      <c r="J22">
        <v>17</v>
      </c>
      <c r="K22">
        <v>7</v>
      </c>
      <c r="L22">
        <v>6</v>
      </c>
      <c r="M22">
        <v>7</v>
      </c>
      <c r="N22">
        <v>1</v>
      </c>
      <c r="O22">
        <v>3</v>
      </c>
      <c r="P22">
        <v>6</v>
      </c>
      <c r="Q22">
        <v>2</v>
      </c>
      <c r="R22">
        <v>6</v>
      </c>
      <c r="S22">
        <v>4</v>
      </c>
      <c r="T22">
        <v>5</v>
      </c>
      <c r="U22">
        <v>8</v>
      </c>
      <c r="V22">
        <v>4</v>
      </c>
      <c r="W22">
        <v>3</v>
      </c>
      <c r="X22">
        <v>1</v>
      </c>
      <c r="Y22">
        <v>0</v>
      </c>
      <c r="Z22">
        <v>2</v>
      </c>
      <c r="AA22">
        <v>7</v>
      </c>
      <c r="AB22">
        <v>4</v>
      </c>
      <c r="AC22">
        <v>3</v>
      </c>
    </row>
    <row r="23" spans="1:29" x14ac:dyDescent="0.3">
      <c r="A23" t="s">
        <v>1818</v>
      </c>
      <c r="B23" t="s">
        <v>28</v>
      </c>
      <c r="C23">
        <v>181</v>
      </c>
      <c r="D23">
        <v>13</v>
      </c>
      <c r="E23">
        <v>11</v>
      </c>
      <c r="F23">
        <v>10</v>
      </c>
      <c r="G23">
        <v>12</v>
      </c>
      <c r="H23">
        <v>9</v>
      </c>
      <c r="I23">
        <v>12</v>
      </c>
      <c r="J23">
        <v>7</v>
      </c>
      <c r="K23">
        <v>9</v>
      </c>
      <c r="L23">
        <v>5</v>
      </c>
      <c r="M23">
        <v>6</v>
      </c>
      <c r="N23">
        <v>5</v>
      </c>
      <c r="O23">
        <v>5</v>
      </c>
      <c r="P23">
        <v>4</v>
      </c>
      <c r="Q23">
        <v>8</v>
      </c>
      <c r="R23">
        <v>3</v>
      </c>
      <c r="S23">
        <v>7</v>
      </c>
      <c r="T23">
        <v>3</v>
      </c>
      <c r="U23">
        <v>7</v>
      </c>
      <c r="V23">
        <v>5</v>
      </c>
      <c r="W23">
        <v>6</v>
      </c>
      <c r="X23">
        <v>9</v>
      </c>
      <c r="Y23">
        <v>2</v>
      </c>
      <c r="Z23">
        <v>5</v>
      </c>
      <c r="AA23">
        <v>8</v>
      </c>
      <c r="AB23">
        <v>6</v>
      </c>
      <c r="AC23">
        <v>4</v>
      </c>
    </row>
    <row r="24" spans="1:29" x14ac:dyDescent="0.3">
      <c r="A24" t="s">
        <v>1818</v>
      </c>
      <c r="B24" t="s">
        <v>36</v>
      </c>
      <c r="C24">
        <v>170</v>
      </c>
      <c r="D24">
        <v>12</v>
      </c>
      <c r="E24">
        <v>13</v>
      </c>
      <c r="F24">
        <v>10</v>
      </c>
      <c r="G24">
        <v>10</v>
      </c>
      <c r="H24">
        <v>12</v>
      </c>
      <c r="I24">
        <v>9</v>
      </c>
      <c r="J24">
        <v>11</v>
      </c>
      <c r="K24">
        <v>11</v>
      </c>
      <c r="L24">
        <v>5</v>
      </c>
      <c r="M24">
        <v>6</v>
      </c>
      <c r="N24">
        <v>6</v>
      </c>
      <c r="O24">
        <v>3</v>
      </c>
      <c r="P24">
        <v>4</v>
      </c>
      <c r="Q24">
        <v>5</v>
      </c>
      <c r="R24">
        <v>6</v>
      </c>
      <c r="S24">
        <v>8</v>
      </c>
      <c r="T24">
        <v>3</v>
      </c>
      <c r="U24">
        <v>7</v>
      </c>
      <c r="V24">
        <v>4</v>
      </c>
      <c r="W24">
        <v>1</v>
      </c>
      <c r="X24">
        <v>4</v>
      </c>
      <c r="Y24">
        <v>5</v>
      </c>
      <c r="Z24">
        <v>4</v>
      </c>
      <c r="AA24">
        <v>6</v>
      </c>
      <c r="AB24">
        <v>3</v>
      </c>
      <c r="AC24">
        <v>2</v>
      </c>
    </row>
    <row r="25" spans="1:29" x14ac:dyDescent="0.3">
      <c r="A25" t="s">
        <v>1818</v>
      </c>
      <c r="B25" t="s">
        <v>43</v>
      </c>
      <c r="C25">
        <v>168</v>
      </c>
      <c r="D25">
        <v>13</v>
      </c>
      <c r="E25">
        <v>16</v>
      </c>
      <c r="F25">
        <v>9</v>
      </c>
      <c r="G25">
        <v>9</v>
      </c>
      <c r="H25">
        <v>15</v>
      </c>
      <c r="I25">
        <v>16</v>
      </c>
      <c r="J25">
        <v>14</v>
      </c>
      <c r="K25">
        <v>9</v>
      </c>
      <c r="L25">
        <v>3</v>
      </c>
      <c r="M25">
        <v>7</v>
      </c>
      <c r="N25">
        <v>1</v>
      </c>
      <c r="O25">
        <v>7</v>
      </c>
      <c r="P25">
        <v>6</v>
      </c>
      <c r="Q25">
        <v>3</v>
      </c>
      <c r="R25">
        <v>4</v>
      </c>
      <c r="S25">
        <v>1</v>
      </c>
      <c r="T25">
        <v>7</v>
      </c>
      <c r="U25">
        <v>8</v>
      </c>
      <c r="V25">
        <v>3</v>
      </c>
      <c r="W25">
        <v>2</v>
      </c>
      <c r="X25">
        <v>0</v>
      </c>
      <c r="Y25">
        <v>0</v>
      </c>
      <c r="Z25">
        <v>4</v>
      </c>
      <c r="AA25">
        <v>4</v>
      </c>
      <c r="AB25">
        <v>5</v>
      </c>
      <c r="AC25">
        <v>2</v>
      </c>
    </row>
    <row r="26" spans="1:29" x14ac:dyDescent="0.3">
      <c r="A26" t="s">
        <v>1818</v>
      </c>
      <c r="B26" t="s">
        <v>51</v>
      </c>
      <c r="C26">
        <v>166</v>
      </c>
      <c r="D26">
        <v>12</v>
      </c>
      <c r="E26">
        <v>13</v>
      </c>
      <c r="F26">
        <v>6</v>
      </c>
      <c r="G26">
        <v>12</v>
      </c>
      <c r="H26">
        <v>9</v>
      </c>
      <c r="I26">
        <v>9</v>
      </c>
      <c r="J26">
        <v>9</v>
      </c>
      <c r="K26">
        <v>11</v>
      </c>
      <c r="L26">
        <v>5</v>
      </c>
      <c r="M26">
        <v>3</v>
      </c>
      <c r="N26">
        <v>6</v>
      </c>
      <c r="O26">
        <v>6</v>
      </c>
      <c r="P26">
        <v>9</v>
      </c>
      <c r="Q26">
        <v>5</v>
      </c>
      <c r="R26">
        <v>6</v>
      </c>
      <c r="S26">
        <v>7</v>
      </c>
      <c r="T26">
        <v>1</v>
      </c>
      <c r="U26">
        <v>7</v>
      </c>
      <c r="V26">
        <v>5</v>
      </c>
      <c r="W26">
        <v>2</v>
      </c>
      <c r="X26">
        <v>3</v>
      </c>
      <c r="Y26">
        <v>1</v>
      </c>
      <c r="Z26">
        <v>4</v>
      </c>
      <c r="AA26">
        <v>9</v>
      </c>
      <c r="AB26">
        <v>5</v>
      </c>
      <c r="AC26">
        <v>1</v>
      </c>
    </row>
    <row r="27" spans="1:29" x14ac:dyDescent="0.3">
      <c r="A27" t="s">
        <v>1818</v>
      </c>
      <c r="B27" t="s">
        <v>16</v>
      </c>
      <c r="C27">
        <v>162</v>
      </c>
      <c r="D27">
        <v>9</v>
      </c>
      <c r="E27">
        <v>6</v>
      </c>
      <c r="F27">
        <v>13</v>
      </c>
      <c r="G27">
        <v>14</v>
      </c>
      <c r="H27">
        <v>6</v>
      </c>
      <c r="I27">
        <v>13</v>
      </c>
      <c r="J27">
        <v>6</v>
      </c>
      <c r="K27">
        <v>3</v>
      </c>
      <c r="L27">
        <v>10</v>
      </c>
      <c r="M27">
        <v>6</v>
      </c>
      <c r="N27">
        <v>0</v>
      </c>
      <c r="O27">
        <v>2</v>
      </c>
      <c r="P27">
        <v>4</v>
      </c>
      <c r="Q27">
        <v>5</v>
      </c>
      <c r="R27">
        <v>5</v>
      </c>
      <c r="S27">
        <v>8</v>
      </c>
      <c r="T27">
        <v>7</v>
      </c>
      <c r="U27">
        <v>4</v>
      </c>
      <c r="V27">
        <v>10</v>
      </c>
      <c r="W27">
        <v>4</v>
      </c>
      <c r="X27">
        <v>7</v>
      </c>
      <c r="Y27">
        <v>5</v>
      </c>
      <c r="Z27">
        <v>4</v>
      </c>
      <c r="AA27">
        <v>4</v>
      </c>
      <c r="AB27">
        <v>5</v>
      </c>
      <c r="AC27">
        <v>2</v>
      </c>
    </row>
    <row r="28" spans="1:29" x14ac:dyDescent="0.3">
      <c r="A28" t="s">
        <v>1818</v>
      </c>
      <c r="B28" t="s">
        <v>26</v>
      </c>
      <c r="C28">
        <v>149</v>
      </c>
      <c r="D28">
        <v>16</v>
      </c>
      <c r="E28">
        <v>6</v>
      </c>
      <c r="F28">
        <v>12</v>
      </c>
      <c r="G28">
        <v>5</v>
      </c>
      <c r="H28">
        <v>11</v>
      </c>
      <c r="I28">
        <v>9</v>
      </c>
      <c r="J28">
        <v>10</v>
      </c>
      <c r="K28">
        <v>5</v>
      </c>
      <c r="L28">
        <v>6</v>
      </c>
      <c r="M28">
        <v>2</v>
      </c>
      <c r="N28">
        <v>7</v>
      </c>
      <c r="O28">
        <v>2</v>
      </c>
      <c r="P28">
        <v>8</v>
      </c>
      <c r="Q28">
        <v>2</v>
      </c>
      <c r="R28">
        <v>5</v>
      </c>
      <c r="S28">
        <v>4</v>
      </c>
      <c r="T28">
        <v>1</v>
      </c>
      <c r="U28">
        <v>4</v>
      </c>
      <c r="V28">
        <v>2</v>
      </c>
      <c r="W28">
        <v>2</v>
      </c>
      <c r="X28">
        <v>5</v>
      </c>
      <c r="Y28">
        <v>7</v>
      </c>
      <c r="Z28">
        <v>10</v>
      </c>
      <c r="AA28">
        <v>8</v>
      </c>
      <c r="AB28">
        <v>0</v>
      </c>
      <c r="AC28">
        <v>0</v>
      </c>
    </row>
    <row r="29" spans="1:29" x14ac:dyDescent="0.3">
      <c r="A29" t="s">
        <v>1818</v>
      </c>
      <c r="B29" t="s">
        <v>48</v>
      </c>
      <c r="C29">
        <v>149</v>
      </c>
      <c r="D29">
        <v>9</v>
      </c>
      <c r="E29">
        <v>13</v>
      </c>
      <c r="F29">
        <v>7</v>
      </c>
      <c r="G29">
        <v>12</v>
      </c>
      <c r="H29">
        <v>7</v>
      </c>
      <c r="I29">
        <v>10</v>
      </c>
      <c r="J29">
        <v>8</v>
      </c>
      <c r="K29">
        <v>5</v>
      </c>
      <c r="L29">
        <v>2</v>
      </c>
      <c r="M29">
        <v>4</v>
      </c>
      <c r="N29">
        <v>2</v>
      </c>
      <c r="O29">
        <v>7</v>
      </c>
      <c r="P29">
        <v>7</v>
      </c>
      <c r="Q29">
        <v>6</v>
      </c>
      <c r="R29">
        <v>8</v>
      </c>
      <c r="S29">
        <v>10</v>
      </c>
      <c r="T29">
        <v>1</v>
      </c>
      <c r="U29">
        <v>6</v>
      </c>
      <c r="V29">
        <v>5</v>
      </c>
      <c r="W29">
        <v>2</v>
      </c>
      <c r="X29">
        <v>3</v>
      </c>
      <c r="Y29">
        <v>1</v>
      </c>
      <c r="Z29">
        <v>3</v>
      </c>
      <c r="AA29">
        <v>6</v>
      </c>
      <c r="AB29">
        <v>4</v>
      </c>
      <c r="AC29">
        <v>1</v>
      </c>
    </row>
    <row r="30" spans="1:29" x14ac:dyDescent="0.3">
      <c r="A30" t="s">
        <v>1818</v>
      </c>
      <c r="B30" t="s">
        <v>35</v>
      </c>
      <c r="C30">
        <v>148</v>
      </c>
      <c r="D30">
        <v>8</v>
      </c>
      <c r="E30">
        <v>7</v>
      </c>
      <c r="F30">
        <v>11</v>
      </c>
      <c r="G30">
        <v>6</v>
      </c>
      <c r="H30">
        <v>9</v>
      </c>
      <c r="I30">
        <v>14</v>
      </c>
      <c r="J30">
        <v>9</v>
      </c>
      <c r="K30">
        <v>10</v>
      </c>
      <c r="L30">
        <v>6</v>
      </c>
      <c r="M30">
        <v>6</v>
      </c>
      <c r="N30">
        <v>4</v>
      </c>
      <c r="O30">
        <v>5</v>
      </c>
      <c r="P30">
        <v>5</v>
      </c>
      <c r="Q30">
        <v>4</v>
      </c>
      <c r="R30">
        <v>4</v>
      </c>
      <c r="S30">
        <v>3</v>
      </c>
      <c r="T30">
        <v>6</v>
      </c>
      <c r="U30">
        <v>8</v>
      </c>
      <c r="V30">
        <v>6</v>
      </c>
      <c r="W30">
        <v>2</v>
      </c>
      <c r="X30">
        <v>4</v>
      </c>
      <c r="Y30">
        <v>0</v>
      </c>
      <c r="Z30">
        <v>2</v>
      </c>
      <c r="AA30">
        <v>2</v>
      </c>
      <c r="AB30">
        <v>6</v>
      </c>
      <c r="AC30">
        <v>1</v>
      </c>
    </row>
    <row r="31" spans="1:29" x14ac:dyDescent="0.3">
      <c r="A31" t="s">
        <v>1818</v>
      </c>
      <c r="B31" t="s">
        <v>25</v>
      </c>
      <c r="C31">
        <v>146</v>
      </c>
      <c r="D31">
        <v>19</v>
      </c>
      <c r="E31">
        <v>5</v>
      </c>
      <c r="F31">
        <v>7</v>
      </c>
      <c r="G31">
        <v>7</v>
      </c>
      <c r="H31">
        <v>13</v>
      </c>
      <c r="I31">
        <v>7</v>
      </c>
      <c r="J31">
        <v>10</v>
      </c>
      <c r="K31">
        <v>9</v>
      </c>
      <c r="L31">
        <v>3</v>
      </c>
      <c r="M31">
        <v>4</v>
      </c>
      <c r="N31">
        <v>4</v>
      </c>
      <c r="O31">
        <v>2</v>
      </c>
      <c r="P31">
        <v>3</v>
      </c>
      <c r="Q31">
        <v>4</v>
      </c>
      <c r="R31">
        <v>10</v>
      </c>
      <c r="S31">
        <v>5</v>
      </c>
      <c r="T31">
        <v>4</v>
      </c>
      <c r="U31">
        <v>7</v>
      </c>
      <c r="V31">
        <v>1</v>
      </c>
      <c r="W31">
        <v>1</v>
      </c>
      <c r="X31">
        <v>7</v>
      </c>
      <c r="Y31">
        <v>6</v>
      </c>
      <c r="Z31">
        <v>7</v>
      </c>
      <c r="AA31">
        <v>1</v>
      </c>
      <c r="AB31">
        <v>0</v>
      </c>
      <c r="AC31">
        <v>0</v>
      </c>
    </row>
    <row r="32" spans="1:29" x14ac:dyDescent="0.3">
      <c r="A32" t="s">
        <v>1818</v>
      </c>
      <c r="B32" t="s">
        <v>20</v>
      </c>
      <c r="C32">
        <v>146</v>
      </c>
      <c r="D32">
        <v>8</v>
      </c>
      <c r="E32">
        <v>8</v>
      </c>
      <c r="F32">
        <v>10</v>
      </c>
      <c r="G32">
        <v>12</v>
      </c>
      <c r="H32">
        <v>7</v>
      </c>
      <c r="I32">
        <v>11</v>
      </c>
      <c r="J32">
        <v>9</v>
      </c>
      <c r="K32">
        <v>4</v>
      </c>
      <c r="L32">
        <v>10</v>
      </c>
      <c r="M32">
        <v>6</v>
      </c>
      <c r="N32">
        <v>0</v>
      </c>
      <c r="O32">
        <v>1</v>
      </c>
      <c r="P32">
        <v>5</v>
      </c>
      <c r="Q32">
        <v>3</v>
      </c>
      <c r="R32">
        <v>3</v>
      </c>
      <c r="S32">
        <v>7</v>
      </c>
      <c r="T32">
        <v>8</v>
      </c>
      <c r="U32">
        <v>5</v>
      </c>
      <c r="V32">
        <v>6</v>
      </c>
      <c r="W32">
        <v>3</v>
      </c>
      <c r="X32">
        <v>3</v>
      </c>
      <c r="Y32">
        <v>4</v>
      </c>
      <c r="Z32">
        <v>4</v>
      </c>
      <c r="AA32">
        <v>5</v>
      </c>
      <c r="AB32">
        <v>2</v>
      </c>
      <c r="AC32">
        <v>2</v>
      </c>
    </row>
    <row r="33" spans="1:29" x14ac:dyDescent="0.3">
      <c r="A33" t="s">
        <v>1818</v>
      </c>
      <c r="B33" t="s">
        <v>42</v>
      </c>
      <c r="C33">
        <v>144</v>
      </c>
      <c r="D33">
        <v>10</v>
      </c>
      <c r="E33">
        <v>9</v>
      </c>
      <c r="F33">
        <v>10</v>
      </c>
      <c r="G33">
        <v>5</v>
      </c>
      <c r="H33">
        <v>10</v>
      </c>
      <c r="I33">
        <v>10</v>
      </c>
      <c r="J33">
        <v>10</v>
      </c>
      <c r="K33">
        <v>10</v>
      </c>
      <c r="L33">
        <v>7</v>
      </c>
      <c r="M33">
        <v>6</v>
      </c>
      <c r="N33">
        <v>5</v>
      </c>
      <c r="O33">
        <v>2</v>
      </c>
      <c r="P33">
        <v>2</v>
      </c>
      <c r="Q33">
        <v>4</v>
      </c>
      <c r="R33">
        <v>7</v>
      </c>
      <c r="S33">
        <v>3</v>
      </c>
      <c r="T33">
        <v>4</v>
      </c>
      <c r="U33">
        <v>4</v>
      </c>
      <c r="V33">
        <v>4</v>
      </c>
      <c r="W33">
        <v>4</v>
      </c>
      <c r="X33">
        <v>3</v>
      </c>
      <c r="Y33">
        <v>6</v>
      </c>
      <c r="Z33">
        <v>3</v>
      </c>
      <c r="AA33">
        <v>2</v>
      </c>
      <c r="AB33">
        <v>3</v>
      </c>
      <c r="AC33">
        <v>1</v>
      </c>
    </row>
    <row r="34" spans="1:29" x14ac:dyDescent="0.3">
      <c r="A34" t="s">
        <v>1818</v>
      </c>
      <c r="B34" t="s">
        <v>38</v>
      </c>
      <c r="C34">
        <v>144</v>
      </c>
      <c r="D34">
        <v>19</v>
      </c>
      <c r="E34">
        <v>13</v>
      </c>
      <c r="F34">
        <v>8</v>
      </c>
      <c r="G34">
        <v>5</v>
      </c>
      <c r="H34">
        <v>12</v>
      </c>
      <c r="I34">
        <v>7</v>
      </c>
      <c r="J34">
        <v>6</v>
      </c>
      <c r="K34">
        <v>8</v>
      </c>
      <c r="L34">
        <v>3</v>
      </c>
      <c r="M34">
        <v>3</v>
      </c>
      <c r="N34">
        <v>1</v>
      </c>
      <c r="O34">
        <v>7</v>
      </c>
      <c r="P34">
        <v>4</v>
      </c>
      <c r="Q34">
        <v>8</v>
      </c>
      <c r="R34">
        <v>7</v>
      </c>
      <c r="S34">
        <v>5</v>
      </c>
      <c r="T34">
        <v>4</v>
      </c>
      <c r="U34">
        <v>5</v>
      </c>
      <c r="V34">
        <v>0</v>
      </c>
      <c r="W34">
        <v>1</v>
      </c>
      <c r="X34">
        <v>3</v>
      </c>
      <c r="Y34">
        <v>1</v>
      </c>
      <c r="Z34">
        <v>2</v>
      </c>
      <c r="AA34">
        <v>8</v>
      </c>
      <c r="AB34">
        <v>1</v>
      </c>
      <c r="AC34">
        <v>3</v>
      </c>
    </row>
    <row r="35" spans="1:29" x14ac:dyDescent="0.3">
      <c r="A35" t="s">
        <v>1818</v>
      </c>
      <c r="B35" t="s">
        <v>24</v>
      </c>
      <c r="C35">
        <v>133</v>
      </c>
      <c r="D35">
        <v>18</v>
      </c>
      <c r="E35">
        <v>10</v>
      </c>
      <c r="F35">
        <v>8</v>
      </c>
      <c r="G35">
        <v>5</v>
      </c>
      <c r="H35">
        <v>6</v>
      </c>
      <c r="I35">
        <v>9</v>
      </c>
      <c r="J35">
        <v>7</v>
      </c>
      <c r="K35">
        <v>7</v>
      </c>
      <c r="L35">
        <v>4</v>
      </c>
      <c r="M35">
        <v>6</v>
      </c>
      <c r="N35">
        <v>3</v>
      </c>
      <c r="O35">
        <v>1</v>
      </c>
      <c r="P35">
        <v>2</v>
      </c>
      <c r="Q35">
        <v>5</v>
      </c>
      <c r="R35">
        <v>3</v>
      </c>
      <c r="S35">
        <v>4</v>
      </c>
      <c r="T35">
        <v>7</v>
      </c>
      <c r="U35">
        <v>2</v>
      </c>
      <c r="V35">
        <v>8</v>
      </c>
      <c r="W35">
        <v>4</v>
      </c>
      <c r="X35">
        <v>2</v>
      </c>
      <c r="Y35">
        <v>6</v>
      </c>
      <c r="Z35">
        <v>6</v>
      </c>
      <c r="AA35">
        <v>0</v>
      </c>
      <c r="AB35">
        <v>0</v>
      </c>
      <c r="AC35">
        <v>0</v>
      </c>
    </row>
    <row r="36" spans="1:29" x14ac:dyDescent="0.3">
      <c r="A36" t="s">
        <v>1818</v>
      </c>
      <c r="B36" t="s">
        <v>18</v>
      </c>
      <c r="C36">
        <v>130</v>
      </c>
      <c r="D36">
        <v>10</v>
      </c>
      <c r="E36">
        <v>4</v>
      </c>
      <c r="F36">
        <v>10</v>
      </c>
      <c r="G36">
        <v>5</v>
      </c>
      <c r="H36">
        <v>14</v>
      </c>
      <c r="I36">
        <v>4</v>
      </c>
      <c r="J36">
        <v>10</v>
      </c>
      <c r="K36">
        <v>6</v>
      </c>
      <c r="L36">
        <v>5</v>
      </c>
      <c r="M36">
        <v>4</v>
      </c>
      <c r="N36">
        <v>10</v>
      </c>
      <c r="O36">
        <v>2</v>
      </c>
      <c r="P36">
        <v>4</v>
      </c>
      <c r="Q36">
        <v>2</v>
      </c>
      <c r="R36">
        <v>2</v>
      </c>
      <c r="S36">
        <v>6</v>
      </c>
      <c r="T36">
        <v>2</v>
      </c>
      <c r="U36">
        <v>5</v>
      </c>
      <c r="V36">
        <v>2</v>
      </c>
      <c r="W36">
        <v>4</v>
      </c>
      <c r="X36">
        <v>4</v>
      </c>
      <c r="Y36">
        <v>7</v>
      </c>
      <c r="Z36">
        <v>6</v>
      </c>
      <c r="AA36">
        <v>2</v>
      </c>
      <c r="AB36">
        <v>0</v>
      </c>
      <c r="AC36">
        <v>0</v>
      </c>
    </row>
    <row r="37" spans="1:29" x14ac:dyDescent="0.3">
      <c r="A37" t="s">
        <v>1818</v>
      </c>
      <c r="B37" t="s">
        <v>32</v>
      </c>
      <c r="C37">
        <v>128</v>
      </c>
      <c r="D37">
        <v>11</v>
      </c>
      <c r="E37">
        <v>12</v>
      </c>
      <c r="F37">
        <v>9</v>
      </c>
      <c r="G37">
        <v>11</v>
      </c>
      <c r="H37">
        <v>7</v>
      </c>
      <c r="I37">
        <v>8</v>
      </c>
      <c r="J37">
        <v>3</v>
      </c>
      <c r="K37">
        <v>3</v>
      </c>
      <c r="L37">
        <v>3</v>
      </c>
      <c r="M37">
        <v>6</v>
      </c>
      <c r="N37">
        <v>6</v>
      </c>
      <c r="O37">
        <v>3</v>
      </c>
      <c r="P37">
        <v>2</v>
      </c>
      <c r="Q37">
        <v>4</v>
      </c>
      <c r="R37">
        <v>3</v>
      </c>
      <c r="S37">
        <v>2</v>
      </c>
      <c r="T37">
        <v>3</v>
      </c>
      <c r="U37">
        <v>5</v>
      </c>
      <c r="V37">
        <v>6</v>
      </c>
      <c r="W37">
        <v>2</v>
      </c>
      <c r="X37">
        <v>1</v>
      </c>
      <c r="Y37">
        <v>5</v>
      </c>
      <c r="Z37">
        <v>2</v>
      </c>
      <c r="AA37">
        <v>6</v>
      </c>
      <c r="AB37">
        <v>4</v>
      </c>
      <c r="AC37">
        <v>1</v>
      </c>
    </row>
    <row r="38" spans="1:29" x14ac:dyDescent="0.3">
      <c r="A38" t="s">
        <v>1818</v>
      </c>
      <c r="B38" t="s">
        <v>60</v>
      </c>
      <c r="C38">
        <v>125</v>
      </c>
      <c r="D38">
        <v>11</v>
      </c>
      <c r="E38">
        <v>6</v>
      </c>
      <c r="F38">
        <v>6</v>
      </c>
      <c r="G38">
        <v>14</v>
      </c>
      <c r="H38">
        <v>10</v>
      </c>
      <c r="I38">
        <v>11</v>
      </c>
      <c r="J38">
        <v>8</v>
      </c>
      <c r="K38">
        <v>2</v>
      </c>
      <c r="L38">
        <v>10</v>
      </c>
      <c r="M38">
        <v>3</v>
      </c>
      <c r="N38">
        <v>3</v>
      </c>
      <c r="O38">
        <v>3</v>
      </c>
      <c r="P38">
        <v>3</v>
      </c>
      <c r="Q38">
        <v>1</v>
      </c>
      <c r="R38">
        <v>3</v>
      </c>
      <c r="S38">
        <v>3</v>
      </c>
      <c r="T38">
        <v>5</v>
      </c>
      <c r="U38">
        <v>3</v>
      </c>
      <c r="V38">
        <v>0</v>
      </c>
      <c r="W38">
        <v>2</v>
      </c>
      <c r="X38">
        <v>4</v>
      </c>
      <c r="Y38">
        <v>1</v>
      </c>
      <c r="Z38">
        <v>2</v>
      </c>
      <c r="AA38">
        <v>4</v>
      </c>
      <c r="AB38">
        <v>6</v>
      </c>
      <c r="AC38">
        <v>1</v>
      </c>
    </row>
    <row r="39" spans="1:29" x14ac:dyDescent="0.3">
      <c r="A39" t="s">
        <v>1818</v>
      </c>
      <c r="B39" t="s">
        <v>47</v>
      </c>
      <c r="C39">
        <v>122</v>
      </c>
      <c r="D39">
        <v>11</v>
      </c>
      <c r="E39">
        <v>8</v>
      </c>
      <c r="F39">
        <v>6</v>
      </c>
      <c r="G39">
        <v>12</v>
      </c>
      <c r="H39">
        <v>2</v>
      </c>
      <c r="I39">
        <v>3</v>
      </c>
      <c r="J39">
        <v>9</v>
      </c>
      <c r="K39">
        <v>6</v>
      </c>
      <c r="L39">
        <v>7</v>
      </c>
      <c r="M39">
        <v>4</v>
      </c>
      <c r="N39">
        <v>4</v>
      </c>
      <c r="O39">
        <v>5</v>
      </c>
      <c r="P39">
        <v>6</v>
      </c>
      <c r="Q39">
        <v>4</v>
      </c>
      <c r="R39">
        <v>4</v>
      </c>
      <c r="S39">
        <v>3</v>
      </c>
      <c r="T39">
        <v>2</v>
      </c>
      <c r="U39">
        <v>4</v>
      </c>
      <c r="V39">
        <v>2</v>
      </c>
      <c r="W39">
        <v>2</v>
      </c>
      <c r="X39">
        <v>2</v>
      </c>
      <c r="Y39">
        <v>1</v>
      </c>
      <c r="Z39">
        <v>9</v>
      </c>
      <c r="AA39">
        <v>3</v>
      </c>
      <c r="AB39">
        <v>2</v>
      </c>
      <c r="AC39">
        <v>1</v>
      </c>
    </row>
    <row r="40" spans="1:29" x14ac:dyDescent="0.3">
      <c r="A40" t="s">
        <v>1818</v>
      </c>
      <c r="B40" t="s">
        <v>34</v>
      </c>
      <c r="C40">
        <v>118</v>
      </c>
      <c r="D40">
        <v>15</v>
      </c>
      <c r="E40">
        <v>7</v>
      </c>
      <c r="F40">
        <v>8</v>
      </c>
      <c r="G40">
        <v>7</v>
      </c>
      <c r="H40">
        <v>10</v>
      </c>
      <c r="I40">
        <v>8</v>
      </c>
      <c r="J40">
        <v>8</v>
      </c>
      <c r="K40">
        <v>6</v>
      </c>
      <c r="L40">
        <v>5</v>
      </c>
      <c r="M40">
        <v>4</v>
      </c>
      <c r="N40">
        <v>4</v>
      </c>
      <c r="O40">
        <v>2</v>
      </c>
      <c r="P40">
        <v>3</v>
      </c>
      <c r="Q40">
        <v>3</v>
      </c>
      <c r="R40">
        <v>3</v>
      </c>
      <c r="S40">
        <v>4</v>
      </c>
      <c r="T40">
        <v>3</v>
      </c>
      <c r="U40">
        <v>3</v>
      </c>
      <c r="V40">
        <v>3</v>
      </c>
      <c r="W40">
        <v>1</v>
      </c>
      <c r="X40">
        <v>1</v>
      </c>
      <c r="Y40">
        <v>0</v>
      </c>
      <c r="Z40">
        <v>2</v>
      </c>
      <c r="AA40">
        <v>2</v>
      </c>
      <c r="AB40">
        <v>4</v>
      </c>
      <c r="AC40">
        <v>2</v>
      </c>
    </row>
    <row r="41" spans="1:29" x14ac:dyDescent="0.3">
      <c r="A41" t="s">
        <v>1818</v>
      </c>
      <c r="B41" t="s">
        <v>44</v>
      </c>
      <c r="C41">
        <v>115</v>
      </c>
      <c r="D41">
        <v>11</v>
      </c>
      <c r="E41">
        <v>7</v>
      </c>
      <c r="F41">
        <v>9</v>
      </c>
      <c r="G41">
        <v>7</v>
      </c>
      <c r="H41">
        <v>10</v>
      </c>
      <c r="I41">
        <v>9</v>
      </c>
      <c r="J41">
        <v>10</v>
      </c>
      <c r="K41">
        <v>3</v>
      </c>
      <c r="L41">
        <v>7</v>
      </c>
      <c r="M41">
        <v>4</v>
      </c>
      <c r="N41">
        <v>2</v>
      </c>
      <c r="O41">
        <v>2</v>
      </c>
      <c r="P41">
        <v>2</v>
      </c>
      <c r="Q41">
        <v>4</v>
      </c>
      <c r="R41">
        <v>4</v>
      </c>
      <c r="S41">
        <v>2</v>
      </c>
      <c r="T41">
        <v>3</v>
      </c>
      <c r="U41">
        <v>2</v>
      </c>
      <c r="V41">
        <v>1</v>
      </c>
      <c r="W41">
        <v>2</v>
      </c>
      <c r="X41">
        <v>2</v>
      </c>
      <c r="Y41">
        <v>0</v>
      </c>
      <c r="Z41">
        <v>5</v>
      </c>
      <c r="AA41">
        <v>2</v>
      </c>
      <c r="AB41">
        <v>3</v>
      </c>
      <c r="AC41">
        <v>2</v>
      </c>
    </row>
    <row r="42" spans="1:29" x14ac:dyDescent="0.3">
      <c r="A42" t="s">
        <v>1818</v>
      </c>
      <c r="B42" t="s">
        <v>119</v>
      </c>
      <c r="C42">
        <v>114</v>
      </c>
      <c r="D42">
        <v>14</v>
      </c>
      <c r="E42">
        <v>10</v>
      </c>
      <c r="F42">
        <v>7</v>
      </c>
      <c r="G42">
        <v>6</v>
      </c>
      <c r="H42">
        <v>10</v>
      </c>
      <c r="I42">
        <v>8</v>
      </c>
      <c r="J42">
        <v>5</v>
      </c>
      <c r="K42">
        <v>5</v>
      </c>
      <c r="L42">
        <v>5</v>
      </c>
      <c r="M42">
        <v>8</v>
      </c>
      <c r="N42">
        <v>4</v>
      </c>
      <c r="O42">
        <v>1</v>
      </c>
      <c r="P42">
        <v>2</v>
      </c>
      <c r="Q42">
        <v>7</v>
      </c>
      <c r="R42">
        <v>2</v>
      </c>
      <c r="S42">
        <v>1</v>
      </c>
      <c r="T42">
        <v>2</v>
      </c>
      <c r="U42">
        <v>3</v>
      </c>
      <c r="V42">
        <v>4</v>
      </c>
      <c r="W42">
        <v>1</v>
      </c>
      <c r="X42">
        <v>0</v>
      </c>
      <c r="Y42">
        <v>1</v>
      </c>
      <c r="Z42">
        <v>3</v>
      </c>
      <c r="AA42">
        <v>2</v>
      </c>
      <c r="AB42">
        <v>2</v>
      </c>
      <c r="AC42">
        <v>1</v>
      </c>
    </row>
    <row r="43" spans="1:29" x14ac:dyDescent="0.3">
      <c r="A43" t="s">
        <v>1818</v>
      </c>
      <c r="B43" t="s">
        <v>58</v>
      </c>
      <c r="C43">
        <v>112</v>
      </c>
      <c r="D43">
        <v>8</v>
      </c>
      <c r="E43">
        <v>6</v>
      </c>
      <c r="F43">
        <v>6</v>
      </c>
      <c r="G43">
        <v>8</v>
      </c>
      <c r="H43">
        <v>14</v>
      </c>
      <c r="I43">
        <v>10</v>
      </c>
      <c r="J43">
        <v>7</v>
      </c>
      <c r="K43">
        <v>2</v>
      </c>
      <c r="L43">
        <v>6</v>
      </c>
      <c r="M43">
        <v>4</v>
      </c>
      <c r="N43">
        <v>2</v>
      </c>
      <c r="O43">
        <v>1</v>
      </c>
      <c r="P43">
        <v>3</v>
      </c>
      <c r="Q43">
        <v>5</v>
      </c>
      <c r="R43">
        <v>3</v>
      </c>
      <c r="S43">
        <v>1</v>
      </c>
      <c r="T43">
        <v>4</v>
      </c>
      <c r="U43">
        <v>1</v>
      </c>
      <c r="V43">
        <v>5</v>
      </c>
      <c r="W43">
        <v>4</v>
      </c>
      <c r="X43">
        <v>0</v>
      </c>
      <c r="Y43">
        <v>0</v>
      </c>
      <c r="Z43">
        <v>2</v>
      </c>
      <c r="AA43">
        <v>4</v>
      </c>
      <c r="AB43">
        <v>5</v>
      </c>
      <c r="AC43">
        <v>1</v>
      </c>
    </row>
    <row r="44" spans="1:29" x14ac:dyDescent="0.3">
      <c r="A44" t="s">
        <v>1818</v>
      </c>
      <c r="B44" t="s">
        <v>50</v>
      </c>
      <c r="C44">
        <v>107</v>
      </c>
      <c r="D44">
        <v>9</v>
      </c>
      <c r="E44">
        <v>5</v>
      </c>
      <c r="F44">
        <v>5</v>
      </c>
      <c r="G44">
        <v>5</v>
      </c>
      <c r="H44">
        <v>8</v>
      </c>
      <c r="I44">
        <v>6</v>
      </c>
      <c r="J44">
        <v>6</v>
      </c>
      <c r="K44">
        <v>8</v>
      </c>
      <c r="L44">
        <v>1</v>
      </c>
      <c r="M44">
        <v>0</v>
      </c>
      <c r="N44">
        <v>4</v>
      </c>
      <c r="O44">
        <v>4</v>
      </c>
      <c r="P44">
        <v>1</v>
      </c>
      <c r="Q44">
        <v>4</v>
      </c>
      <c r="R44">
        <v>4</v>
      </c>
      <c r="S44">
        <v>4</v>
      </c>
      <c r="T44">
        <v>1</v>
      </c>
      <c r="U44">
        <v>7</v>
      </c>
      <c r="V44">
        <v>5</v>
      </c>
      <c r="W44">
        <v>2</v>
      </c>
      <c r="X44">
        <v>2</v>
      </c>
      <c r="Y44">
        <v>3</v>
      </c>
      <c r="Z44">
        <v>6</v>
      </c>
      <c r="AA44">
        <v>2</v>
      </c>
      <c r="AB44">
        <v>3</v>
      </c>
      <c r="AC44">
        <v>2</v>
      </c>
    </row>
    <row r="45" spans="1:29" x14ac:dyDescent="0.3">
      <c r="A45" t="s">
        <v>1818</v>
      </c>
      <c r="B45" t="s">
        <v>54</v>
      </c>
      <c r="C45">
        <v>104</v>
      </c>
      <c r="D45">
        <v>6</v>
      </c>
      <c r="E45">
        <v>9</v>
      </c>
      <c r="F45">
        <v>6</v>
      </c>
      <c r="G45">
        <v>9</v>
      </c>
      <c r="H45">
        <v>2</v>
      </c>
      <c r="I45">
        <v>5</v>
      </c>
      <c r="J45">
        <v>2</v>
      </c>
      <c r="K45">
        <v>5</v>
      </c>
      <c r="L45">
        <v>2</v>
      </c>
      <c r="M45">
        <v>5</v>
      </c>
      <c r="N45">
        <v>2</v>
      </c>
      <c r="O45">
        <v>4</v>
      </c>
      <c r="P45">
        <v>4</v>
      </c>
      <c r="Q45">
        <v>3</v>
      </c>
      <c r="R45">
        <v>2</v>
      </c>
      <c r="S45">
        <v>4</v>
      </c>
      <c r="T45">
        <v>3</v>
      </c>
      <c r="U45">
        <v>4</v>
      </c>
      <c r="V45">
        <v>6</v>
      </c>
      <c r="W45">
        <v>6</v>
      </c>
      <c r="X45">
        <v>2</v>
      </c>
      <c r="Y45">
        <v>3</v>
      </c>
      <c r="Z45">
        <v>2</v>
      </c>
      <c r="AA45">
        <v>4</v>
      </c>
      <c r="AB45">
        <v>3</v>
      </c>
      <c r="AC45">
        <v>1</v>
      </c>
    </row>
    <row r="46" spans="1:29" x14ac:dyDescent="0.3">
      <c r="A46" t="s">
        <v>1818</v>
      </c>
      <c r="B46" t="s">
        <v>116</v>
      </c>
      <c r="C46">
        <v>104</v>
      </c>
      <c r="D46">
        <v>13</v>
      </c>
      <c r="E46">
        <v>7</v>
      </c>
      <c r="F46">
        <v>6</v>
      </c>
      <c r="G46">
        <v>4</v>
      </c>
      <c r="H46">
        <v>6</v>
      </c>
      <c r="I46">
        <v>8</v>
      </c>
      <c r="J46">
        <v>8</v>
      </c>
      <c r="K46">
        <v>7</v>
      </c>
      <c r="L46">
        <v>3</v>
      </c>
      <c r="M46">
        <v>3</v>
      </c>
      <c r="N46">
        <v>5</v>
      </c>
      <c r="O46">
        <v>4</v>
      </c>
      <c r="P46">
        <v>2</v>
      </c>
      <c r="Q46">
        <v>2</v>
      </c>
      <c r="R46">
        <v>4</v>
      </c>
      <c r="S46">
        <v>3</v>
      </c>
      <c r="T46">
        <v>2</v>
      </c>
      <c r="U46">
        <v>2</v>
      </c>
      <c r="V46">
        <v>2</v>
      </c>
      <c r="W46">
        <v>3</v>
      </c>
      <c r="X46">
        <v>3</v>
      </c>
      <c r="Y46">
        <v>1</v>
      </c>
      <c r="Z46">
        <v>2</v>
      </c>
      <c r="AA46">
        <v>3</v>
      </c>
      <c r="AB46">
        <v>1</v>
      </c>
      <c r="AC46">
        <v>0</v>
      </c>
    </row>
    <row r="47" spans="1:29" x14ac:dyDescent="0.3">
      <c r="A47" t="s">
        <v>1818</v>
      </c>
      <c r="B47" t="s">
        <v>73</v>
      </c>
      <c r="C47">
        <v>104</v>
      </c>
      <c r="D47">
        <v>8</v>
      </c>
      <c r="E47">
        <v>4</v>
      </c>
      <c r="F47">
        <v>4</v>
      </c>
      <c r="G47">
        <v>8</v>
      </c>
      <c r="H47">
        <v>6</v>
      </c>
      <c r="I47">
        <v>7</v>
      </c>
      <c r="J47">
        <v>5</v>
      </c>
      <c r="K47">
        <v>5</v>
      </c>
      <c r="L47">
        <v>1</v>
      </c>
      <c r="M47">
        <v>2</v>
      </c>
      <c r="N47">
        <v>2</v>
      </c>
      <c r="O47">
        <v>6</v>
      </c>
      <c r="P47">
        <v>2</v>
      </c>
      <c r="Q47">
        <v>5</v>
      </c>
      <c r="R47">
        <v>3</v>
      </c>
      <c r="S47">
        <v>6</v>
      </c>
      <c r="T47">
        <v>1</v>
      </c>
      <c r="U47">
        <v>4</v>
      </c>
      <c r="V47">
        <v>8</v>
      </c>
      <c r="W47">
        <v>3</v>
      </c>
      <c r="X47">
        <v>0</v>
      </c>
      <c r="Y47">
        <v>3</v>
      </c>
      <c r="Z47">
        <v>3</v>
      </c>
      <c r="AA47">
        <v>5</v>
      </c>
      <c r="AB47">
        <v>1</v>
      </c>
      <c r="AC47">
        <v>2</v>
      </c>
    </row>
    <row r="48" spans="1:29" x14ac:dyDescent="0.3">
      <c r="A48" t="s">
        <v>1818</v>
      </c>
      <c r="B48" t="s">
        <v>63</v>
      </c>
      <c r="C48">
        <v>103</v>
      </c>
      <c r="D48">
        <v>18</v>
      </c>
      <c r="E48">
        <v>1</v>
      </c>
      <c r="F48">
        <v>7</v>
      </c>
      <c r="G48">
        <v>4</v>
      </c>
      <c r="H48">
        <v>8</v>
      </c>
      <c r="I48">
        <v>7</v>
      </c>
      <c r="J48">
        <v>9</v>
      </c>
      <c r="K48">
        <v>6</v>
      </c>
      <c r="L48">
        <v>5</v>
      </c>
      <c r="M48">
        <v>5</v>
      </c>
      <c r="N48">
        <v>0</v>
      </c>
      <c r="O48">
        <v>1</v>
      </c>
      <c r="P48">
        <v>2</v>
      </c>
      <c r="Q48">
        <v>3</v>
      </c>
      <c r="R48">
        <v>2</v>
      </c>
      <c r="S48">
        <v>1</v>
      </c>
      <c r="T48">
        <v>0</v>
      </c>
      <c r="U48">
        <v>2</v>
      </c>
      <c r="V48">
        <v>3</v>
      </c>
      <c r="W48">
        <v>2</v>
      </c>
      <c r="X48">
        <v>4</v>
      </c>
      <c r="Y48">
        <v>3</v>
      </c>
      <c r="Z48">
        <v>6</v>
      </c>
      <c r="AA48">
        <v>4</v>
      </c>
      <c r="AB48">
        <v>0</v>
      </c>
      <c r="AC48">
        <v>0</v>
      </c>
    </row>
    <row r="49" spans="1:29" x14ac:dyDescent="0.3">
      <c r="A49" t="s">
        <v>1818</v>
      </c>
      <c r="B49" t="s">
        <v>55</v>
      </c>
      <c r="C49">
        <v>100</v>
      </c>
      <c r="D49">
        <v>8</v>
      </c>
      <c r="E49">
        <v>7</v>
      </c>
      <c r="F49">
        <v>5</v>
      </c>
      <c r="G49">
        <v>5</v>
      </c>
      <c r="H49">
        <v>8</v>
      </c>
      <c r="I49">
        <v>4</v>
      </c>
      <c r="J49">
        <v>4</v>
      </c>
      <c r="K49">
        <v>7</v>
      </c>
      <c r="L49">
        <v>3</v>
      </c>
      <c r="M49">
        <v>3</v>
      </c>
      <c r="N49">
        <v>1</v>
      </c>
      <c r="O49">
        <v>5</v>
      </c>
      <c r="P49">
        <v>1</v>
      </c>
      <c r="Q49">
        <v>5</v>
      </c>
      <c r="R49">
        <v>1</v>
      </c>
      <c r="S49">
        <v>2</v>
      </c>
      <c r="T49">
        <v>1</v>
      </c>
      <c r="U49">
        <v>0</v>
      </c>
      <c r="V49">
        <v>3</v>
      </c>
      <c r="W49">
        <v>2</v>
      </c>
      <c r="X49">
        <v>6</v>
      </c>
      <c r="Y49">
        <v>5</v>
      </c>
      <c r="Z49">
        <v>1</v>
      </c>
      <c r="AA49">
        <v>5</v>
      </c>
      <c r="AB49">
        <v>5</v>
      </c>
      <c r="AC49">
        <v>3</v>
      </c>
    </row>
    <row r="50" spans="1:29" x14ac:dyDescent="0.3">
      <c r="A50" t="s">
        <v>1818</v>
      </c>
      <c r="B50" t="s">
        <v>75</v>
      </c>
      <c r="C50">
        <v>99</v>
      </c>
      <c r="D50">
        <v>9</v>
      </c>
      <c r="E50">
        <v>5</v>
      </c>
      <c r="F50">
        <v>6</v>
      </c>
      <c r="G50">
        <v>3</v>
      </c>
      <c r="H50">
        <v>2</v>
      </c>
      <c r="I50">
        <v>4</v>
      </c>
      <c r="J50">
        <v>7</v>
      </c>
      <c r="K50">
        <v>8</v>
      </c>
      <c r="L50">
        <v>3</v>
      </c>
      <c r="M50">
        <v>5</v>
      </c>
      <c r="N50">
        <v>3</v>
      </c>
      <c r="O50">
        <v>4</v>
      </c>
      <c r="P50">
        <v>2</v>
      </c>
      <c r="Q50">
        <v>3</v>
      </c>
      <c r="R50">
        <v>4</v>
      </c>
      <c r="S50">
        <v>7</v>
      </c>
      <c r="T50">
        <v>2</v>
      </c>
      <c r="U50">
        <v>3</v>
      </c>
      <c r="V50">
        <v>5</v>
      </c>
      <c r="W50">
        <v>0</v>
      </c>
      <c r="X50">
        <v>2</v>
      </c>
      <c r="Y50">
        <v>2</v>
      </c>
      <c r="Z50">
        <v>3</v>
      </c>
      <c r="AA50">
        <v>2</v>
      </c>
      <c r="AB50">
        <v>3</v>
      </c>
      <c r="AC50">
        <v>2</v>
      </c>
    </row>
    <row r="51" spans="1:29" x14ac:dyDescent="0.3">
      <c r="A51" t="s">
        <v>1818</v>
      </c>
      <c r="B51" t="s">
        <v>45</v>
      </c>
      <c r="C51">
        <v>97</v>
      </c>
      <c r="D51">
        <v>11</v>
      </c>
      <c r="E51">
        <v>7</v>
      </c>
      <c r="F51">
        <v>6</v>
      </c>
      <c r="G51">
        <v>4</v>
      </c>
      <c r="H51">
        <v>10</v>
      </c>
      <c r="I51">
        <v>5</v>
      </c>
      <c r="J51">
        <v>3</v>
      </c>
      <c r="K51">
        <v>2</v>
      </c>
      <c r="L51">
        <v>5</v>
      </c>
      <c r="M51">
        <v>1</v>
      </c>
      <c r="N51">
        <v>3</v>
      </c>
      <c r="O51">
        <v>3</v>
      </c>
      <c r="P51">
        <v>1</v>
      </c>
      <c r="Q51">
        <v>5</v>
      </c>
      <c r="R51">
        <v>3</v>
      </c>
      <c r="S51">
        <v>4</v>
      </c>
      <c r="T51">
        <v>3</v>
      </c>
      <c r="U51">
        <v>5</v>
      </c>
      <c r="V51">
        <v>2</v>
      </c>
      <c r="W51">
        <v>1</v>
      </c>
      <c r="X51">
        <v>2</v>
      </c>
      <c r="Y51">
        <v>1</v>
      </c>
      <c r="Z51">
        <v>1</v>
      </c>
      <c r="AA51">
        <v>5</v>
      </c>
      <c r="AB51">
        <v>3</v>
      </c>
      <c r="AC51">
        <v>1</v>
      </c>
    </row>
    <row r="52" spans="1:29" x14ac:dyDescent="0.3">
      <c r="A52" t="s">
        <v>1818</v>
      </c>
      <c r="B52" t="s">
        <v>56</v>
      </c>
      <c r="C52">
        <v>92</v>
      </c>
      <c r="D52">
        <v>6</v>
      </c>
      <c r="E52">
        <v>5</v>
      </c>
      <c r="F52">
        <v>4</v>
      </c>
      <c r="G52">
        <v>5</v>
      </c>
      <c r="H52">
        <v>10</v>
      </c>
      <c r="I52">
        <v>6</v>
      </c>
      <c r="J52">
        <v>8</v>
      </c>
      <c r="K52">
        <v>2</v>
      </c>
      <c r="L52">
        <v>5</v>
      </c>
      <c r="M52">
        <v>5</v>
      </c>
      <c r="N52">
        <v>4</v>
      </c>
      <c r="O52">
        <v>3</v>
      </c>
      <c r="P52">
        <v>3</v>
      </c>
      <c r="Q52">
        <v>3</v>
      </c>
      <c r="R52">
        <v>2</v>
      </c>
      <c r="S52">
        <v>1</v>
      </c>
      <c r="T52">
        <v>0</v>
      </c>
      <c r="U52">
        <v>1</v>
      </c>
      <c r="V52">
        <v>2</v>
      </c>
      <c r="W52">
        <v>4</v>
      </c>
      <c r="X52">
        <v>6</v>
      </c>
      <c r="Y52">
        <v>2</v>
      </c>
      <c r="Z52">
        <v>3</v>
      </c>
      <c r="AA52">
        <v>1</v>
      </c>
      <c r="AB52">
        <v>1</v>
      </c>
      <c r="AC52">
        <v>0</v>
      </c>
    </row>
    <row r="53" spans="1:29" x14ac:dyDescent="0.3">
      <c r="A53" t="s">
        <v>1818</v>
      </c>
      <c r="B53" t="s">
        <v>27</v>
      </c>
      <c r="C53">
        <v>86</v>
      </c>
      <c r="D53">
        <v>11</v>
      </c>
      <c r="E53">
        <v>4</v>
      </c>
      <c r="F53">
        <v>8</v>
      </c>
      <c r="G53">
        <v>6</v>
      </c>
      <c r="H53">
        <v>5</v>
      </c>
      <c r="I53">
        <v>4</v>
      </c>
      <c r="J53">
        <v>9</v>
      </c>
      <c r="K53">
        <v>4</v>
      </c>
      <c r="L53">
        <v>5</v>
      </c>
      <c r="M53">
        <v>1</v>
      </c>
      <c r="N53">
        <v>0</v>
      </c>
      <c r="O53">
        <v>1</v>
      </c>
      <c r="P53">
        <v>1</v>
      </c>
      <c r="Q53">
        <v>1</v>
      </c>
      <c r="R53">
        <v>1</v>
      </c>
      <c r="S53">
        <v>7</v>
      </c>
      <c r="T53">
        <v>0</v>
      </c>
      <c r="U53">
        <v>4</v>
      </c>
      <c r="V53">
        <v>3</v>
      </c>
      <c r="W53">
        <v>2</v>
      </c>
      <c r="X53">
        <v>0</v>
      </c>
      <c r="Y53">
        <v>1</v>
      </c>
      <c r="Z53">
        <v>1</v>
      </c>
      <c r="AA53">
        <v>4</v>
      </c>
      <c r="AB53">
        <v>1</v>
      </c>
      <c r="AC53">
        <v>2</v>
      </c>
    </row>
    <row r="54" spans="1:29" x14ac:dyDescent="0.3">
      <c r="A54" t="s">
        <v>1818</v>
      </c>
      <c r="B54" t="s">
        <v>123</v>
      </c>
      <c r="C54">
        <v>85</v>
      </c>
      <c r="D54">
        <v>7</v>
      </c>
      <c r="E54">
        <v>5</v>
      </c>
      <c r="F54">
        <v>1</v>
      </c>
      <c r="G54">
        <v>8</v>
      </c>
      <c r="H54">
        <v>2</v>
      </c>
      <c r="I54">
        <v>2</v>
      </c>
      <c r="J54">
        <v>1</v>
      </c>
      <c r="K54">
        <v>2</v>
      </c>
      <c r="L54">
        <v>1</v>
      </c>
      <c r="M54">
        <v>1</v>
      </c>
      <c r="N54">
        <v>6</v>
      </c>
      <c r="O54">
        <v>1</v>
      </c>
      <c r="P54">
        <v>1</v>
      </c>
      <c r="Q54">
        <v>3</v>
      </c>
      <c r="R54">
        <v>4</v>
      </c>
      <c r="S54">
        <v>2</v>
      </c>
      <c r="T54">
        <v>1</v>
      </c>
      <c r="U54">
        <v>6</v>
      </c>
      <c r="V54">
        <v>6</v>
      </c>
      <c r="W54">
        <v>0</v>
      </c>
      <c r="X54">
        <v>8</v>
      </c>
      <c r="Y54">
        <v>3</v>
      </c>
      <c r="Z54">
        <v>2</v>
      </c>
      <c r="AA54">
        <v>1</v>
      </c>
      <c r="AB54">
        <v>7</v>
      </c>
      <c r="AC54">
        <v>4</v>
      </c>
    </row>
    <row r="55" spans="1:29" x14ac:dyDescent="0.3">
      <c r="A55" t="s">
        <v>1818</v>
      </c>
      <c r="B55" t="s">
        <v>79</v>
      </c>
      <c r="C55">
        <v>84</v>
      </c>
      <c r="D55">
        <v>7</v>
      </c>
      <c r="E55">
        <v>2</v>
      </c>
      <c r="F55">
        <v>3</v>
      </c>
      <c r="G55">
        <v>4</v>
      </c>
      <c r="H55">
        <v>9</v>
      </c>
      <c r="I55">
        <v>2</v>
      </c>
      <c r="J55">
        <v>6</v>
      </c>
      <c r="K55">
        <v>6</v>
      </c>
      <c r="L55">
        <v>3</v>
      </c>
      <c r="M55">
        <v>2</v>
      </c>
      <c r="N55">
        <v>2</v>
      </c>
      <c r="O55">
        <v>2</v>
      </c>
      <c r="P55">
        <v>1</v>
      </c>
      <c r="Q55">
        <v>1</v>
      </c>
      <c r="R55">
        <v>2</v>
      </c>
      <c r="S55">
        <v>6</v>
      </c>
      <c r="T55">
        <v>2</v>
      </c>
      <c r="U55">
        <v>3</v>
      </c>
      <c r="V55">
        <v>3</v>
      </c>
      <c r="W55">
        <v>0</v>
      </c>
      <c r="X55">
        <v>4</v>
      </c>
      <c r="Y55">
        <v>2</v>
      </c>
      <c r="Z55">
        <v>2</v>
      </c>
      <c r="AA55">
        <v>4</v>
      </c>
      <c r="AB55">
        <v>4</v>
      </c>
      <c r="AC55">
        <v>2</v>
      </c>
    </row>
    <row r="56" spans="1:29" x14ac:dyDescent="0.3">
      <c r="A56" t="s">
        <v>1818</v>
      </c>
      <c r="B56" t="s">
        <v>126</v>
      </c>
      <c r="C56">
        <v>83</v>
      </c>
      <c r="D56">
        <v>9</v>
      </c>
      <c r="E56">
        <v>7</v>
      </c>
      <c r="F56">
        <v>2</v>
      </c>
      <c r="G56">
        <v>5</v>
      </c>
      <c r="H56">
        <v>8</v>
      </c>
      <c r="I56">
        <v>6</v>
      </c>
      <c r="J56">
        <v>5</v>
      </c>
      <c r="K56">
        <v>5</v>
      </c>
      <c r="L56">
        <v>8</v>
      </c>
      <c r="M56">
        <v>4</v>
      </c>
      <c r="N56">
        <v>0</v>
      </c>
      <c r="O56">
        <v>0</v>
      </c>
      <c r="P56">
        <v>3</v>
      </c>
      <c r="Q56">
        <v>2</v>
      </c>
      <c r="R56">
        <v>2</v>
      </c>
      <c r="S56">
        <v>1</v>
      </c>
      <c r="T56">
        <v>1</v>
      </c>
      <c r="U56">
        <v>1</v>
      </c>
      <c r="V56">
        <v>3</v>
      </c>
      <c r="W56">
        <v>0</v>
      </c>
      <c r="X56">
        <v>2</v>
      </c>
      <c r="Y56">
        <v>1</v>
      </c>
      <c r="Z56">
        <v>3</v>
      </c>
      <c r="AA56">
        <v>2</v>
      </c>
      <c r="AB56">
        <v>2</v>
      </c>
      <c r="AC56">
        <v>1</v>
      </c>
    </row>
    <row r="57" spans="1:29" x14ac:dyDescent="0.3">
      <c r="A57" t="s">
        <v>1818</v>
      </c>
      <c r="B57" t="s">
        <v>59</v>
      </c>
      <c r="C57">
        <v>83</v>
      </c>
      <c r="D57">
        <v>4</v>
      </c>
      <c r="E57">
        <v>5</v>
      </c>
      <c r="F57">
        <v>4</v>
      </c>
      <c r="G57">
        <v>2</v>
      </c>
      <c r="H57">
        <v>2</v>
      </c>
      <c r="I57">
        <v>2</v>
      </c>
      <c r="J57">
        <v>7</v>
      </c>
      <c r="K57">
        <v>2</v>
      </c>
      <c r="L57">
        <v>2</v>
      </c>
      <c r="M57">
        <v>1</v>
      </c>
      <c r="N57">
        <v>7</v>
      </c>
      <c r="O57">
        <v>2</v>
      </c>
      <c r="P57">
        <v>1</v>
      </c>
      <c r="Q57">
        <v>4</v>
      </c>
      <c r="R57">
        <v>4</v>
      </c>
      <c r="S57">
        <v>3</v>
      </c>
      <c r="T57">
        <v>6</v>
      </c>
      <c r="U57">
        <v>2</v>
      </c>
      <c r="V57">
        <v>2</v>
      </c>
      <c r="W57">
        <v>6</v>
      </c>
      <c r="X57">
        <v>2</v>
      </c>
      <c r="Y57">
        <v>5</v>
      </c>
      <c r="Z57">
        <v>2</v>
      </c>
      <c r="AA57">
        <v>1</v>
      </c>
      <c r="AB57">
        <v>2</v>
      </c>
      <c r="AC57">
        <v>3</v>
      </c>
    </row>
    <row r="58" spans="1:29" x14ac:dyDescent="0.3">
      <c r="A58" t="s">
        <v>1818</v>
      </c>
      <c r="B58" t="s">
        <v>40</v>
      </c>
      <c r="C58">
        <v>82</v>
      </c>
      <c r="D58">
        <v>9</v>
      </c>
      <c r="E58">
        <v>5</v>
      </c>
      <c r="F58">
        <v>6</v>
      </c>
      <c r="G58">
        <v>1</v>
      </c>
      <c r="H58">
        <v>7</v>
      </c>
      <c r="I58">
        <v>9</v>
      </c>
      <c r="J58">
        <v>3</v>
      </c>
      <c r="K58">
        <v>3</v>
      </c>
      <c r="L58">
        <v>4</v>
      </c>
      <c r="M58">
        <v>7</v>
      </c>
      <c r="N58">
        <v>3</v>
      </c>
      <c r="O58">
        <v>3</v>
      </c>
      <c r="P58">
        <v>2</v>
      </c>
      <c r="Q58">
        <v>2</v>
      </c>
      <c r="R58">
        <v>0</v>
      </c>
      <c r="S58">
        <v>3</v>
      </c>
      <c r="T58">
        <v>4</v>
      </c>
      <c r="U58">
        <v>1</v>
      </c>
      <c r="V58">
        <v>2</v>
      </c>
      <c r="W58">
        <v>2</v>
      </c>
      <c r="X58">
        <v>0</v>
      </c>
      <c r="Y58">
        <v>1</v>
      </c>
      <c r="Z58">
        <v>3</v>
      </c>
      <c r="AA58">
        <v>0</v>
      </c>
      <c r="AB58">
        <v>1</v>
      </c>
      <c r="AC58">
        <v>1</v>
      </c>
    </row>
    <row r="59" spans="1:29" x14ac:dyDescent="0.3">
      <c r="A59" t="s">
        <v>1818</v>
      </c>
      <c r="B59" t="s">
        <v>31</v>
      </c>
      <c r="C59">
        <v>82</v>
      </c>
      <c r="D59">
        <v>8</v>
      </c>
      <c r="E59">
        <v>7</v>
      </c>
      <c r="F59">
        <v>7</v>
      </c>
      <c r="G59">
        <v>4</v>
      </c>
      <c r="H59">
        <v>4</v>
      </c>
      <c r="I59">
        <v>4</v>
      </c>
      <c r="J59">
        <v>3</v>
      </c>
      <c r="K59">
        <v>3</v>
      </c>
      <c r="L59">
        <v>4</v>
      </c>
      <c r="M59">
        <v>2</v>
      </c>
      <c r="N59">
        <v>3</v>
      </c>
      <c r="O59">
        <v>1</v>
      </c>
      <c r="P59">
        <v>4</v>
      </c>
      <c r="Q59">
        <v>2</v>
      </c>
      <c r="R59">
        <v>2</v>
      </c>
      <c r="S59">
        <v>2</v>
      </c>
      <c r="T59">
        <v>0</v>
      </c>
      <c r="U59">
        <v>3</v>
      </c>
      <c r="V59">
        <v>5</v>
      </c>
      <c r="W59">
        <v>2</v>
      </c>
      <c r="X59">
        <v>1</v>
      </c>
      <c r="Y59">
        <v>3</v>
      </c>
      <c r="Z59">
        <v>2</v>
      </c>
      <c r="AA59">
        <v>3</v>
      </c>
      <c r="AB59">
        <v>3</v>
      </c>
      <c r="AC59">
        <v>0</v>
      </c>
    </row>
    <row r="60" spans="1:29" x14ac:dyDescent="0.3">
      <c r="A60" t="s">
        <v>1818</v>
      </c>
      <c r="B60" t="s">
        <v>76</v>
      </c>
      <c r="C60">
        <v>80</v>
      </c>
      <c r="D60">
        <v>7</v>
      </c>
      <c r="E60">
        <v>7</v>
      </c>
      <c r="F60">
        <v>5</v>
      </c>
      <c r="G60">
        <v>4</v>
      </c>
      <c r="H60">
        <v>9</v>
      </c>
      <c r="I60">
        <v>7</v>
      </c>
      <c r="J60">
        <v>3</v>
      </c>
      <c r="K60">
        <v>5</v>
      </c>
      <c r="L60">
        <v>0</v>
      </c>
      <c r="M60">
        <v>3</v>
      </c>
      <c r="N60">
        <v>3</v>
      </c>
      <c r="O60">
        <v>3</v>
      </c>
      <c r="P60">
        <v>1</v>
      </c>
      <c r="Q60">
        <v>4</v>
      </c>
      <c r="R60">
        <v>1</v>
      </c>
      <c r="S60">
        <v>2</v>
      </c>
      <c r="T60">
        <v>1</v>
      </c>
      <c r="U60">
        <v>3</v>
      </c>
      <c r="V60">
        <v>3</v>
      </c>
      <c r="W60">
        <v>1</v>
      </c>
      <c r="X60">
        <v>1</v>
      </c>
      <c r="Y60">
        <v>2</v>
      </c>
      <c r="Z60">
        <v>1</v>
      </c>
      <c r="AA60">
        <v>2</v>
      </c>
      <c r="AB60">
        <v>0</v>
      </c>
      <c r="AC60">
        <v>2</v>
      </c>
    </row>
    <row r="61" spans="1:29" x14ac:dyDescent="0.3">
      <c r="A61" t="s">
        <v>1818</v>
      </c>
      <c r="B61" t="s">
        <v>46</v>
      </c>
      <c r="C61">
        <v>78</v>
      </c>
      <c r="D61">
        <v>9</v>
      </c>
      <c r="E61">
        <v>5</v>
      </c>
      <c r="F61">
        <v>6</v>
      </c>
      <c r="G61">
        <v>5</v>
      </c>
      <c r="H61">
        <v>4</v>
      </c>
      <c r="I61">
        <v>4</v>
      </c>
      <c r="J61">
        <v>4</v>
      </c>
      <c r="K61">
        <v>2</v>
      </c>
      <c r="L61">
        <v>3</v>
      </c>
      <c r="M61">
        <v>2</v>
      </c>
      <c r="N61">
        <v>1</v>
      </c>
      <c r="O61">
        <v>2</v>
      </c>
      <c r="P61">
        <v>2</v>
      </c>
      <c r="Q61">
        <v>3</v>
      </c>
      <c r="R61">
        <v>2</v>
      </c>
      <c r="S61">
        <v>5</v>
      </c>
      <c r="T61">
        <v>1</v>
      </c>
      <c r="U61">
        <v>5</v>
      </c>
      <c r="V61">
        <v>1</v>
      </c>
      <c r="W61">
        <v>2</v>
      </c>
      <c r="X61">
        <v>3</v>
      </c>
      <c r="Y61">
        <v>2</v>
      </c>
      <c r="Z61">
        <v>3</v>
      </c>
      <c r="AA61">
        <v>1</v>
      </c>
      <c r="AB61">
        <v>1</v>
      </c>
      <c r="AC61">
        <v>0</v>
      </c>
    </row>
    <row r="62" spans="1:29" x14ac:dyDescent="0.3">
      <c r="A62" t="s">
        <v>1818</v>
      </c>
      <c r="B62" t="s">
        <v>74</v>
      </c>
      <c r="C62">
        <v>74</v>
      </c>
      <c r="D62">
        <v>8</v>
      </c>
      <c r="E62">
        <v>5</v>
      </c>
      <c r="F62">
        <v>3</v>
      </c>
      <c r="G62">
        <v>4</v>
      </c>
      <c r="H62">
        <v>3</v>
      </c>
      <c r="I62">
        <v>5</v>
      </c>
      <c r="J62">
        <v>2</v>
      </c>
      <c r="K62">
        <v>5</v>
      </c>
      <c r="L62">
        <v>1</v>
      </c>
      <c r="M62">
        <v>4</v>
      </c>
      <c r="N62">
        <v>3</v>
      </c>
      <c r="O62">
        <v>3</v>
      </c>
      <c r="P62">
        <v>3</v>
      </c>
      <c r="Q62">
        <v>4</v>
      </c>
      <c r="R62">
        <v>2</v>
      </c>
      <c r="S62">
        <v>3</v>
      </c>
      <c r="T62">
        <v>1</v>
      </c>
      <c r="U62">
        <v>2</v>
      </c>
      <c r="V62">
        <v>4</v>
      </c>
      <c r="W62">
        <v>1</v>
      </c>
      <c r="X62">
        <v>1</v>
      </c>
      <c r="Y62">
        <v>1</v>
      </c>
      <c r="Z62">
        <v>3</v>
      </c>
      <c r="AA62">
        <v>2</v>
      </c>
      <c r="AB62">
        <v>1</v>
      </c>
      <c r="AC62">
        <v>0</v>
      </c>
    </row>
    <row r="63" spans="1:29" x14ac:dyDescent="0.3">
      <c r="A63" t="s">
        <v>1818</v>
      </c>
      <c r="B63" t="s">
        <v>125</v>
      </c>
      <c r="C63">
        <v>72</v>
      </c>
      <c r="D63">
        <v>6</v>
      </c>
      <c r="E63">
        <v>7</v>
      </c>
      <c r="F63">
        <v>2</v>
      </c>
      <c r="G63">
        <v>5</v>
      </c>
      <c r="H63">
        <v>4</v>
      </c>
      <c r="I63">
        <v>11</v>
      </c>
      <c r="J63">
        <v>6</v>
      </c>
      <c r="K63">
        <v>3</v>
      </c>
      <c r="L63">
        <v>4</v>
      </c>
      <c r="M63">
        <v>2</v>
      </c>
      <c r="N63">
        <v>1</v>
      </c>
      <c r="O63">
        <v>1</v>
      </c>
      <c r="P63">
        <v>1</v>
      </c>
      <c r="Q63">
        <v>1</v>
      </c>
      <c r="R63">
        <v>2</v>
      </c>
      <c r="S63">
        <v>2</v>
      </c>
      <c r="T63">
        <v>3</v>
      </c>
      <c r="U63">
        <v>3</v>
      </c>
      <c r="V63">
        <v>1</v>
      </c>
      <c r="W63">
        <v>0</v>
      </c>
      <c r="X63">
        <v>1</v>
      </c>
      <c r="Y63">
        <v>1</v>
      </c>
      <c r="Z63">
        <v>2</v>
      </c>
      <c r="AA63">
        <v>0</v>
      </c>
      <c r="AB63">
        <v>2</v>
      </c>
      <c r="AC63">
        <v>1</v>
      </c>
    </row>
    <row r="64" spans="1:29" x14ac:dyDescent="0.3">
      <c r="A64" t="s">
        <v>1818</v>
      </c>
      <c r="B64" t="s">
        <v>62</v>
      </c>
      <c r="C64">
        <v>71</v>
      </c>
      <c r="D64">
        <v>7</v>
      </c>
      <c r="E64">
        <v>4</v>
      </c>
      <c r="F64">
        <v>5</v>
      </c>
      <c r="G64">
        <v>6</v>
      </c>
      <c r="H64">
        <v>4</v>
      </c>
      <c r="I64">
        <v>2</v>
      </c>
      <c r="J64">
        <v>2</v>
      </c>
      <c r="K64">
        <v>4</v>
      </c>
      <c r="L64">
        <v>5</v>
      </c>
      <c r="M64">
        <v>2</v>
      </c>
      <c r="N64">
        <v>3</v>
      </c>
      <c r="O64">
        <v>2</v>
      </c>
      <c r="P64">
        <v>3</v>
      </c>
      <c r="Q64">
        <v>1</v>
      </c>
      <c r="R64">
        <v>3</v>
      </c>
      <c r="S64">
        <v>2</v>
      </c>
      <c r="T64">
        <v>4</v>
      </c>
      <c r="U64">
        <v>1</v>
      </c>
      <c r="V64">
        <v>1</v>
      </c>
      <c r="W64">
        <v>0</v>
      </c>
      <c r="X64">
        <v>3</v>
      </c>
      <c r="Y64">
        <v>2</v>
      </c>
      <c r="Z64">
        <v>0</v>
      </c>
      <c r="AA64">
        <v>2</v>
      </c>
      <c r="AB64">
        <v>2</v>
      </c>
      <c r="AC64">
        <v>1</v>
      </c>
    </row>
    <row r="65" spans="1:29" x14ac:dyDescent="0.3">
      <c r="A65" t="s">
        <v>1818</v>
      </c>
      <c r="B65" t="s">
        <v>41</v>
      </c>
      <c r="C65">
        <v>69</v>
      </c>
      <c r="D65">
        <v>4</v>
      </c>
      <c r="E65">
        <v>2</v>
      </c>
      <c r="F65">
        <v>5</v>
      </c>
      <c r="G65">
        <v>3</v>
      </c>
      <c r="H65">
        <v>6</v>
      </c>
      <c r="I65">
        <v>3</v>
      </c>
      <c r="J65">
        <v>7</v>
      </c>
      <c r="K65">
        <v>5</v>
      </c>
      <c r="L65">
        <v>1</v>
      </c>
      <c r="M65">
        <v>6</v>
      </c>
      <c r="N65">
        <v>1</v>
      </c>
      <c r="O65">
        <v>4</v>
      </c>
      <c r="P65">
        <v>1</v>
      </c>
      <c r="Q65">
        <v>2</v>
      </c>
      <c r="R65">
        <v>1</v>
      </c>
      <c r="S65">
        <v>2</v>
      </c>
      <c r="T65">
        <v>2</v>
      </c>
      <c r="U65">
        <v>1</v>
      </c>
      <c r="V65">
        <v>1</v>
      </c>
      <c r="W65">
        <v>1</v>
      </c>
      <c r="X65">
        <v>4</v>
      </c>
      <c r="Y65">
        <v>1</v>
      </c>
      <c r="Z65">
        <v>1</v>
      </c>
      <c r="AA65">
        <v>1</v>
      </c>
      <c r="AB65">
        <v>3</v>
      </c>
      <c r="AC65">
        <v>1</v>
      </c>
    </row>
    <row r="66" spans="1:29" x14ac:dyDescent="0.3">
      <c r="A66" t="s">
        <v>1818</v>
      </c>
      <c r="B66" t="s">
        <v>1819</v>
      </c>
      <c r="C66">
        <v>69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45</v>
      </c>
      <c r="AB66">
        <v>20</v>
      </c>
      <c r="AC66">
        <v>4</v>
      </c>
    </row>
    <row r="67" spans="1:29" x14ac:dyDescent="0.3">
      <c r="A67" t="s">
        <v>1818</v>
      </c>
      <c r="B67" t="s">
        <v>81</v>
      </c>
      <c r="C67">
        <v>66</v>
      </c>
      <c r="D67">
        <v>5</v>
      </c>
      <c r="E67">
        <v>5</v>
      </c>
      <c r="F67">
        <v>4</v>
      </c>
      <c r="G67">
        <v>2</v>
      </c>
      <c r="H67">
        <v>8</v>
      </c>
      <c r="I67">
        <v>7</v>
      </c>
      <c r="J67">
        <v>5</v>
      </c>
      <c r="K67">
        <v>4</v>
      </c>
      <c r="L67">
        <v>0</v>
      </c>
      <c r="M67">
        <v>3</v>
      </c>
      <c r="N67">
        <v>2</v>
      </c>
      <c r="O67">
        <v>4</v>
      </c>
      <c r="P67">
        <v>3</v>
      </c>
      <c r="Q67">
        <v>1</v>
      </c>
      <c r="R67">
        <v>0</v>
      </c>
      <c r="S67">
        <v>1</v>
      </c>
      <c r="T67">
        <v>2</v>
      </c>
      <c r="U67">
        <v>2</v>
      </c>
      <c r="V67">
        <v>3</v>
      </c>
      <c r="W67">
        <v>0</v>
      </c>
      <c r="X67">
        <v>1</v>
      </c>
      <c r="Y67">
        <v>0</v>
      </c>
      <c r="Z67">
        <v>1</v>
      </c>
      <c r="AA67">
        <v>2</v>
      </c>
      <c r="AB67">
        <v>0</v>
      </c>
      <c r="AC67">
        <v>1</v>
      </c>
    </row>
    <row r="68" spans="1:29" x14ac:dyDescent="0.3">
      <c r="A68" t="s">
        <v>1818</v>
      </c>
      <c r="B68" t="s">
        <v>49</v>
      </c>
      <c r="C68">
        <v>65</v>
      </c>
      <c r="D68">
        <v>4</v>
      </c>
      <c r="E68">
        <v>6</v>
      </c>
      <c r="F68">
        <v>5</v>
      </c>
      <c r="G68">
        <v>5</v>
      </c>
      <c r="H68">
        <v>1</v>
      </c>
      <c r="I68">
        <v>0</v>
      </c>
      <c r="J68">
        <v>5</v>
      </c>
      <c r="K68">
        <v>5</v>
      </c>
      <c r="L68">
        <v>2</v>
      </c>
      <c r="M68">
        <v>3</v>
      </c>
      <c r="N68">
        <v>3</v>
      </c>
      <c r="O68">
        <v>1</v>
      </c>
      <c r="P68">
        <v>3</v>
      </c>
      <c r="Q68">
        <v>1</v>
      </c>
      <c r="R68">
        <v>3</v>
      </c>
      <c r="S68">
        <v>0</v>
      </c>
      <c r="T68">
        <v>1</v>
      </c>
      <c r="U68">
        <v>2</v>
      </c>
      <c r="V68">
        <v>3</v>
      </c>
      <c r="W68">
        <v>1</v>
      </c>
      <c r="X68">
        <v>1</v>
      </c>
      <c r="Y68">
        <v>1</v>
      </c>
      <c r="Z68">
        <v>2</v>
      </c>
      <c r="AA68">
        <v>3</v>
      </c>
      <c r="AB68">
        <v>1</v>
      </c>
      <c r="AC68">
        <v>3</v>
      </c>
    </row>
    <row r="69" spans="1:29" x14ac:dyDescent="0.3">
      <c r="A69" t="s">
        <v>1818</v>
      </c>
      <c r="B69" t="s">
        <v>72</v>
      </c>
      <c r="C69">
        <v>62</v>
      </c>
      <c r="D69">
        <v>3</v>
      </c>
      <c r="E69">
        <v>4</v>
      </c>
      <c r="F69">
        <v>3</v>
      </c>
      <c r="G69">
        <v>5</v>
      </c>
      <c r="H69">
        <v>2</v>
      </c>
      <c r="I69">
        <v>1</v>
      </c>
      <c r="J69">
        <v>2</v>
      </c>
      <c r="K69">
        <v>8</v>
      </c>
      <c r="L69">
        <v>0</v>
      </c>
      <c r="M69">
        <v>3</v>
      </c>
      <c r="N69">
        <v>0</v>
      </c>
      <c r="O69">
        <v>1</v>
      </c>
      <c r="P69">
        <v>2</v>
      </c>
      <c r="Q69">
        <v>8</v>
      </c>
      <c r="R69">
        <v>1</v>
      </c>
      <c r="S69">
        <v>1</v>
      </c>
      <c r="T69">
        <v>1</v>
      </c>
      <c r="U69">
        <v>2</v>
      </c>
      <c r="V69">
        <v>2</v>
      </c>
      <c r="W69">
        <v>2</v>
      </c>
      <c r="X69">
        <v>1</v>
      </c>
      <c r="Y69">
        <v>0</v>
      </c>
      <c r="Z69">
        <v>3</v>
      </c>
      <c r="AA69">
        <v>6</v>
      </c>
      <c r="AB69">
        <v>0</v>
      </c>
      <c r="AC69">
        <v>1</v>
      </c>
    </row>
    <row r="70" spans="1:29" x14ac:dyDescent="0.3">
      <c r="A70" t="s">
        <v>1818</v>
      </c>
      <c r="B70" t="s">
        <v>78</v>
      </c>
      <c r="C70">
        <v>61</v>
      </c>
      <c r="D70">
        <v>4</v>
      </c>
      <c r="E70">
        <v>5</v>
      </c>
      <c r="F70">
        <v>3</v>
      </c>
      <c r="G70">
        <v>4</v>
      </c>
      <c r="H70">
        <v>8</v>
      </c>
      <c r="I70">
        <v>6</v>
      </c>
      <c r="J70">
        <v>6</v>
      </c>
      <c r="K70">
        <v>2</v>
      </c>
      <c r="L70">
        <v>2</v>
      </c>
      <c r="M70">
        <v>3</v>
      </c>
      <c r="N70">
        <v>1</v>
      </c>
      <c r="O70">
        <v>3</v>
      </c>
      <c r="P70">
        <v>0</v>
      </c>
      <c r="Q70">
        <v>1</v>
      </c>
      <c r="R70">
        <v>0</v>
      </c>
      <c r="S70">
        <v>3</v>
      </c>
      <c r="T70">
        <v>2</v>
      </c>
      <c r="U70">
        <v>1</v>
      </c>
      <c r="V70">
        <v>2</v>
      </c>
      <c r="W70">
        <v>0</v>
      </c>
      <c r="X70">
        <v>0</v>
      </c>
      <c r="Y70">
        <v>0</v>
      </c>
      <c r="Z70">
        <v>2</v>
      </c>
      <c r="AA70">
        <v>2</v>
      </c>
      <c r="AB70">
        <v>1</v>
      </c>
      <c r="AC70">
        <v>0</v>
      </c>
    </row>
    <row r="71" spans="1:29" x14ac:dyDescent="0.3">
      <c r="A71" t="s">
        <v>1818</v>
      </c>
      <c r="B71" t="s">
        <v>77</v>
      </c>
      <c r="C71">
        <v>61</v>
      </c>
      <c r="D71">
        <v>3</v>
      </c>
      <c r="E71">
        <v>3</v>
      </c>
      <c r="F71">
        <v>2</v>
      </c>
      <c r="G71">
        <v>5</v>
      </c>
      <c r="H71">
        <v>4</v>
      </c>
      <c r="I71">
        <v>4</v>
      </c>
      <c r="J71">
        <v>1</v>
      </c>
      <c r="K71">
        <v>4</v>
      </c>
      <c r="L71">
        <v>3</v>
      </c>
      <c r="M71">
        <v>3</v>
      </c>
      <c r="N71">
        <v>1</v>
      </c>
      <c r="O71">
        <v>3</v>
      </c>
      <c r="P71">
        <v>3</v>
      </c>
      <c r="Q71">
        <v>4</v>
      </c>
      <c r="R71">
        <v>2</v>
      </c>
      <c r="S71">
        <v>2</v>
      </c>
      <c r="T71">
        <v>1</v>
      </c>
      <c r="U71">
        <v>1</v>
      </c>
      <c r="V71">
        <v>2</v>
      </c>
      <c r="W71">
        <v>0</v>
      </c>
      <c r="X71">
        <v>2</v>
      </c>
      <c r="Y71">
        <v>0</v>
      </c>
      <c r="Z71">
        <v>0</v>
      </c>
      <c r="AA71">
        <v>5</v>
      </c>
      <c r="AB71">
        <v>2</v>
      </c>
      <c r="AC71">
        <v>1</v>
      </c>
    </row>
    <row r="72" spans="1:29" x14ac:dyDescent="0.3">
      <c r="A72" t="s">
        <v>1818</v>
      </c>
      <c r="B72" t="s">
        <v>37</v>
      </c>
      <c r="C72">
        <v>60</v>
      </c>
      <c r="D72">
        <v>6</v>
      </c>
      <c r="E72">
        <v>2</v>
      </c>
      <c r="F72">
        <v>6</v>
      </c>
      <c r="G72">
        <v>3</v>
      </c>
      <c r="H72">
        <v>3</v>
      </c>
      <c r="I72">
        <v>5</v>
      </c>
      <c r="J72">
        <v>1</v>
      </c>
      <c r="K72">
        <v>1</v>
      </c>
      <c r="L72">
        <v>2</v>
      </c>
      <c r="M72">
        <v>0</v>
      </c>
      <c r="N72">
        <v>1</v>
      </c>
      <c r="O72">
        <v>2</v>
      </c>
      <c r="P72">
        <v>0</v>
      </c>
      <c r="Q72">
        <v>3</v>
      </c>
      <c r="R72">
        <v>4</v>
      </c>
      <c r="S72">
        <v>0</v>
      </c>
      <c r="T72">
        <v>2</v>
      </c>
      <c r="U72">
        <v>3</v>
      </c>
      <c r="V72">
        <v>2</v>
      </c>
      <c r="W72">
        <v>1</v>
      </c>
      <c r="X72">
        <v>2</v>
      </c>
      <c r="Y72">
        <v>0</v>
      </c>
      <c r="Z72">
        <v>2</v>
      </c>
      <c r="AA72">
        <v>7</v>
      </c>
      <c r="AB72">
        <v>2</v>
      </c>
      <c r="AC72">
        <v>0</v>
      </c>
    </row>
    <row r="73" spans="1:29" x14ac:dyDescent="0.3">
      <c r="A73" t="s">
        <v>1818</v>
      </c>
      <c r="B73" t="s">
        <v>118</v>
      </c>
      <c r="C73">
        <v>59</v>
      </c>
      <c r="D73">
        <v>4</v>
      </c>
      <c r="E73">
        <v>3</v>
      </c>
      <c r="F73">
        <v>3</v>
      </c>
      <c r="G73">
        <v>1</v>
      </c>
      <c r="H73">
        <v>4</v>
      </c>
      <c r="I73">
        <v>3</v>
      </c>
      <c r="J73">
        <v>8</v>
      </c>
      <c r="K73">
        <v>2</v>
      </c>
      <c r="L73">
        <v>4</v>
      </c>
      <c r="M73">
        <v>2</v>
      </c>
      <c r="N73">
        <v>1</v>
      </c>
      <c r="O73">
        <v>1</v>
      </c>
      <c r="P73">
        <v>1</v>
      </c>
      <c r="Q73">
        <v>0</v>
      </c>
      <c r="R73">
        <v>1</v>
      </c>
      <c r="S73">
        <v>3</v>
      </c>
      <c r="T73">
        <v>5</v>
      </c>
      <c r="U73">
        <v>2</v>
      </c>
      <c r="V73">
        <v>1</v>
      </c>
      <c r="W73">
        <v>1</v>
      </c>
      <c r="X73">
        <v>1</v>
      </c>
      <c r="Y73">
        <v>1</v>
      </c>
      <c r="Z73">
        <v>1</v>
      </c>
      <c r="AA73">
        <v>3</v>
      </c>
      <c r="AB73">
        <v>1</v>
      </c>
      <c r="AC73">
        <v>2</v>
      </c>
    </row>
    <row r="74" spans="1:29" x14ac:dyDescent="0.3">
      <c r="A74" t="s">
        <v>1818</v>
      </c>
      <c r="B74" t="s">
        <v>69</v>
      </c>
      <c r="C74">
        <v>59</v>
      </c>
      <c r="D74">
        <v>7</v>
      </c>
      <c r="E74">
        <v>4</v>
      </c>
      <c r="F74">
        <v>3</v>
      </c>
      <c r="G74">
        <v>2</v>
      </c>
      <c r="H74">
        <v>6</v>
      </c>
      <c r="I74">
        <v>4</v>
      </c>
      <c r="J74">
        <v>8</v>
      </c>
      <c r="K74">
        <v>2</v>
      </c>
      <c r="L74">
        <v>2</v>
      </c>
      <c r="M74">
        <v>0</v>
      </c>
      <c r="N74">
        <v>4</v>
      </c>
      <c r="O74">
        <v>1</v>
      </c>
      <c r="P74">
        <v>2</v>
      </c>
      <c r="Q74">
        <v>0</v>
      </c>
      <c r="R74">
        <v>1</v>
      </c>
      <c r="S74">
        <v>1</v>
      </c>
      <c r="T74">
        <v>1</v>
      </c>
      <c r="U74">
        <v>2</v>
      </c>
      <c r="V74">
        <v>0</v>
      </c>
      <c r="W74">
        <v>3</v>
      </c>
      <c r="X74">
        <v>1</v>
      </c>
      <c r="Y74">
        <v>0</v>
      </c>
      <c r="Z74">
        <v>0</v>
      </c>
      <c r="AA74">
        <v>2</v>
      </c>
      <c r="AB74">
        <v>0</v>
      </c>
      <c r="AC74">
        <v>3</v>
      </c>
    </row>
    <row r="75" spans="1:29" x14ac:dyDescent="0.3">
      <c r="A75" t="s">
        <v>1818</v>
      </c>
      <c r="B75" t="s">
        <v>1820</v>
      </c>
      <c r="C75">
        <v>58</v>
      </c>
      <c r="D75">
        <v>4</v>
      </c>
      <c r="E75">
        <v>1</v>
      </c>
      <c r="F75">
        <v>3</v>
      </c>
      <c r="G75">
        <v>2</v>
      </c>
      <c r="H75">
        <v>0</v>
      </c>
      <c r="I75">
        <v>4</v>
      </c>
      <c r="J75">
        <v>5</v>
      </c>
      <c r="K75">
        <v>3</v>
      </c>
      <c r="L75">
        <v>2</v>
      </c>
      <c r="M75">
        <v>2</v>
      </c>
      <c r="N75">
        <v>4</v>
      </c>
      <c r="O75">
        <v>4</v>
      </c>
      <c r="P75">
        <v>2</v>
      </c>
      <c r="Q75">
        <v>3</v>
      </c>
      <c r="R75">
        <v>2</v>
      </c>
      <c r="S75">
        <v>2</v>
      </c>
      <c r="T75">
        <v>0</v>
      </c>
      <c r="U75">
        <v>1</v>
      </c>
      <c r="V75">
        <v>2</v>
      </c>
      <c r="W75">
        <v>2</v>
      </c>
      <c r="X75">
        <v>1</v>
      </c>
      <c r="Y75">
        <v>1</v>
      </c>
      <c r="Z75">
        <v>4</v>
      </c>
      <c r="AA75">
        <v>2</v>
      </c>
      <c r="AB75">
        <v>1</v>
      </c>
      <c r="AC75">
        <v>1</v>
      </c>
    </row>
    <row r="76" spans="1:29" x14ac:dyDescent="0.3">
      <c r="A76" t="s">
        <v>1818</v>
      </c>
      <c r="B76" t="s">
        <v>61</v>
      </c>
      <c r="C76">
        <v>57</v>
      </c>
      <c r="D76">
        <v>8</v>
      </c>
      <c r="E76">
        <v>4</v>
      </c>
      <c r="F76">
        <v>4</v>
      </c>
      <c r="G76">
        <v>2</v>
      </c>
      <c r="H76">
        <v>5</v>
      </c>
      <c r="I76">
        <v>5</v>
      </c>
      <c r="J76">
        <v>2</v>
      </c>
      <c r="K76">
        <v>1</v>
      </c>
      <c r="L76">
        <v>4</v>
      </c>
      <c r="M76">
        <v>1</v>
      </c>
      <c r="N76">
        <v>0</v>
      </c>
      <c r="O76">
        <v>0</v>
      </c>
      <c r="P76">
        <v>1</v>
      </c>
      <c r="Q76">
        <v>2</v>
      </c>
      <c r="R76">
        <v>4</v>
      </c>
      <c r="S76">
        <v>3</v>
      </c>
      <c r="T76">
        <v>0</v>
      </c>
      <c r="U76">
        <v>2</v>
      </c>
      <c r="V76">
        <v>1</v>
      </c>
      <c r="W76">
        <v>0</v>
      </c>
      <c r="X76">
        <v>1</v>
      </c>
      <c r="Y76">
        <v>0</v>
      </c>
      <c r="Z76">
        <v>0</v>
      </c>
      <c r="AA76">
        <v>3</v>
      </c>
      <c r="AB76">
        <v>1</v>
      </c>
      <c r="AC76">
        <v>3</v>
      </c>
    </row>
    <row r="77" spans="1:29" x14ac:dyDescent="0.3">
      <c r="A77" t="s">
        <v>1818</v>
      </c>
      <c r="B77" t="s">
        <v>1821</v>
      </c>
      <c r="C77">
        <v>57</v>
      </c>
      <c r="D77">
        <v>7</v>
      </c>
      <c r="E77">
        <v>2</v>
      </c>
      <c r="F77">
        <v>4</v>
      </c>
      <c r="G77">
        <v>2</v>
      </c>
      <c r="H77">
        <v>1</v>
      </c>
      <c r="I77">
        <v>3</v>
      </c>
      <c r="J77">
        <v>1</v>
      </c>
      <c r="K77">
        <v>2</v>
      </c>
      <c r="L77">
        <v>2</v>
      </c>
      <c r="M77">
        <v>6</v>
      </c>
      <c r="N77">
        <v>4</v>
      </c>
      <c r="O77">
        <v>2</v>
      </c>
      <c r="P77">
        <v>2</v>
      </c>
      <c r="Q77">
        <v>2</v>
      </c>
      <c r="R77">
        <v>5</v>
      </c>
      <c r="S77">
        <v>0</v>
      </c>
      <c r="T77">
        <v>3</v>
      </c>
      <c r="U77">
        <v>2</v>
      </c>
      <c r="V77">
        <v>1</v>
      </c>
      <c r="W77">
        <v>0</v>
      </c>
      <c r="X77">
        <v>1</v>
      </c>
      <c r="Y77">
        <v>1</v>
      </c>
      <c r="Z77">
        <v>2</v>
      </c>
      <c r="AA77">
        <v>1</v>
      </c>
      <c r="AB77">
        <v>0</v>
      </c>
      <c r="AC77">
        <v>1</v>
      </c>
    </row>
    <row r="78" spans="1:29" x14ac:dyDescent="0.3">
      <c r="A78" t="s">
        <v>1818</v>
      </c>
      <c r="B78" t="s">
        <v>71</v>
      </c>
      <c r="C78">
        <v>57</v>
      </c>
      <c r="D78">
        <v>8</v>
      </c>
      <c r="E78">
        <v>4</v>
      </c>
      <c r="F78">
        <v>4</v>
      </c>
      <c r="G78">
        <v>2</v>
      </c>
      <c r="H78">
        <v>3</v>
      </c>
      <c r="I78">
        <v>1</v>
      </c>
      <c r="J78">
        <v>3</v>
      </c>
      <c r="K78">
        <v>3</v>
      </c>
      <c r="L78">
        <v>4</v>
      </c>
      <c r="M78">
        <v>1</v>
      </c>
      <c r="N78">
        <v>0</v>
      </c>
      <c r="O78">
        <v>4</v>
      </c>
      <c r="P78">
        <v>1</v>
      </c>
      <c r="Q78">
        <v>0</v>
      </c>
      <c r="R78">
        <v>0</v>
      </c>
      <c r="S78">
        <v>5</v>
      </c>
      <c r="T78">
        <v>1</v>
      </c>
      <c r="U78">
        <v>3</v>
      </c>
      <c r="V78">
        <v>1</v>
      </c>
      <c r="W78">
        <v>0</v>
      </c>
      <c r="X78">
        <v>2</v>
      </c>
      <c r="Y78">
        <v>2</v>
      </c>
      <c r="Z78">
        <v>2</v>
      </c>
      <c r="AA78">
        <v>2</v>
      </c>
      <c r="AB78">
        <v>1</v>
      </c>
      <c r="AC78">
        <v>0</v>
      </c>
    </row>
    <row r="79" spans="1:29" x14ac:dyDescent="0.3">
      <c r="A79" t="s">
        <v>1818</v>
      </c>
      <c r="B79" t="s">
        <v>1822</v>
      </c>
      <c r="C79">
        <v>56</v>
      </c>
      <c r="D79">
        <v>2</v>
      </c>
      <c r="E79">
        <v>4</v>
      </c>
      <c r="F79">
        <v>5</v>
      </c>
      <c r="G79">
        <v>1</v>
      </c>
      <c r="H79">
        <v>2</v>
      </c>
      <c r="I79">
        <v>3</v>
      </c>
      <c r="J79">
        <v>2</v>
      </c>
      <c r="K79">
        <v>2</v>
      </c>
      <c r="L79">
        <v>3</v>
      </c>
      <c r="M79">
        <v>2</v>
      </c>
      <c r="N79">
        <v>1</v>
      </c>
      <c r="O79">
        <v>1</v>
      </c>
      <c r="P79">
        <v>1</v>
      </c>
      <c r="Q79">
        <v>4</v>
      </c>
      <c r="R79">
        <v>4</v>
      </c>
      <c r="S79">
        <v>1</v>
      </c>
      <c r="T79">
        <v>1</v>
      </c>
      <c r="U79">
        <v>0</v>
      </c>
      <c r="V79">
        <v>2</v>
      </c>
      <c r="W79">
        <v>4</v>
      </c>
      <c r="X79">
        <v>2</v>
      </c>
      <c r="Y79">
        <v>2</v>
      </c>
      <c r="Z79">
        <v>4</v>
      </c>
      <c r="AA79">
        <v>0</v>
      </c>
      <c r="AB79">
        <v>1</v>
      </c>
      <c r="AC79">
        <v>2</v>
      </c>
    </row>
    <row r="80" spans="1:29" x14ac:dyDescent="0.3">
      <c r="A80" t="s">
        <v>1818</v>
      </c>
      <c r="B80" t="s">
        <v>66</v>
      </c>
      <c r="C80">
        <v>55</v>
      </c>
      <c r="D80">
        <v>5</v>
      </c>
      <c r="E80">
        <v>4</v>
      </c>
      <c r="F80">
        <v>3</v>
      </c>
      <c r="G80">
        <v>2</v>
      </c>
      <c r="H80">
        <v>3</v>
      </c>
      <c r="I80">
        <v>2</v>
      </c>
      <c r="J80">
        <v>8</v>
      </c>
      <c r="K80">
        <v>2</v>
      </c>
      <c r="L80">
        <v>3</v>
      </c>
      <c r="M80">
        <v>1</v>
      </c>
      <c r="N80">
        <v>0</v>
      </c>
      <c r="O80">
        <v>1</v>
      </c>
      <c r="P80">
        <v>3</v>
      </c>
      <c r="Q80">
        <v>0</v>
      </c>
      <c r="R80">
        <v>3</v>
      </c>
      <c r="S80">
        <v>2</v>
      </c>
      <c r="T80">
        <v>1</v>
      </c>
      <c r="U80">
        <v>3</v>
      </c>
      <c r="V80">
        <v>1</v>
      </c>
      <c r="W80">
        <v>2</v>
      </c>
      <c r="X80">
        <v>1</v>
      </c>
      <c r="Y80">
        <v>1</v>
      </c>
      <c r="Z80">
        <v>2</v>
      </c>
      <c r="AA80">
        <v>1</v>
      </c>
      <c r="AB80">
        <v>0</v>
      </c>
      <c r="AC80">
        <v>1</v>
      </c>
    </row>
    <row r="81" spans="1:29" x14ac:dyDescent="0.3">
      <c r="A81" t="s">
        <v>1818</v>
      </c>
      <c r="B81" t="s">
        <v>122</v>
      </c>
      <c r="C81">
        <v>55</v>
      </c>
      <c r="D81">
        <v>5</v>
      </c>
      <c r="E81">
        <v>2</v>
      </c>
      <c r="F81">
        <v>4</v>
      </c>
      <c r="G81">
        <v>3</v>
      </c>
      <c r="H81">
        <v>7</v>
      </c>
      <c r="I81">
        <v>2</v>
      </c>
      <c r="J81">
        <v>4</v>
      </c>
      <c r="K81">
        <v>0</v>
      </c>
      <c r="L81">
        <v>4</v>
      </c>
      <c r="M81">
        <v>0</v>
      </c>
      <c r="N81">
        <v>1</v>
      </c>
      <c r="O81">
        <v>4</v>
      </c>
      <c r="P81">
        <v>1</v>
      </c>
      <c r="Q81">
        <v>1</v>
      </c>
      <c r="R81">
        <v>3</v>
      </c>
      <c r="S81">
        <v>3</v>
      </c>
      <c r="T81">
        <v>1</v>
      </c>
      <c r="U81">
        <v>2</v>
      </c>
      <c r="V81">
        <v>1</v>
      </c>
      <c r="W81">
        <v>1</v>
      </c>
      <c r="X81">
        <v>0</v>
      </c>
      <c r="Y81">
        <v>0</v>
      </c>
      <c r="Z81">
        <v>2</v>
      </c>
      <c r="AA81">
        <v>1</v>
      </c>
      <c r="AB81">
        <v>1</v>
      </c>
      <c r="AC81">
        <v>2</v>
      </c>
    </row>
    <row r="82" spans="1:29" x14ac:dyDescent="0.3">
      <c r="A82" t="s">
        <v>1818</v>
      </c>
      <c r="B82" t="s">
        <v>1823</v>
      </c>
      <c r="C82">
        <v>55</v>
      </c>
      <c r="D82">
        <v>0</v>
      </c>
      <c r="E82">
        <v>3</v>
      </c>
      <c r="F82">
        <v>3</v>
      </c>
      <c r="G82">
        <v>4</v>
      </c>
      <c r="H82">
        <v>3</v>
      </c>
      <c r="I82">
        <v>1</v>
      </c>
      <c r="J82">
        <v>2</v>
      </c>
      <c r="K82">
        <v>3</v>
      </c>
      <c r="L82">
        <v>2</v>
      </c>
      <c r="M82">
        <v>2</v>
      </c>
      <c r="N82">
        <v>2</v>
      </c>
      <c r="O82">
        <v>4</v>
      </c>
      <c r="P82">
        <v>2</v>
      </c>
      <c r="Q82">
        <v>2</v>
      </c>
      <c r="R82">
        <v>4</v>
      </c>
      <c r="S82">
        <v>1</v>
      </c>
      <c r="T82">
        <v>2</v>
      </c>
      <c r="U82">
        <v>2</v>
      </c>
      <c r="V82">
        <v>2</v>
      </c>
      <c r="W82">
        <v>2</v>
      </c>
      <c r="X82">
        <v>1</v>
      </c>
      <c r="Y82">
        <v>0</v>
      </c>
      <c r="Z82">
        <v>1</v>
      </c>
      <c r="AA82">
        <v>2</v>
      </c>
      <c r="AB82">
        <v>5</v>
      </c>
      <c r="AC82">
        <v>0</v>
      </c>
    </row>
    <row r="83" spans="1:29" x14ac:dyDescent="0.3">
      <c r="A83" t="s">
        <v>1818</v>
      </c>
      <c r="B83" t="s">
        <v>39</v>
      </c>
      <c r="C83">
        <v>54</v>
      </c>
      <c r="D83">
        <v>2</v>
      </c>
      <c r="E83">
        <v>3</v>
      </c>
      <c r="F83">
        <v>4</v>
      </c>
      <c r="G83">
        <v>4</v>
      </c>
      <c r="H83">
        <v>0</v>
      </c>
      <c r="I83">
        <v>7</v>
      </c>
      <c r="J83">
        <v>2</v>
      </c>
      <c r="K83">
        <v>3</v>
      </c>
      <c r="L83">
        <v>3</v>
      </c>
      <c r="M83">
        <v>2</v>
      </c>
      <c r="N83">
        <v>3</v>
      </c>
      <c r="O83">
        <v>2</v>
      </c>
      <c r="P83">
        <v>2</v>
      </c>
      <c r="Q83">
        <v>2</v>
      </c>
      <c r="R83">
        <v>1</v>
      </c>
      <c r="S83">
        <v>2</v>
      </c>
      <c r="T83">
        <v>1</v>
      </c>
      <c r="U83">
        <v>3</v>
      </c>
      <c r="V83">
        <v>4</v>
      </c>
      <c r="W83">
        <v>1</v>
      </c>
      <c r="X83">
        <v>0</v>
      </c>
      <c r="Y83">
        <v>0</v>
      </c>
      <c r="Z83">
        <v>3</v>
      </c>
      <c r="AA83">
        <v>0</v>
      </c>
      <c r="AB83">
        <v>0</v>
      </c>
      <c r="AC83">
        <v>0</v>
      </c>
    </row>
    <row r="84" spans="1:29" x14ac:dyDescent="0.3">
      <c r="A84" t="s">
        <v>1818</v>
      </c>
      <c r="B84" t="s">
        <v>53</v>
      </c>
      <c r="C84">
        <v>52</v>
      </c>
      <c r="D84">
        <v>5</v>
      </c>
      <c r="E84">
        <v>7</v>
      </c>
      <c r="F84">
        <v>5</v>
      </c>
      <c r="G84">
        <v>5</v>
      </c>
      <c r="H84">
        <v>1</v>
      </c>
      <c r="I84">
        <v>2</v>
      </c>
      <c r="J84">
        <v>2</v>
      </c>
      <c r="K84">
        <v>3</v>
      </c>
      <c r="L84">
        <v>1</v>
      </c>
      <c r="M84">
        <v>3</v>
      </c>
      <c r="N84">
        <v>1</v>
      </c>
      <c r="O84">
        <v>0</v>
      </c>
      <c r="P84">
        <v>1</v>
      </c>
      <c r="Q84">
        <v>2</v>
      </c>
      <c r="R84">
        <v>1</v>
      </c>
      <c r="S84">
        <v>1</v>
      </c>
      <c r="T84">
        <v>3</v>
      </c>
      <c r="U84">
        <v>1</v>
      </c>
      <c r="V84">
        <v>3</v>
      </c>
      <c r="W84">
        <v>1</v>
      </c>
      <c r="X84">
        <v>0</v>
      </c>
      <c r="Y84">
        <v>1</v>
      </c>
      <c r="Z84">
        <v>1</v>
      </c>
      <c r="AA84">
        <v>2</v>
      </c>
      <c r="AB84">
        <v>0</v>
      </c>
      <c r="AC84">
        <v>0</v>
      </c>
    </row>
    <row r="85" spans="1:29" x14ac:dyDescent="0.3">
      <c r="A85" t="s">
        <v>1818</v>
      </c>
      <c r="B85" t="s">
        <v>121</v>
      </c>
      <c r="C85">
        <v>52</v>
      </c>
      <c r="D85">
        <v>9</v>
      </c>
      <c r="E85">
        <v>6</v>
      </c>
      <c r="F85">
        <v>1</v>
      </c>
      <c r="G85">
        <v>4</v>
      </c>
      <c r="H85">
        <v>1</v>
      </c>
      <c r="I85">
        <v>4</v>
      </c>
      <c r="J85">
        <v>1</v>
      </c>
      <c r="K85">
        <v>3</v>
      </c>
      <c r="L85">
        <v>1</v>
      </c>
      <c r="M85">
        <v>3</v>
      </c>
      <c r="N85">
        <v>0</v>
      </c>
      <c r="O85">
        <v>2</v>
      </c>
      <c r="P85">
        <v>1</v>
      </c>
      <c r="Q85">
        <v>4</v>
      </c>
      <c r="R85">
        <v>1</v>
      </c>
      <c r="S85">
        <v>2</v>
      </c>
      <c r="T85">
        <v>0</v>
      </c>
      <c r="U85">
        <v>1</v>
      </c>
      <c r="V85">
        <v>2</v>
      </c>
      <c r="W85">
        <v>1</v>
      </c>
      <c r="X85">
        <v>1</v>
      </c>
      <c r="Y85">
        <v>0</v>
      </c>
      <c r="Z85">
        <v>0</v>
      </c>
      <c r="AA85">
        <v>4</v>
      </c>
      <c r="AB85">
        <v>0</v>
      </c>
      <c r="AC85">
        <v>0</v>
      </c>
    </row>
    <row r="86" spans="1:29" x14ac:dyDescent="0.3">
      <c r="A86" t="s">
        <v>1818</v>
      </c>
      <c r="B86" t="s">
        <v>175</v>
      </c>
      <c r="C86">
        <v>49</v>
      </c>
      <c r="D86">
        <v>2</v>
      </c>
      <c r="E86">
        <v>3</v>
      </c>
      <c r="F86">
        <v>1</v>
      </c>
      <c r="G86">
        <v>6</v>
      </c>
      <c r="H86">
        <v>1</v>
      </c>
      <c r="I86">
        <v>5</v>
      </c>
      <c r="J86">
        <v>2</v>
      </c>
      <c r="K86">
        <v>3</v>
      </c>
      <c r="L86">
        <v>2</v>
      </c>
      <c r="M86">
        <v>2</v>
      </c>
      <c r="N86">
        <v>1</v>
      </c>
      <c r="O86">
        <v>2</v>
      </c>
      <c r="P86">
        <v>2</v>
      </c>
      <c r="Q86">
        <v>2</v>
      </c>
      <c r="R86">
        <v>1</v>
      </c>
      <c r="S86">
        <v>2</v>
      </c>
      <c r="T86">
        <v>1</v>
      </c>
      <c r="U86">
        <v>0</v>
      </c>
      <c r="V86">
        <v>2</v>
      </c>
      <c r="W86">
        <v>1</v>
      </c>
      <c r="X86">
        <v>3</v>
      </c>
      <c r="Y86">
        <v>0</v>
      </c>
      <c r="Z86">
        <v>0</v>
      </c>
      <c r="AA86">
        <v>3</v>
      </c>
      <c r="AB86">
        <v>1</v>
      </c>
      <c r="AC86">
        <v>1</v>
      </c>
    </row>
    <row r="87" spans="1:29" x14ac:dyDescent="0.3">
      <c r="A87" t="s">
        <v>1818</v>
      </c>
      <c r="B87" t="s">
        <v>117</v>
      </c>
      <c r="C87">
        <v>48</v>
      </c>
      <c r="D87">
        <v>3</v>
      </c>
      <c r="E87">
        <v>4</v>
      </c>
      <c r="F87">
        <v>4</v>
      </c>
      <c r="G87">
        <v>4</v>
      </c>
      <c r="H87">
        <v>3</v>
      </c>
      <c r="I87">
        <v>4</v>
      </c>
      <c r="J87">
        <v>3</v>
      </c>
      <c r="K87">
        <v>3</v>
      </c>
      <c r="L87">
        <v>1</v>
      </c>
      <c r="M87">
        <v>5</v>
      </c>
      <c r="N87">
        <v>2</v>
      </c>
      <c r="O87">
        <v>3</v>
      </c>
      <c r="P87">
        <v>2</v>
      </c>
      <c r="Q87">
        <v>0</v>
      </c>
      <c r="R87">
        <v>1</v>
      </c>
      <c r="S87">
        <v>1</v>
      </c>
      <c r="T87">
        <v>0</v>
      </c>
      <c r="U87">
        <v>1</v>
      </c>
      <c r="V87">
        <v>0</v>
      </c>
      <c r="W87">
        <v>1</v>
      </c>
      <c r="X87">
        <v>1</v>
      </c>
      <c r="Y87">
        <v>1</v>
      </c>
      <c r="Z87">
        <v>1</v>
      </c>
      <c r="AA87">
        <v>0</v>
      </c>
      <c r="AB87">
        <v>0</v>
      </c>
      <c r="AC87">
        <v>0</v>
      </c>
    </row>
    <row r="88" spans="1:29" x14ac:dyDescent="0.3">
      <c r="A88" t="s">
        <v>1818</v>
      </c>
      <c r="B88" t="s">
        <v>52</v>
      </c>
      <c r="C88">
        <v>48</v>
      </c>
      <c r="D88">
        <v>4</v>
      </c>
      <c r="E88">
        <v>6</v>
      </c>
      <c r="F88">
        <v>5</v>
      </c>
      <c r="G88">
        <v>1</v>
      </c>
      <c r="H88">
        <v>2</v>
      </c>
      <c r="I88">
        <v>3</v>
      </c>
      <c r="J88">
        <v>4</v>
      </c>
      <c r="K88">
        <v>0</v>
      </c>
      <c r="L88">
        <v>1</v>
      </c>
      <c r="M88">
        <v>1</v>
      </c>
      <c r="N88">
        <v>5</v>
      </c>
      <c r="O88">
        <v>0</v>
      </c>
      <c r="P88">
        <v>1</v>
      </c>
      <c r="Q88">
        <v>2</v>
      </c>
      <c r="R88">
        <v>2</v>
      </c>
      <c r="S88">
        <v>0</v>
      </c>
      <c r="T88">
        <v>0</v>
      </c>
      <c r="U88">
        <v>1</v>
      </c>
      <c r="V88">
        <v>1</v>
      </c>
      <c r="W88">
        <v>2</v>
      </c>
      <c r="X88">
        <v>0</v>
      </c>
      <c r="Y88">
        <v>1</v>
      </c>
      <c r="Z88">
        <v>1</v>
      </c>
      <c r="AA88">
        <v>3</v>
      </c>
      <c r="AB88">
        <v>2</v>
      </c>
      <c r="AC88">
        <v>0</v>
      </c>
    </row>
    <row r="89" spans="1:29" x14ac:dyDescent="0.3">
      <c r="A89" t="s">
        <v>1818</v>
      </c>
      <c r="B89" t="s">
        <v>134</v>
      </c>
      <c r="C89">
        <v>45</v>
      </c>
      <c r="D89">
        <v>1</v>
      </c>
      <c r="E89">
        <v>4</v>
      </c>
      <c r="F89">
        <v>0</v>
      </c>
      <c r="G89">
        <v>6</v>
      </c>
      <c r="H89">
        <v>1</v>
      </c>
      <c r="I89">
        <v>3</v>
      </c>
      <c r="J89">
        <v>0</v>
      </c>
      <c r="K89">
        <v>3</v>
      </c>
      <c r="L89">
        <v>1</v>
      </c>
      <c r="M89">
        <v>4</v>
      </c>
      <c r="N89">
        <v>2</v>
      </c>
      <c r="O89">
        <v>1</v>
      </c>
      <c r="P89">
        <v>2</v>
      </c>
      <c r="Q89">
        <v>2</v>
      </c>
      <c r="R89">
        <v>1</v>
      </c>
      <c r="S89">
        <v>1</v>
      </c>
      <c r="T89">
        <v>0</v>
      </c>
      <c r="U89">
        <v>1</v>
      </c>
      <c r="V89">
        <v>2</v>
      </c>
      <c r="W89">
        <v>1</v>
      </c>
      <c r="X89">
        <v>0</v>
      </c>
      <c r="Y89">
        <v>1</v>
      </c>
      <c r="Z89">
        <v>0</v>
      </c>
      <c r="AA89">
        <v>5</v>
      </c>
      <c r="AB89">
        <v>2</v>
      </c>
      <c r="AC89">
        <v>1</v>
      </c>
    </row>
    <row r="90" spans="1:29" x14ac:dyDescent="0.3">
      <c r="A90" t="s">
        <v>1818</v>
      </c>
      <c r="B90" t="s">
        <v>1824</v>
      </c>
      <c r="C90">
        <v>44</v>
      </c>
      <c r="D90">
        <v>2</v>
      </c>
      <c r="E90">
        <v>1</v>
      </c>
      <c r="F90">
        <v>1</v>
      </c>
      <c r="G90">
        <v>6</v>
      </c>
      <c r="H90">
        <v>1</v>
      </c>
      <c r="I90">
        <v>1</v>
      </c>
      <c r="J90">
        <v>1</v>
      </c>
      <c r="K90">
        <v>1</v>
      </c>
      <c r="L90">
        <v>0</v>
      </c>
      <c r="M90">
        <v>0</v>
      </c>
      <c r="N90">
        <v>1</v>
      </c>
      <c r="O90">
        <v>3</v>
      </c>
      <c r="P90">
        <v>2</v>
      </c>
      <c r="Q90">
        <v>3</v>
      </c>
      <c r="R90">
        <v>1</v>
      </c>
      <c r="S90">
        <v>1</v>
      </c>
      <c r="T90">
        <v>0</v>
      </c>
      <c r="U90">
        <v>3</v>
      </c>
      <c r="V90">
        <v>1</v>
      </c>
      <c r="W90">
        <v>0</v>
      </c>
      <c r="X90">
        <v>2</v>
      </c>
      <c r="Y90">
        <v>0</v>
      </c>
      <c r="Z90">
        <v>2</v>
      </c>
      <c r="AA90">
        <v>3</v>
      </c>
      <c r="AB90">
        <v>6</v>
      </c>
      <c r="AC90">
        <v>2</v>
      </c>
    </row>
    <row r="91" spans="1:29" x14ac:dyDescent="0.3">
      <c r="A91" t="s">
        <v>1818</v>
      </c>
      <c r="B91" t="s">
        <v>1825</v>
      </c>
      <c r="C91">
        <v>43</v>
      </c>
      <c r="D91">
        <v>3</v>
      </c>
      <c r="E91">
        <v>0</v>
      </c>
      <c r="F91">
        <v>3</v>
      </c>
      <c r="G91">
        <v>6</v>
      </c>
      <c r="H91">
        <v>0</v>
      </c>
      <c r="I91">
        <v>3</v>
      </c>
      <c r="J91">
        <v>3</v>
      </c>
      <c r="K91">
        <v>2</v>
      </c>
      <c r="L91">
        <v>1</v>
      </c>
      <c r="M91">
        <v>0</v>
      </c>
      <c r="N91">
        <v>1</v>
      </c>
      <c r="O91">
        <v>1</v>
      </c>
      <c r="P91">
        <v>1</v>
      </c>
      <c r="Q91">
        <v>1</v>
      </c>
      <c r="R91">
        <v>2</v>
      </c>
      <c r="S91">
        <v>4</v>
      </c>
      <c r="T91">
        <v>1</v>
      </c>
      <c r="U91">
        <v>1</v>
      </c>
      <c r="V91">
        <v>2</v>
      </c>
      <c r="W91">
        <v>1</v>
      </c>
      <c r="X91">
        <v>2</v>
      </c>
      <c r="Y91">
        <v>0</v>
      </c>
      <c r="Z91">
        <v>0</v>
      </c>
      <c r="AA91">
        <v>3</v>
      </c>
      <c r="AB91">
        <v>0</v>
      </c>
      <c r="AC91">
        <v>2</v>
      </c>
    </row>
    <row r="92" spans="1:29" x14ac:dyDescent="0.3">
      <c r="A92" t="s">
        <v>1818</v>
      </c>
      <c r="B92" t="s">
        <v>120</v>
      </c>
      <c r="C92">
        <v>43</v>
      </c>
      <c r="D92">
        <v>8</v>
      </c>
      <c r="E92">
        <v>3</v>
      </c>
      <c r="F92">
        <v>2</v>
      </c>
      <c r="G92">
        <v>5</v>
      </c>
      <c r="H92">
        <v>3</v>
      </c>
      <c r="I92">
        <v>2</v>
      </c>
      <c r="J92">
        <v>1</v>
      </c>
      <c r="K92">
        <v>3</v>
      </c>
      <c r="L92">
        <v>1</v>
      </c>
      <c r="M92">
        <v>1</v>
      </c>
      <c r="N92">
        <v>0</v>
      </c>
      <c r="O92">
        <v>1</v>
      </c>
      <c r="P92">
        <v>0</v>
      </c>
      <c r="Q92">
        <v>2</v>
      </c>
      <c r="R92">
        <v>0</v>
      </c>
      <c r="S92">
        <v>0</v>
      </c>
      <c r="T92">
        <v>2</v>
      </c>
      <c r="U92">
        <v>2</v>
      </c>
      <c r="V92">
        <v>1</v>
      </c>
      <c r="W92">
        <v>0</v>
      </c>
      <c r="X92">
        <v>0</v>
      </c>
      <c r="Y92">
        <v>0</v>
      </c>
      <c r="Z92">
        <v>5</v>
      </c>
      <c r="AA92">
        <v>1</v>
      </c>
      <c r="AB92">
        <v>0</v>
      </c>
      <c r="AC92">
        <v>0</v>
      </c>
    </row>
    <row r="93" spans="1:29" x14ac:dyDescent="0.3">
      <c r="A93" t="s">
        <v>1818</v>
      </c>
      <c r="B93" t="s">
        <v>1826</v>
      </c>
      <c r="C93">
        <v>43</v>
      </c>
      <c r="D93">
        <v>3</v>
      </c>
      <c r="E93">
        <v>1</v>
      </c>
      <c r="F93">
        <v>3</v>
      </c>
      <c r="G93">
        <v>3</v>
      </c>
      <c r="H93">
        <v>2</v>
      </c>
      <c r="I93">
        <v>1</v>
      </c>
      <c r="J93">
        <v>2</v>
      </c>
      <c r="K93">
        <v>1</v>
      </c>
      <c r="L93">
        <v>3</v>
      </c>
      <c r="M93">
        <v>3</v>
      </c>
      <c r="N93">
        <v>2</v>
      </c>
      <c r="O93">
        <v>2</v>
      </c>
      <c r="P93">
        <v>3</v>
      </c>
      <c r="Q93">
        <v>0</v>
      </c>
      <c r="R93">
        <v>4</v>
      </c>
      <c r="S93">
        <v>0</v>
      </c>
      <c r="T93">
        <v>1</v>
      </c>
      <c r="U93">
        <v>0</v>
      </c>
      <c r="V93">
        <v>0</v>
      </c>
      <c r="W93">
        <v>0</v>
      </c>
      <c r="X93">
        <v>4</v>
      </c>
      <c r="Y93">
        <v>0</v>
      </c>
      <c r="Z93">
        <v>1</v>
      </c>
      <c r="AA93">
        <v>3</v>
      </c>
      <c r="AB93">
        <v>0</v>
      </c>
      <c r="AC93">
        <v>1</v>
      </c>
    </row>
    <row r="94" spans="1:29" x14ac:dyDescent="0.3">
      <c r="A94" t="s">
        <v>1818</v>
      </c>
      <c r="B94" t="s">
        <v>1827</v>
      </c>
      <c r="C94">
        <v>43</v>
      </c>
      <c r="D94">
        <v>2</v>
      </c>
      <c r="E94">
        <v>2</v>
      </c>
      <c r="F94">
        <v>1</v>
      </c>
      <c r="G94">
        <v>4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0</v>
      </c>
      <c r="O94">
        <v>4</v>
      </c>
      <c r="P94">
        <v>2</v>
      </c>
      <c r="Q94">
        <v>2</v>
      </c>
      <c r="R94">
        <v>0</v>
      </c>
      <c r="S94">
        <v>0</v>
      </c>
      <c r="T94">
        <v>1</v>
      </c>
      <c r="U94">
        <v>6</v>
      </c>
      <c r="V94">
        <v>1</v>
      </c>
      <c r="W94">
        <v>1</v>
      </c>
      <c r="X94">
        <v>2</v>
      </c>
      <c r="Y94">
        <v>0</v>
      </c>
      <c r="Z94">
        <v>2</v>
      </c>
      <c r="AA94">
        <v>5</v>
      </c>
      <c r="AB94">
        <v>2</v>
      </c>
      <c r="AC94">
        <v>1</v>
      </c>
    </row>
    <row r="95" spans="1:29" x14ac:dyDescent="0.3">
      <c r="A95" t="s">
        <v>1818</v>
      </c>
      <c r="B95" t="s">
        <v>131</v>
      </c>
      <c r="C95">
        <v>43</v>
      </c>
      <c r="D95">
        <v>2</v>
      </c>
      <c r="E95">
        <v>3</v>
      </c>
      <c r="F95">
        <v>3</v>
      </c>
      <c r="G95">
        <v>3</v>
      </c>
      <c r="H95">
        <v>4</v>
      </c>
      <c r="I95">
        <v>4</v>
      </c>
      <c r="J95">
        <v>3</v>
      </c>
      <c r="K95">
        <v>1</v>
      </c>
      <c r="L95">
        <v>0</v>
      </c>
      <c r="M95">
        <v>1</v>
      </c>
      <c r="N95">
        <v>2</v>
      </c>
      <c r="O95">
        <v>2</v>
      </c>
      <c r="P95">
        <v>2</v>
      </c>
      <c r="Q95">
        <v>1</v>
      </c>
      <c r="R95">
        <v>1</v>
      </c>
      <c r="S95">
        <v>0</v>
      </c>
      <c r="T95">
        <v>0</v>
      </c>
      <c r="U95">
        <v>6</v>
      </c>
      <c r="V95">
        <v>2</v>
      </c>
      <c r="W95">
        <v>0</v>
      </c>
      <c r="X95">
        <v>1</v>
      </c>
      <c r="Y95">
        <v>0</v>
      </c>
      <c r="Z95">
        <v>0</v>
      </c>
      <c r="AA95">
        <v>2</v>
      </c>
      <c r="AB95">
        <v>0</v>
      </c>
      <c r="AC95">
        <v>0</v>
      </c>
    </row>
    <row r="96" spans="1:29" x14ac:dyDescent="0.3">
      <c r="A96" t="s">
        <v>1818</v>
      </c>
      <c r="B96" t="s">
        <v>1828</v>
      </c>
      <c r="C96">
        <v>42</v>
      </c>
      <c r="D96">
        <v>2</v>
      </c>
      <c r="E96">
        <v>0</v>
      </c>
      <c r="F96">
        <v>3</v>
      </c>
      <c r="G96">
        <v>1</v>
      </c>
      <c r="H96">
        <v>3</v>
      </c>
      <c r="I96">
        <v>3</v>
      </c>
      <c r="J96">
        <v>5</v>
      </c>
      <c r="K96">
        <v>3</v>
      </c>
      <c r="L96">
        <v>1</v>
      </c>
      <c r="M96">
        <v>2</v>
      </c>
      <c r="N96">
        <v>1</v>
      </c>
      <c r="O96">
        <v>2</v>
      </c>
      <c r="P96">
        <v>2</v>
      </c>
      <c r="Q96">
        <v>1</v>
      </c>
      <c r="R96">
        <v>1</v>
      </c>
      <c r="S96">
        <v>1</v>
      </c>
      <c r="T96">
        <v>2</v>
      </c>
      <c r="U96">
        <v>1</v>
      </c>
      <c r="V96">
        <v>1</v>
      </c>
      <c r="W96">
        <v>1</v>
      </c>
      <c r="X96">
        <v>2</v>
      </c>
      <c r="Y96">
        <v>0</v>
      </c>
      <c r="Z96">
        <v>1</v>
      </c>
      <c r="AA96">
        <v>3</v>
      </c>
      <c r="AB96">
        <v>0</v>
      </c>
      <c r="AC96">
        <v>0</v>
      </c>
    </row>
    <row r="97" spans="1:29" x14ac:dyDescent="0.3">
      <c r="A97" t="s">
        <v>1818</v>
      </c>
      <c r="B97" t="s">
        <v>57</v>
      </c>
      <c r="C97">
        <v>42</v>
      </c>
      <c r="D97">
        <v>4</v>
      </c>
      <c r="E97">
        <v>4</v>
      </c>
      <c r="F97">
        <v>5</v>
      </c>
      <c r="G97">
        <v>1</v>
      </c>
      <c r="H97">
        <v>3</v>
      </c>
      <c r="I97">
        <v>4</v>
      </c>
      <c r="J97">
        <v>4</v>
      </c>
      <c r="K97">
        <v>1</v>
      </c>
      <c r="L97">
        <v>1</v>
      </c>
      <c r="M97">
        <v>2</v>
      </c>
      <c r="N97">
        <v>2</v>
      </c>
      <c r="O97">
        <v>1</v>
      </c>
      <c r="P97">
        <v>0</v>
      </c>
      <c r="Q97">
        <v>2</v>
      </c>
      <c r="R97">
        <v>0</v>
      </c>
      <c r="S97">
        <v>1</v>
      </c>
      <c r="T97">
        <v>2</v>
      </c>
      <c r="U97">
        <v>1</v>
      </c>
      <c r="V97">
        <v>2</v>
      </c>
      <c r="W97">
        <v>0</v>
      </c>
      <c r="X97">
        <v>1</v>
      </c>
      <c r="Y97">
        <v>0</v>
      </c>
      <c r="Z97">
        <v>0</v>
      </c>
      <c r="AA97">
        <v>0</v>
      </c>
      <c r="AB97">
        <v>1</v>
      </c>
      <c r="AC97">
        <v>0</v>
      </c>
    </row>
    <row r="98" spans="1:29" x14ac:dyDescent="0.3">
      <c r="A98" t="s">
        <v>1818</v>
      </c>
      <c r="B98" t="s">
        <v>1829</v>
      </c>
      <c r="C98">
        <v>42</v>
      </c>
      <c r="D98">
        <v>4</v>
      </c>
      <c r="E98">
        <v>1</v>
      </c>
      <c r="F98">
        <v>2</v>
      </c>
      <c r="G98">
        <v>1</v>
      </c>
      <c r="H98">
        <v>1</v>
      </c>
      <c r="I98">
        <v>1</v>
      </c>
      <c r="J98">
        <v>1</v>
      </c>
      <c r="K98">
        <v>5</v>
      </c>
      <c r="L98">
        <v>1</v>
      </c>
      <c r="M98">
        <v>2</v>
      </c>
      <c r="N98">
        <v>1</v>
      </c>
      <c r="O98">
        <v>2</v>
      </c>
      <c r="P98">
        <v>1</v>
      </c>
      <c r="Q98">
        <v>2</v>
      </c>
      <c r="R98">
        <v>2</v>
      </c>
      <c r="S98">
        <v>1</v>
      </c>
      <c r="T98">
        <v>0</v>
      </c>
      <c r="U98">
        <v>2</v>
      </c>
      <c r="V98">
        <v>5</v>
      </c>
      <c r="W98">
        <v>0</v>
      </c>
      <c r="X98">
        <v>2</v>
      </c>
      <c r="Y98">
        <v>2</v>
      </c>
      <c r="Z98">
        <v>2</v>
      </c>
      <c r="AA98">
        <v>1</v>
      </c>
      <c r="AB98">
        <v>0</v>
      </c>
      <c r="AC98">
        <v>0</v>
      </c>
    </row>
    <row r="99" spans="1:29" x14ac:dyDescent="0.3">
      <c r="A99" t="s">
        <v>1818</v>
      </c>
      <c r="B99" t="s">
        <v>1830</v>
      </c>
      <c r="C99">
        <v>42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31</v>
      </c>
      <c r="AB99">
        <v>8</v>
      </c>
      <c r="AC99">
        <v>3</v>
      </c>
    </row>
    <row r="100" spans="1:29" x14ac:dyDescent="0.3">
      <c r="A100" t="s">
        <v>1818</v>
      </c>
      <c r="B100" t="s">
        <v>68</v>
      </c>
      <c r="C100">
        <v>40</v>
      </c>
      <c r="D100">
        <v>5</v>
      </c>
      <c r="E100">
        <v>2</v>
      </c>
      <c r="F100">
        <v>3</v>
      </c>
      <c r="G100">
        <v>3</v>
      </c>
      <c r="H100">
        <v>3</v>
      </c>
      <c r="I100">
        <v>2</v>
      </c>
      <c r="J100">
        <v>5</v>
      </c>
      <c r="K100">
        <v>1</v>
      </c>
      <c r="L100">
        <v>3</v>
      </c>
      <c r="M100">
        <v>0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2</v>
      </c>
      <c r="AB100">
        <v>0</v>
      </c>
      <c r="AC100">
        <v>2</v>
      </c>
    </row>
    <row r="101" spans="1:29" x14ac:dyDescent="0.3">
      <c r="A101" t="s">
        <v>1818</v>
      </c>
      <c r="B101" t="s">
        <v>124</v>
      </c>
      <c r="C101">
        <v>40</v>
      </c>
      <c r="D101">
        <v>6</v>
      </c>
      <c r="E101">
        <v>0</v>
      </c>
      <c r="F101">
        <v>2</v>
      </c>
      <c r="G101">
        <v>1</v>
      </c>
      <c r="H101">
        <v>5</v>
      </c>
      <c r="I101">
        <v>3</v>
      </c>
      <c r="J101">
        <v>3</v>
      </c>
      <c r="K101">
        <v>0</v>
      </c>
      <c r="L101">
        <v>4</v>
      </c>
      <c r="M101">
        <v>1</v>
      </c>
      <c r="N101">
        <v>0</v>
      </c>
      <c r="O101">
        <v>1</v>
      </c>
      <c r="P101">
        <v>1</v>
      </c>
      <c r="Q101">
        <v>2</v>
      </c>
      <c r="R101">
        <v>2</v>
      </c>
      <c r="S101">
        <v>2</v>
      </c>
      <c r="T101">
        <v>0</v>
      </c>
      <c r="U101">
        <v>2</v>
      </c>
      <c r="V101">
        <v>0</v>
      </c>
      <c r="W101">
        <v>0</v>
      </c>
      <c r="X101">
        <v>0</v>
      </c>
      <c r="Y101">
        <v>0</v>
      </c>
      <c r="Z101">
        <v>2</v>
      </c>
      <c r="AA101">
        <v>1</v>
      </c>
      <c r="AB101">
        <v>0</v>
      </c>
      <c r="AC101"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73851-6258-43FA-A7D2-31077154CBCE}">
  <dimension ref="A1:V55"/>
  <sheetViews>
    <sheetView workbookViewId="0">
      <selection activeCell="C2" sqref="C2"/>
    </sheetView>
  </sheetViews>
  <sheetFormatPr defaultRowHeight="16.5" x14ac:dyDescent="0.3"/>
  <cols>
    <col min="3" max="3" width="14.375" bestFit="1" customWidth="1"/>
    <col min="8" max="8" width="11.375" bestFit="1" customWidth="1"/>
  </cols>
  <sheetData>
    <row r="1" spans="1:22" x14ac:dyDescent="0.3">
      <c r="A1" t="s">
        <v>152</v>
      </c>
      <c r="B1" t="s">
        <v>84</v>
      </c>
      <c r="D1" t="s">
        <v>138</v>
      </c>
      <c r="E1" s="5">
        <v>45864</v>
      </c>
      <c r="F1" s="5">
        <v>45865</v>
      </c>
      <c r="G1" s="5">
        <v>45866</v>
      </c>
      <c r="H1" s="5">
        <v>45867</v>
      </c>
      <c r="I1" s="5">
        <v>45868</v>
      </c>
      <c r="J1" s="5">
        <v>45869</v>
      </c>
      <c r="K1" s="5">
        <v>45870</v>
      </c>
      <c r="L1" s="5">
        <v>45871</v>
      </c>
      <c r="M1" s="5">
        <v>45872</v>
      </c>
      <c r="N1" s="5">
        <v>45873</v>
      </c>
      <c r="O1" s="5">
        <v>45874</v>
      </c>
      <c r="P1" s="5">
        <v>45875</v>
      </c>
      <c r="Q1" s="5">
        <v>45876</v>
      </c>
      <c r="R1" s="5">
        <v>45877</v>
      </c>
      <c r="S1" s="5">
        <v>45878</v>
      </c>
      <c r="T1" s="5">
        <v>45879</v>
      </c>
      <c r="U1" s="5">
        <v>45880</v>
      </c>
      <c r="V1" s="5">
        <v>45881</v>
      </c>
    </row>
    <row r="2" spans="1:22" x14ac:dyDescent="0.3">
      <c r="A2" t="s">
        <v>1</v>
      </c>
      <c r="B2" t="s">
        <v>85</v>
      </c>
      <c r="C2">
        <f t="shared" ref="C2:C41" si="0">(LEFT(B2,FIND("~",B2)-1)+RIGHT(B2,LEN(B2)-FIND("~",B2)))/2</f>
        <v>5</v>
      </c>
      <c r="D2" s="2">
        <v>7515200</v>
      </c>
      <c r="E2" s="2">
        <v>870100</v>
      </c>
      <c r="F2" s="2">
        <v>970200</v>
      </c>
      <c r="G2" s="2">
        <v>539000</v>
      </c>
      <c r="H2" s="2">
        <v>485100</v>
      </c>
      <c r="I2" s="2">
        <v>515900</v>
      </c>
      <c r="J2" s="2">
        <v>431200</v>
      </c>
      <c r="K2" s="2">
        <v>492800</v>
      </c>
      <c r="L2" s="2">
        <v>531300</v>
      </c>
      <c r="M2" s="2">
        <v>569800</v>
      </c>
      <c r="N2" s="2">
        <v>423500</v>
      </c>
      <c r="O2" s="2">
        <v>346500</v>
      </c>
      <c r="P2" s="2">
        <v>300300</v>
      </c>
      <c r="Q2" s="2">
        <v>308000</v>
      </c>
      <c r="R2" s="2">
        <v>292600</v>
      </c>
      <c r="S2" s="2">
        <v>200200</v>
      </c>
      <c r="T2" s="2">
        <v>84700</v>
      </c>
      <c r="U2" s="2">
        <v>92400</v>
      </c>
      <c r="V2" s="2">
        <v>61600</v>
      </c>
    </row>
    <row r="3" spans="1:22" x14ac:dyDescent="0.3">
      <c r="A3" t="s">
        <v>1</v>
      </c>
      <c r="B3" t="s">
        <v>87</v>
      </c>
      <c r="C3">
        <f t="shared" si="0"/>
        <v>15</v>
      </c>
      <c r="D3" s="2">
        <v>2487100</v>
      </c>
      <c r="E3" s="2">
        <v>331100</v>
      </c>
      <c r="F3" s="2">
        <v>292600</v>
      </c>
      <c r="G3" s="2">
        <v>130900</v>
      </c>
      <c r="H3" s="2">
        <v>238700</v>
      </c>
      <c r="I3" s="2">
        <v>146300</v>
      </c>
      <c r="J3" s="2">
        <v>123200</v>
      </c>
      <c r="K3" s="2">
        <v>107800</v>
      </c>
      <c r="L3" s="2">
        <v>231000</v>
      </c>
      <c r="M3" s="2">
        <v>231000</v>
      </c>
      <c r="N3" s="2">
        <v>107800</v>
      </c>
      <c r="O3" s="2">
        <v>84700</v>
      </c>
      <c r="P3" s="2">
        <v>130900</v>
      </c>
      <c r="Q3" s="2">
        <v>107800</v>
      </c>
      <c r="R3" s="2">
        <v>46200</v>
      </c>
      <c r="S3" s="2">
        <v>38500</v>
      </c>
      <c r="T3" s="2">
        <v>69300</v>
      </c>
      <c r="U3" s="2">
        <v>23100</v>
      </c>
      <c r="V3" s="2">
        <v>46200</v>
      </c>
    </row>
    <row r="4" spans="1:22" x14ac:dyDescent="0.3">
      <c r="A4" t="s">
        <v>1</v>
      </c>
      <c r="B4" t="s">
        <v>94</v>
      </c>
      <c r="C4">
        <f t="shared" si="0"/>
        <v>25</v>
      </c>
      <c r="D4" s="2">
        <v>5596831</v>
      </c>
      <c r="E4" s="2">
        <v>779900</v>
      </c>
      <c r="F4" s="2">
        <v>805200</v>
      </c>
      <c r="G4" s="2">
        <v>286000</v>
      </c>
      <c r="H4" s="2">
        <v>394900</v>
      </c>
      <c r="I4" s="2">
        <v>232100</v>
      </c>
      <c r="J4" s="2">
        <v>235400</v>
      </c>
      <c r="K4" s="2">
        <v>233200</v>
      </c>
      <c r="L4" s="2">
        <v>381700</v>
      </c>
      <c r="M4" s="2">
        <v>531300</v>
      </c>
      <c r="N4" s="2">
        <v>512600</v>
      </c>
      <c r="O4" s="2">
        <v>242000</v>
      </c>
      <c r="P4" s="2">
        <v>266200</v>
      </c>
      <c r="Q4" s="2">
        <v>192500</v>
      </c>
      <c r="R4" s="2">
        <v>150720</v>
      </c>
      <c r="S4" s="2">
        <v>168300</v>
      </c>
      <c r="T4" s="2">
        <v>108911</v>
      </c>
      <c r="U4" s="2">
        <v>57200</v>
      </c>
      <c r="V4" s="2">
        <v>18700</v>
      </c>
    </row>
    <row r="5" spans="1:22" x14ac:dyDescent="0.3">
      <c r="A5" t="s">
        <v>1</v>
      </c>
      <c r="B5" t="s">
        <v>97</v>
      </c>
      <c r="C5">
        <f t="shared" si="0"/>
        <v>35</v>
      </c>
      <c r="D5" s="2">
        <v>3119600</v>
      </c>
      <c r="E5" s="2">
        <v>476300</v>
      </c>
      <c r="F5" s="2">
        <v>234300</v>
      </c>
      <c r="G5" s="2">
        <v>238700</v>
      </c>
      <c r="H5" s="2">
        <v>220000</v>
      </c>
      <c r="I5" s="2">
        <v>179300</v>
      </c>
      <c r="J5" s="2">
        <v>196900</v>
      </c>
      <c r="K5" s="2">
        <v>79200</v>
      </c>
      <c r="L5" s="2">
        <v>167200</v>
      </c>
      <c r="M5" s="2">
        <v>262900</v>
      </c>
      <c r="N5" s="2">
        <v>352000</v>
      </c>
      <c r="O5" s="2">
        <v>195800</v>
      </c>
      <c r="P5" s="2">
        <v>132000</v>
      </c>
      <c r="Q5" s="2">
        <v>16500</v>
      </c>
      <c r="R5" s="2">
        <v>137500</v>
      </c>
      <c r="S5" s="2">
        <v>45100</v>
      </c>
      <c r="T5" s="2">
        <v>85800</v>
      </c>
      <c r="U5" s="2">
        <v>61600</v>
      </c>
      <c r="V5" s="2">
        <v>38500</v>
      </c>
    </row>
    <row r="6" spans="1:22" x14ac:dyDescent="0.3">
      <c r="A6" t="s">
        <v>1</v>
      </c>
      <c r="B6" t="s">
        <v>100</v>
      </c>
      <c r="C6">
        <f t="shared" si="0"/>
        <v>45</v>
      </c>
      <c r="D6" s="2">
        <v>3370400</v>
      </c>
      <c r="E6" s="2">
        <v>383900</v>
      </c>
      <c r="F6" s="2">
        <v>455400</v>
      </c>
      <c r="G6" s="2">
        <v>269500</v>
      </c>
      <c r="H6" s="2">
        <v>332200</v>
      </c>
      <c r="I6" s="2">
        <v>238700</v>
      </c>
      <c r="J6" s="2">
        <v>80300</v>
      </c>
      <c r="K6" s="2">
        <v>244200</v>
      </c>
      <c r="L6" s="2">
        <v>227700</v>
      </c>
      <c r="M6" s="2">
        <v>116600</v>
      </c>
      <c r="N6" s="2">
        <v>194700</v>
      </c>
      <c r="O6" s="2">
        <v>237600</v>
      </c>
      <c r="P6" s="2">
        <v>115500</v>
      </c>
      <c r="Q6" s="2">
        <v>95700</v>
      </c>
      <c r="R6" s="2">
        <v>112200</v>
      </c>
      <c r="S6" s="2">
        <v>81400</v>
      </c>
      <c r="T6" s="2">
        <v>135300</v>
      </c>
      <c r="U6" s="2">
        <v>41800</v>
      </c>
      <c r="V6" s="2">
        <v>7700</v>
      </c>
    </row>
    <row r="7" spans="1:22" x14ac:dyDescent="0.3">
      <c r="B7" t="s">
        <v>144</v>
      </c>
      <c r="C7">
        <f t="shared" si="0"/>
        <v>25</v>
      </c>
      <c r="D7" s="2">
        <f>SUM(D2:D6)</f>
        <v>22089131</v>
      </c>
      <c r="E7" s="2">
        <f t="shared" ref="E7:V7" si="1">SUM(E2:E6)</f>
        <v>2841300</v>
      </c>
      <c r="F7" s="2">
        <f t="shared" si="1"/>
        <v>2757700</v>
      </c>
      <c r="G7" s="2">
        <f t="shared" si="1"/>
        <v>1464100</v>
      </c>
      <c r="H7" s="2">
        <f t="shared" si="1"/>
        <v>1670900</v>
      </c>
      <c r="I7" s="2">
        <f t="shared" si="1"/>
        <v>1312300</v>
      </c>
      <c r="J7" s="2">
        <f t="shared" si="1"/>
        <v>1067000</v>
      </c>
      <c r="K7" s="2">
        <f t="shared" si="1"/>
        <v>1157200</v>
      </c>
      <c r="L7" s="2">
        <f t="shared" si="1"/>
        <v>1538900</v>
      </c>
      <c r="M7" s="2">
        <f t="shared" si="1"/>
        <v>1711600</v>
      </c>
      <c r="N7" s="2">
        <f t="shared" si="1"/>
        <v>1590600</v>
      </c>
      <c r="O7" s="2">
        <f t="shared" si="1"/>
        <v>1106600</v>
      </c>
      <c r="P7" s="2">
        <f t="shared" si="1"/>
        <v>944900</v>
      </c>
      <c r="Q7" s="2">
        <f t="shared" si="1"/>
        <v>720500</v>
      </c>
      <c r="R7" s="2">
        <f t="shared" si="1"/>
        <v>739220</v>
      </c>
      <c r="S7" s="2">
        <f t="shared" si="1"/>
        <v>533500</v>
      </c>
      <c r="T7" s="2">
        <f t="shared" si="1"/>
        <v>484011</v>
      </c>
      <c r="U7" s="2">
        <f t="shared" si="1"/>
        <v>276100</v>
      </c>
      <c r="V7" s="2">
        <f t="shared" si="1"/>
        <v>172700</v>
      </c>
    </row>
    <row r="8" spans="1:22" x14ac:dyDescent="0.3">
      <c r="A8" t="s">
        <v>1</v>
      </c>
      <c r="B8" t="s">
        <v>103</v>
      </c>
      <c r="C8">
        <f t="shared" si="0"/>
        <v>55</v>
      </c>
      <c r="D8" s="2">
        <v>3389100</v>
      </c>
      <c r="E8" s="2">
        <v>203500</v>
      </c>
      <c r="F8" s="2">
        <v>536800</v>
      </c>
      <c r="G8" s="2">
        <v>189200</v>
      </c>
      <c r="H8" s="2">
        <v>154000</v>
      </c>
      <c r="I8" s="2">
        <v>203500</v>
      </c>
      <c r="J8" s="2">
        <v>137500</v>
      </c>
      <c r="K8" s="2">
        <v>168300</v>
      </c>
      <c r="L8" s="2">
        <v>160600</v>
      </c>
      <c r="M8" s="2">
        <v>231000</v>
      </c>
      <c r="N8" s="2">
        <v>240900</v>
      </c>
      <c r="O8" s="2">
        <v>563200</v>
      </c>
      <c r="P8" s="2">
        <v>48400</v>
      </c>
      <c r="Q8" s="2">
        <v>286000</v>
      </c>
      <c r="R8" s="2">
        <v>114400</v>
      </c>
      <c r="S8" s="2">
        <v>23100</v>
      </c>
      <c r="T8" s="2">
        <v>45100</v>
      </c>
      <c r="U8" s="2">
        <v>62700</v>
      </c>
      <c r="V8" s="2">
        <v>20900</v>
      </c>
    </row>
    <row r="9" spans="1:22" x14ac:dyDescent="0.3">
      <c r="A9" t="s">
        <v>1</v>
      </c>
      <c r="B9" t="s">
        <v>106</v>
      </c>
      <c r="C9">
        <f t="shared" si="0"/>
        <v>65</v>
      </c>
      <c r="D9" s="2">
        <v>2466200</v>
      </c>
      <c r="E9" s="2">
        <v>261800</v>
      </c>
      <c r="F9" s="2">
        <v>322300</v>
      </c>
      <c r="G9" s="2">
        <v>213400</v>
      </c>
      <c r="H9" s="2">
        <v>136400</v>
      </c>
      <c r="I9" s="2">
        <v>238700</v>
      </c>
      <c r="J9" s="2">
        <v>154000</v>
      </c>
      <c r="K9" s="2">
        <v>83600</v>
      </c>
      <c r="L9" s="2">
        <v>256300</v>
      </c>
      <c r="M9" s="2">
        <v>182600</v>
      </c>
      <c r="N9" s="2">
        <v>136400</v>
      </c>
      <c r="O9" s="2">
        <v>137500</v>
      </c>
      <c r="P9" s="2">
        <v>213400</v>
      </c>
      <c r="Q9" s="2">
        <v>26400</v>
      </c>
      <c r="R9" s="2">
        <v>45100</v>
      </c>
      <c r="S9" s="2">
        <v>39600</v>
      </c>
      <c r="T9" s="2">
        <v>18700</v>
      </c>
      <c r="U9">
        <v>0</v>
      </c>
      <c r="V9">
        <v>0</v>
      </c>
    </row>
    <row r="10" spans="1:22" x14ac:dyDescent="0.3">
      <c r="A10" t="s">
        <v>1</v>
      </c>
      <c r="B10" t="s">
        <v>108</v>
      </c>
      <c r="C10">
        <f t="shared" si="0"/>
        <v>75</v>
      </c>
      <c r="D10" s="2">
        <v>2037200</v>
      </c>
      <c r="E10" s="2">
        <v>202400</v>
      </c>
      <c r="F10" s="2">
        <v>244200</v>
      </c>
      <c r="G10" s="2">
        <v>77000</v>
      </c>
      <c r="H10" s="2">
        <v>85800</v>
      </c>
      <c r="I10" s="2">
        <v>232100</v>
      </c>
      <c r="J10" s="2">
        <v>84700</v>
      </c>
      <c r="K10" s="2">
        <v>347600</v>
      </c>
      <c r="L10" s="2">
        <v>46200</v>
      </c>
      <c r="M10" s="2">
        <v>118800</v>
      </c>
      <c r="N10" s="2">
        <v>80300</v>
      </c>
      <c r="O10" s="2">
        <v>84700</v>
      </c>
      <c r="P10" s="2">
        <v>207900</v>
      </c>
      <c r="Q10" s="2">
        <v>61600</v>
      </c>
      <c r="R10" s="2">
        <v>86900</v>
      </c>
      <c r="S10" s="2">
        <v>55000</v>
      </c>
      <c r="T10" s="2">
        <v>14300</v>
      </c>
      <c r="U10" s="2">
        <v>7700</v>
      </c>
      <c r="V10">
        <v>0</v>
      </c>
    </row>
    <row r="11" spans="1:22" x14ac:dyDescent="0.3">
      <c r="A11" t="s">
        <v>1</v>
      </c>
      <c r="B11" t="s">
        <v>110</v>
      </c>
      <c r="C11">
        <f t="shared" si="0"/>
        <v>85</v>
      </c>
      <c r="D11" s="2">
        <v>3283500</v>
      </c>
      <c r="E11" s="2">
        <v>508200</v>
      </c>
      <c r="F11" s="2">
        <v>316800</v>
      </c>
      <c r="G11" s="2">
        <v>292600</v>
      </c>
      <c r="H11" s="2">
        <v>53900</v>
      </c>
      <c r="I11" s="2">
        <v>275000</v>
      </c>
      <c r="J11" s="2">
        <v>44000</v>
      </c>
      <c r="K11" s="2">
        <v>139700</v>
      </c>
      <c r="L11" s="2">
        <v>146300</v>
      </c>
      <c r="M11" s="2">
        <v>216700</v>
      </c>
      <c r="N11" s="2">
        <v>144100</v>
      </c>
      <c r="O11" s="2">
        <v>205700</v>
      </c>
      <c r="P11" s="2">
        <v>436700</v>
      </c>
      <c r="Q11" s="2">
        <v>152900</v>
      </c>
      <c r="R11" s="2">
        <v>89100</v>
      </c>
      <c r="S11" s="2">
        <v>170500</v>
      </c>
      <c r="T11" s="2">
        <v>6600</v>
      </c>
      <c r="U11" s="2">
        <v>66000</v>
      </c>
      <c r="V11" s="2">
        <v>18700</v>
      </c>
    </row>
    <row r="12" spans="1:22" x14ac:dyDescent="0.3">
      <c r="A12" t="s">
        <v>1</v>
      </c>
      <c r="B12" t="s">
        <v>112</v>
      </c>
      <c r="C12">
        <f t="shared" si="0"/>
        <v>95</v>
      </c>
      <c r="D12" s="2">
        <v>3869800</v>
      </c>
      <c r="E12" s="2">
        <v>486200</v>
      </c>
      <c r="F12" s="2">
        <v>344300</v>
      </c>
      <c r="G12" s="2">
        <v>239800</v>
      </c>
      <c r="H12" s="2">
        <v>228800</v>
      </c>
      <c r="I12" s="2">
        <v>389400</v>
      </c>
      <c r="J12" s="2">
        <v>210100</v>
      </c>
      <c r="K12" s="2">
        <v>235400</v>
      </c>
      <c r="L12" s="2">
        <v>221100</v>
      </c>
      <c r="M12" s="2">
        <v>289300</v>
      </c>
      <c r="N12" s="2">
        <v>502700</v>
      </c>
      <c r="O12" s="2">
        <v>141900</v>
      </c>
      <c r="P12" s="2">
        <v>138600</v>
      </c>
      <c r="Q12" s="2">
        <v>99000</v>
      </c>
      <c r="R12" s="2">
        <v>125400</v>
      </c>
      <c r="S12" s="2">
        <v>178200</v>
      </c>
      <c r="T12" s="2">
        <v>15400</v>
      </c>
      <c r="U12" s="2">
        <v>17600</v>
      </c>
      <c r="V12" s="2">
        <v>6600</v>
      </c>
    </row>
    <row r="13" spans="1:22" x14ac:dyDescent="0.3">
      <c r="B13" t="s">
        <v>143</v>
      </c>
      <c r="C13">
        <f t="shared" si="0"/>
        <v>75</v>
      </c>
      <c r="D13" s="2">
        <f>SUM(D8:D12)</f>
        <v>15045800</v>
      </c>
      <c r="E13" s="2">
        <f t="shared" ref="E13:V13" si="2">SUM(E8:E12)</f>
        <v>1662100</v>
      </c>
      <c r="F13" s="2">
        <f t="shared" si="2"/>
        <v>1764400</v>
      </c>
      <c r="G13" s="2">
        <f t="shared" si="2"/>
        <v>1012000</v>
      </c>
      <c r="H13" s="2">
        <f t="shared" si="2"/>
        <v>658900</v>
      </c>
      <c r="I13" s="2">
        <f t="shared" si="2"/>
        <v>1338700</v>
      </c>
      <c r="J13" s="2">
        <f t="shared" si="2"/>
        <v>630300</v>
      </c>
      <c r="K13" s="2">
        <f t="shared" si="2"/>
        <v>974600</v>
      </c>
      <c r="L13" s="2">
        <f t="shared" si="2"/>
        <v>830500</v>
      </c>
      <c r="M13" s="2">
        <f t="shared" si="2"/>
        <v>1038400</v>
      </c>
      <c r="N13" s="2">
        <f t="shared" si="2"/>
        <v>1104400</v>
      </c>
      <c r="O13" s="2">
        <f t="shared" si="2"/>
        <v>1133000</v>
      </c>
      <c r="P13" s="2">
        <f t="shared" si="2"/>
        <v>1045000</v>
      </c>
      <c r="Q13" s="2">
        <f t="shared" si="2"/>
        <v>625900</v>
      </c>
      <c r="R13" s="2">
        <f t="shared" si="2"/>
        <v>460900</v>
      </c>
      <c r="S13" s="2">
        <f t="shared" si="2"/>
        <v>466400</v>
      </c>
      <c r="T13" s="2">
        <f t="shared" si="2"/>
        <v>100100</v>
      </c>
      <c r="U13" s="2">
        <f t="shared" si="2"/>
        <v>154000</v>
      </c>
      <c r="V13" s="2">
        <f t="shared" si="2"/>
        <v>46200</v>
      </c>
    </row>
    <row r="14" spans="1:22" x14ac:dyDescent="0.3">
      <c r="A14" t="s">
        <v>1</v>
      </c>
      <c r="B14" t="s">
        <v>86</v>
      </c>
      <c r="C14">
        <f t="shared" si="0"/>
        <v>105</v>
      </c>
      <c r="D14" s="2">
        <v>1669800</v>
      </c>
      <c r="E14" s="2">
        <v>108900</v>
      </c>
      <c r="F14" s="2">
        <v>151800</v>
      </c>
      <c r="G14" s="2">
        <v>105600</v>
      </c>
      <c r="H14">
        <v>0</v>
      </c>
      <c r="I14" s="2">
        <v>369600</v>
      </c>
      <c r="J14" s="2">
        <v>42900</v>
      </c>
      <c r="K14" s="2">
        <v>213400</v>
      </c>
      <c r="L14" s="2">
        <v>55000</v>
      </c>
      <c r="M14" s="2">
        <v>212300</v>
      </c>
      <c r="N14" s="2">
        <v>17600</v>
      </c>
      <c r="O14" s="2">
        <v>160600</v>
      </c>
      <c r="P14" s="2">
        <v>50600</v>
      </c>
      <c r="Q14" s="2">
        <v>44000</v>
      </c>
      <c r="R14" s="2">
        <v>61600</v>
      </c>
      <c r="S14" s="2">
        <v>64900</v>
      </c>
      <c r="T14">
        <v>0</v>
      </c>
      <c r="U14" s="2">
        <v>11000</v>
      </c>
      <c r="V14">
        <v>0</v>
      </c>
    </row>
    <row r="15" spans="1:22" x14ac:dyDescent="0.3">
      <c r="A15" t="s">
        <v>1</v>
      </c>
      <c r="B15" t="s">
        <v>88</v>
      </c>
      <c r="C15">
        <f t="shared" si="0"/>
        <v>115</v>
      </c>
      <c r="D15" s="2">
        <v>4270200</v>
      </c>
      <c r="E15" s="2">
        <v>368500</v>
      </c>
      <c r="F15" s="2">
        <v>453200</v>
      </c>
      <c r="G15" s="2">
        <v>308000</v>
      </c>
      <c r="H15" s="2">
        <v>173800</v>
      </c>
      <c r="I15" s="2">
        <v>343200</v>
      </c>
      <c r="J15" s="2">
        <v>348700</v>
      </c>
      <c r="K15" s="2">
        <v>275000</v>
      </c>
      <c r="L15" s="2">
        <v>387200</v>
      </c>
      <c r="M15" s="2">
        <v>291500</v>
      </c>
      <c r="N15" s="2">
        <v>218900</v>
      </c>
      <c r="O15" s="2">
        <v>196900</v>
      </c>
      <c r="P15" s="2">
        <v>303600</v>
      </c>
      <c r="Q15" s="2">
        <v>207900</v>
      </c>
      <c r="R15" s="2">
        <v>36300</v>
      </c>
      <c r="S15" s="2">
        <v>154000</v>
      </c>
      <c r="T15" s="2">
        <v>72600</v>
      </c>
      <c r="U15" s="2">
        <v>124300</v>
      </c>
      <c r="V15" s="2">
        <v>6600</v>
      </c>
    </row>
    <row r="16" spans="1:22" x14ac:dyDescent="0.3">
      <c r="A16" t="s">
        <v>1</v>
      </c>
      <c r="B16" t="s">
        <v>89</v>
      </c>
      <c r="C16">
        <f t="shared" si="0"/>
        <v>125</v>
      </c>
      <c r="D16" s="2">
        <v>1817200</v>
      </c>
      <c r="E16" s="2">
        <v>101200</v>
      </c>
      <c r="F16" s="2">
        <v>255200</v>
      </c>
      <c r="G16" s="2">
        <v>194700</v>
      </c>
      <c r="H16" s="2">
        <v>12100</v>
      </c>
      <c r="I16" s="2">
        <v>151800</v>
      </c>
      <c r="J16" s="2">
        <v>179300</v>
      </c>
      <c r="K16" s="2">
        <v>246400</v>
      </c>
      <c r="L16" s="2">
        <v>102300</v>
      </c>
      <c r="M16" s="2">
        <v>138600</v>
      </c>
      <c r="N16" s="2">
        <v>2200</v>
      </c>
      <c r="O16" s="2">
        <v>253000</v>
      </c>
      <c r="P16" s="2">
        <v>56100</v>
      </c>
      <c r="Q16" s="2">
        <v>39600</v>
      </c>
      <c r="R16" s="2">
        <v>39600</v>
      </c>
      <c r="S16" s="2">
        <v>25300</v>
      </c>
      <c r="T16">
        <v>0</v>
      </c>
      <c r="U16">
        <v>0</v>
      </c>
      <c r="V16" s="2">
        <v>19800</v>
      </c>
    </row>
    <row r="17" spans="1:22" x14ac:dyDescent="0.3">
      <c r="A17" t="s">
        <v>1</v>
      </c>
      <c r="B17" t="s">
        <v>90</v>
      </c>
      <c r="C17">
        <f t="shared" si="0"/>
        <v>135</v>
      </c>
      <c r="D17" s="2">
        <v>2250600</v>
      </c>
      <c r="E17" s="2">
        <v>185900</v>
      </c>
      <c r="F17" s="2">
        <v>39600</v>
      </c>
      <c r="G17" s="2">
        <v>418000</v>
      </c>
      <c r="H17" s="2">
        <v>91300</v>
      </c>
      <c r="I17" s="2">
        <v>90200</v>
      </c>
      <c r="J17" s="2">
        <v>209000</v>
      </c>
      <c r="K17" s="2">
        <v>150700</v>
      </c>
      <c r="L17" s="2">
        <v>107800</v>
      </c>
      <c r="M17" s="2">
        <v>284900</v>
      </c>
      <c r="N17" s="2">
        <v>167200</v>
      </c>
      <c r="O17" s="2">
        <v>64900</v>
      </c>
      <c r="P17" s="2">
        <v>242000</v>
      </c>
      <c r="Q17" s="2">
        <v>19800</v>
      </c>
      <c r="R17">
        <v>0</v>
      </c>
      <c r="S17" s="2">
        <v>28600</v>
      </c>
      <c r="T17" s="2">
        <v>55000</v>
      </c>
      <c r="U17" s="2">
        <v>29700</v>
      </c>
      <c r="V17" s="2">
        <v>66000</v>
      </c>
    </row>
    <row r="18" spans="1:22" x14ac:dyDescent="0.3">
      <c r="A18" t="s">
        <v>1</v>
      </c>
      <c r="B18" t="s">
        <v>91</v>
      </c>
      <c r="C18">
        <f t="shared" si="0"/>
        <v>145</v>
      </c>
      <c r="D18" s="2">
        <v>2434300</v>
      </c>
      <c r="E18" s="2">
        <v>212300</v>
      </c>
      <c r="F18" s="2">
        <v>125400</v>
      </c>
      <c r="G18" s="2">
        <v>179300</v>
      </c>
      <c r="H18" s="2">
        <v>226600</v>
      </c>
      <c r="I18" s="2">
        <v>150700</v>
      </c>
      <c r="J18" s="2">
        <v>35200</v>
      </c>
      <c r="K18" s="2">
        <v>36300</v>
      </c>
      <c r="L18" s="2">
        <v>125400</v>
      </c>
      <c r="M18" s="2">
        <v>46200</v>
      </c>
      <c r="N18" s="2">
        <v>300300</v>
      </c>
      <c r="O18" s="2">
        <v>565400</v>
      </c>
      <c r="P18" s="2">
        <v>119900</v>
      </c>
      <c r="Q18" s="2">
        <v>14300</v>
      </c>
      <c r="R18" s="2">
        <v>11000</v>
      </c>
      <c r="S18" s="2">
        <v>168300</v>
      </c>
      <c r="T18" s="2">
        <v>88000</v>
      </c>
      <c r="U18" s="2">
        <v>22000</v>
      </c>
      <c r="V18" s="2">
        <v>7700</v>
      </c>
    </row>
    <row r="19" spans="1:22" x14ac:dyDescent="0.3">
      <c r="B19" t="s">
        <v>142</v>
      </c>
      <c r="C19">
        <f t="shared" si="0"/>
        <v>125</v>
      </c>
      <c r="D19" s="2">
        <f>SUM(D14:D18)</f>
        <v>12442100</v>
      </c>
      <c r="E19" s="2">
        <f t="shared" ref="E19:V19" si="3">SUM(E14:E18)</f>
        <v>976800</v>
      </c>
      <c r="F19" s="2">
        <f t="shared" si="3"/>
        <v>1025200</v>
      </c>
      <c r="G19" s="2">
        <f t="shared" si="3"/>
        <v>1205600</v>
      </c>
      <c r="H19" s="2">
        <f t="shared" si="3"/>
        <v>503800</v>
      </c>
      <c r="I19" s="2">
        <f t="shared" si="3"/>
        <v>1105500</v>
      </c>
      <c r="J19" s="2">
        <f t="shared" si="3"/>
        <v>815100</v>
      </c>
      <c r="K19" s="2">
        <f t="shared" si="3"/>
        <v>921800</v>
      </c>
      <c r="L19" s="2">
        <f t="shared" si="3"/>
        <v>777700</v>
      </c>
      <c r="M19" s="2">
        <f t="shared" si="3"/>
        <v>973500</v>
      </c>
      <c r="N19" s="2">
        <f t="shared" si="3"/>
        <v>706200</v>
      </c>
      <c r="O19" s="2">
        <f t="shared" si="3"/>
        <v>1240800</v>
      </c>
      <c r="P19" s="2">
        <f t="shared" si="3"/>
        <v>772200</v>
      </c>
      <c r="Q19" s="2">
        <f t="shared" si="3"/>
        <v>325600</v>
      </c>
      <c r="R19" s="2">
        <f t="shared" si="3"/>
        <v>148500</v>
      </c>
      <c r="S19" s="2">
        <f t="shared" si="3"/>
        <v>441100</v>
      </c>
      <c r="T19" s="2">
        <f t="shared" si="3"/>
        <v>215600</v>
      </c>
      <c r="U19" s="2">
        <f t="shared" si="3"/>
        <v>187000</v>
      </c>
      <c r="V19" s="2">
        <f t="shared" si="3"/>
        <v>100100</v>
      </c>
    </row>
    <row r="20" spans="1:22" x14ac:dyDescent="0.3">
      <c r="A20" t="s">
        <v>1</v>
      </c>
      <c r="B20" t="s">
        <v>92</v>
      </c>
      <c r="C20">
        <f t="shared" si="0"/>
        <v>175</v>
      </c>
      <c r="D20" s="2">
        <v>10100200</v>
      </c>
      <c r="E20" s="2">
        <v>732600</v>
      </c>
      <c r="F20" s="2">
        <v>776600</v>
      </c>
      <c r="G20" s="2">
        <v>313500</v>
      </c>
      <c r="H20" s="2">
        <v>899800</v>
      </c>
      <c r="I20" s="2">
        <v>994400</v>
      </c>
      <c r="J20" s="2">
        <v>342100</v>
      </c>
      <c r="K20" s="2">
        <v>768900</v>
      </c>
      <c r="L20" s="2">
        <v>522500</v>
      </c>
      <c r="M20" s="2">
        <v>674300</v>
      </c>
      <c r="N20" s="2">
        <v>563200</v>
      </c>
      <c r="O20" s="2">
        <v>787600</v>
      </c>
      <c r="P20" s="2">
        <v>662200</v>
      </c>
      <c r="Q20" s="2">
        <v>646800</v>
      </c>
      <c r="R20" s="2">
        <v>503800</v>
      </c>
      <c r="S20" s="2">
        <v>161700</v>
      </c>
      <c r="T20" s="2">
        <v>312400</v>
      </c>
      <c r="U20" s="2">
        <v>147400</v>
      </c>
      <c r="V20" s="2">
        <v>290400</v>
      </c>
    </row>
    <row r="21" spans="1:22" x14ac:dyDescent="0.3">
      <c r="A21" t="s">
        <v>1</v>
      </c>
      <c r="B21" t="s">
        <v>93</v>
      </c>
      <c r="C21">
        <f t="shared" si="0"/>
        <v>225</v>
      </c>
      <c r="D21" s="2">
        <v>14974300</v>
      </c>
      <c r="E21" s="2">
        <v>1116500</v>
      </c>
      <c r="F21" s="2">
        <v>910800</v>
      </c>
      <c r="G21" s="2">
        <v>2036100</v>
      </c>
      <c r="H21" s="2">
        <v>1337600</v>
      </c>
      <c r="I21" s="2">
        <v>855800</v>
      </c>
      <c r="J21" s="2">
        <v>816200</v>
      </c>
      <c r="K21" s="2">
        <v>1570800</v>
      </c>
      <c r="L21" s="2">
        <v>607200</v>
      </c>
      <c r="M21" s="2">
        <v>807400</v>
      </c>
      <c r="N21" s="2">
        <v>709500</v>
      </c>
      <c r="O21" s="2">
        <v>1052700</v>
      </c>
      <c r="P21" s="2">
        <v>1062600</v>
      </c>
      <c r="Q21" s="2">
        <v>465300</v>
      </c>
      <c r="R21" s="2">
        <v>486200</v>
      </c>
      <c r="S21" s="2">
        <v>382800</v>
      </c>
      <c r="T21" s="2">
        <v>392700</v>
      </c>
      <c r="U21" s="2">
        <v>198000</v>
      </c>
      <c r="V21" s="2">
        <v>166100</v>
      </c>
    </row>
    <row r="22" spans="1:22" x14ac:dyDescent="0.3">
      <c r="A22" t="s">
        <v>1</v>
      </c>
      <c r="B22" t="s">
        <v>95</v>
      </c>
      <c r="C22">
        <f t="shared" si="0"/>
        <v>275</v>
      </c>
      <c r="D22" s="2">
        <v>26992900</v>
      </c>
      <c r="E22" s="2">
        <v>3129500</v>
      </c>
      <c r="F22" s="2">
        <v>2171400</v>
      </c>
      <c r="G22" s="2">
        <v>1952500</v>
      </c>
      <c r="H22" s="2">
        <v>1296900</v>
      </c>
      <c r="I22" s="2">
        <v>1324400</v>
      </c>
      <c r="J22" s="2">
        <v>1642300</v>
      </c>
      <c r="K22" s="2">
        <v>1939300</v>
      </c>
      <c r="L22" s="2">
        <v>2030600</v>
      </c>
      <c r="M22" s="2">
        <v>1445400</v>
      </c>
      <c r="N22" s="2">
        <v>620400</v>
      </c>
      <c r="O22" s="2">
        <v>1994300</v>
      </c>
      <c r="P22" s="2">
        <v>1838100</v>
      </c>
      <c r="Q22" s="2">
        <v>1810600</v>
      </c>
      <c r="R22" s="2">
        <v>1181400</v>
      </c>
      <c r="S22" s="2">
        <v>744700</v>
      </c>
      <c r="T22" s="2">
        <v>918500</v>
      </c>
      <c r="U22" s="2">
        <v>613800</v>
      </c>
      <c r="V22" s="2">
        <v>338800</v>
      </c>
    </row>
    <row r="23" spans="1:22" x14ac:dyDescent="0.3">
      <c r="A23" t="s">
        <v>1</v>
      </c>
      <c r="B23" t="s">
        <v>96</v>
      </c>
      <c r="C23">
        <f t="shared" si="0"/>
        <v>325</v>
      </c>
      <c r="D23" s="2">
        <v>16999400</v>
      </c>
      <c r="E23" s="2">
        <v>924000</v>
      </c>
      <c r="F23" s="2">
        <v>995500</v>
      </c>
      <c r="G23" s="2">
        <v>1563100</v>
      </c>
      <c r="H23" s="2">
        <v>963600</v>
      </c>
      <c r="I23" s="2">
        <v>288200</v>
      </c>
      <c r="J23" s="2">
        <v>961400</v>
      </c>
      <c r="K23" s="2">
        <v>1381600</v>
      </c>
      <c r="L23" s="2">
        <v>713900</v>
      </c>
      <c r="M23" s="2">
        <v>1194600</v>
      </c>
      <c r="N23" s="2">
        <v>1316700</v>
      </c>
      <c r="O23" s="2">
        <v>839300</v>
      </c>
      <c r="P23" s="2">
        <v>467500</v>
      </c>
      <c r="Q23" s="2">
        <v>1794100</v>
      </c>
      <c r="R23" s="2">
        <v>950400</v>
      </c>
      <c r="S23" s="2">
        <v>715000</v>
      </c>
      <c r="T23" s="2">
        <v>699600</v>
      </c>
      <c r="U23" s="2">
        <v>594000</v>
      </c>
      <c r="V23" s="2">
        <v>636900</v>
      </c>
    </row>
    <row r="24" spans="1:22" x14ac:dyDescent="0.3">
      <c r="A24" t="s">
        <v>1</v>
      </c>
      <c r="B24" t="s">
        <v>98</v>
      </c>
      <c r="C24">
        <f t="shared" si="0"/>
        <v>375</v>
      </c>
      <c r="D24" s="2">
        <v>16676000</v>
      </c>
      <c r="E24" s="2">
        <v>1166000</v>
      </c>
      <c r="F24" s="2">
        <v>601700</v>
      </c>
      <c r="G24" s="2">
        <v>550000</v>
      </c>
      <c r="H24" s="2">
        <v>550000</v>
      </c>
      <c r="I24" s="2">
        <v>754600</v>
      </c>
      <c r="J24" s="2">
        <v>1551000</v>
      </c>
      <c r="K24" s="2">
        <v>1856800</v>
      </c>
      <c r="L24" s="2">
        <v>1227600</v>
      </c>
      <c r="M24" s="2">
        <v>739200</v>
      </c>
      <c r="N24" s="2">
        <v>1233100</v>
      </c>
      <c r="O24" s="2">
        <v>566500</v>
      </c>
      <c r="P24" s="2">
        <v>739200</v>
      </c>
      <c r="Q24" s="2">
        <v>922900</v>
      </c>
      <c r="R24" s="2">
        <v>1392600</v>
      </c>
      <c r="S24" s="2">
        <v>759000</v>
      </c>
      <c r="T24" s="2">
        <v>826100</v>
      </c>
      <c r="U24" s="2">
        <v>913000</v>
      </c>
      <c r="V24" s="2">
        <v>326700</v>
      </c>
    </row>
    <row r="25" spans="1:22" x14ac:dyDescent="0.3">
      <c r="A25" t="s">
        <v>1</v>
      </c>
      <c r="B25" t="s">
        <v>99</v>
      </c>
      <c r="C25">
        <f t="shared" si="0"/>
        <v>425</v>
      </c>
      <c r="D25" s="2">
        <v>11938300</v>
      </c>
      <c r="E25" s="2">
        <v>1612600</v>
      </c>
      <c r="F25" s="2">
        <v>352000</v>
      </c>
      <c r="G25" s="2">
        <v>1315600</v>
      </c>
      <c r="H25" s="2">
        <v>418000</v>
      </c>
      <c r="I25" s="2">
        <v>376200</v>
      </c>
      <c r="J25" s="2">
        <v>1144000</v>
      </c>
      <c r="K25" s="2">
        <v>1160500</v>
      </c>
      <c r="L25" s="2">
        <v>385000</v>
      </c>
      <c r="M25" s="2">
        <v>408100</v>
      </c>
      <c r="N25" s="2">
        <v>335500</v>
      </c>
      <c r="O25" s="2">
        <v>281600</v>
      </c>
      <c r="P25" s="2">
        <v>877800</v>
      </c>
      <c r="Q25" s="2">
        <v>971300</v>
      </c>
      <c r="R25" s="2">
        <v>370700</v>
      </c>
      <c r="S25" s="2">
        <v>448800</v>
      </c>
      <c r="T25" s="2">
        <v>411400</v>
      </c>
      <c r="U25" s="2">
        <v>579700</v>
      </c>
      <c r="V25" s="2">
        <v>489500</v>
      </c>
    </row>
    <row r="26" spans="1:22" x14ac:dyDescent="0.3">
      <c r="A26" t="s">
        <v>1</v>
      </c>
      <c r="B26" t="s">
        <v>101</v>
      </c>
      <c r="C26">
        <f t="shared" si="0"/>
        <v>475</v>
      </c>
      <c r="D26" s="2">
        <v>13483800</v>
      </c>
      <c r="E26" s="2">
        <v>803000</v>
      </c>
      <c r="F26" s="2">
        <v>1485000</v>
      </c>
      <c r="G26" s="2">
        <v>1384900</v>
      </c>
      <c r="H26" s="2">
        <v>589600</v>
      </c>
      <c r="I26" s="2">
        <v>231000</v>
      </c>
      <c r="J26" s="2">
        <v>1430000</v>
      </c>
      <c r="K26" s="2">
        <v>545600</v>
      </c>
      <c r="L26" s="2">
        <v>705100</v>
      </c>
      <c r="M26" s="2">
        <v>647900</v>
      </c>
      <c r="N26" s="2">
        <v>872300</v>
      </c>
      <c r="O26" s="2">
        <v>155100</v>
      </c>
      <c r="P26" s="2">
        <v>116600</v>
      </c>
      <c r="Q26" s="2">
        <v>1062600</v>
      </c>
      <c r="R26" s="2">
        <v>1822700</v>
      </c>
      <c r="S26" s="2">
        <v>275000</v>
      </c>
      <c r="T26" s="2">
        <v>521400</v>
      </c>
      <c r="U26" s="2">
        <v>480700</v>
      </c>
      <c r="V26" s="2">
        <v>355300</v>
      </c>
    </row>
    <row r="27" spans="1:22" x14ac:dyDescent="0.3">
      <c r="A27" t="s">
        <v>1</v>
      </c>
      <c r="B27" t="s">
        <v>102</v>
      </c>
      <c r="C27">
        <f t="shared" si="0"/>
        <v>525</v>
      </c>
      <c r="D27" s="2">
        <v>4370300</v>
      </c>
      <c r="E27" s="2">
        <v>220000</v>
      </c>
      <c r="F27" s="2">
        <v>814000</v>
      </c>
      <c r="G27" s="2">
        <v>238700</v>
      </c>
      <c r="H27" s="2">
        <v>501600</v>
      </c>
      <c r="I27" s="2">
        <v>341000</v>
      </c>
      <c r="J27" s="2">
        <v>319000</v>
      </c>
      <c r="K27" s="2">
        <v>0</v>
      </c>
      <c r="L27" s="2">
        <v>143000</v>
      </c>
      <c r="M27" s="2">
        <v>275000</v>
      </c>
      <c r="N27" s="2">
        <v>440000</v>
      </c>
      <c r="O27">
        <v>0</v>
      </c>
      <c r="P27" s="2">
        <v>440000</v>
      </c>
      <c r="Q27" s="2">
        <v>110000</v>
      </c>
      <c r="R27" s="2">
        <v>440000</v>
      </c>
      <c r="S27">
        <v>0</v>
      </c>
      <c r="T27" s="2">
        <v>11000</v>
      </c>
      <c r="U27">
        <v>0</v>
      </c>
      <c r="V27" s="2">
        <v>77000</v>
      </c>
    </row>
    <row r="28" spans="1:22" x14ac:dyDescent="0.3">
      <c r="A28" t="s">
        <v>1</v>
      </c>
      <c r="B28" t="s">
        <v>104</v>
      </c>
      <c r="C28">
        <f t="shared" si="0"/>
        <v>575</v>
      </c>
      <c r="D28" s="2">
        <v>5654000</v>
      </c>
      <c r="E28" s="2">
        <v>1382700</v>
      </c>
      <c r="F28" s="2">
        <v>253000</v>
      </c>
      <c r="G28" s="2">
        <v>231000</v>
      </c>
      <c r="H28" s="2">
        <v>385000</v>
      </c>
      <c r="I28" s="2">
        <v>880000</v>
      </c>
      <c r="J28" s="2">
        <v>245300</v>
      </c>
      <c r="K28" s="2">
        <v>352000</v>
      </c>
      <c r="L28" s="2">
        <v>66000</v>
      </c>
      <c r="M28" s="2">
        <v>220000</v>
      </c>
      <c r="N28" s="2">
        <v>116600</v>
      </c>
      <c r="O28" s="2">
        <v>330000</v>
      </c>
      <c r="P28" s="2">
        <v>110000</v>
      </c>
      <c r="Q28">
        <v>0</v>
      </c>
      <c r="R28" s="2">
        <v>110000</v>
      </c>
      <c r="S28" s="2">
        <v>418000</v>
      </c>
      <c r="T28" s="2">
        <v>110000</v>
      </c>
      <c r="U28" s="2">
        <v>334400</v>
      </c>
      <c r="V28" s="2">
        <v>110000</v>
      </c>
    </row>
    <row r="29" spans="1:22" x14ac:dyDescent="0.3">
      <c r="A29" t="s">
        <v>1</v>
      </c>
      <c r="B29" t="s">
        <v>105</v>
      </c>
      <c r="C29">
        <f t="shared" si="0"/>
        <v>625</v>
      </c>
      <c r="D29" s="2">
        <v>2642200</v>
      </c>
      <c r="E29" s="2">
        <v>1117600</v>
      </c>
      <c r="F29" s="2">
        <v>28600</v>
      </c>
      <c r="G29" s="2">
        <v>11000</v>
      </c>
      <c r="H29" s="2">
        <v>220000</v>
      </c>
      <c r="I29" s="2">
        <v>55000</v>
      </c>
      <c r="J29" s="2">
        <v>110000</v>
      </c>
      <c r="K29" s="2">
        <v>0</v>
      </c>
      <c r="L29" s="2">
        <v>0</v>
      </c>
      <c r="M29" s="2">
        <v>418000</v>
      </c>
      <c r="N29" s="2">
        <v>143000</v>
      </c>
      <c r="O29">
        <v>0</v>
      </c>
      <c r="P29">
        <v>0</v>
      </c>
      <c r="Q29" s="2">
        <v>110000</v>
      </c>
      <c r="R29">
        <v>0</v>
      </c>
      <c r="S29" s="2">
        <v>55000</v>
      </c>
      <c r="T29">
        <v>0</v>
      </c>
      <c r="U29" s="2">
        <v>110000</v>
      </c>
      <c r="V29" s="2">
        <v>264000</v>
      </c>
    </row>
    <row r="30" spans="1:22" x14ac:dyDescent="0.3">
      <c r="A30" t="s">
        <v>1</v>
      </c>
      <c r="B30" t="s">
        <v>141</v>
      </c>
      <c r="C30">
        <f t="shared" si="0"/>
        <v>675</v>
      </c>
      <c r="D30" s="2">
        <v>1672000</v>
      </c>
      <c r="E30">
        <v>0</v>
      </c>
      <c r="F30" s="2">
        <v>220000</v>
      </c>
      <c r="G30" s="2">
        <v>770000</v>
      </c>
      <c r="H30">
        <v>0</v>
      </c>
      <c r="I30" s="2">
        <v>22000</v>
      </c>
      <c r="J30" s="2">
        <v>0</v>
      </c>
      <c r="K30" s="2">
        <v>0</v>
      </c>
      <c r="L30" s="2">
        <v>0</v>
      </c>
      <c r="M30" s="2">
        <v>0</v>
      </c>
      <c r="N30" s="2">
        <v>165000</v>
      </c>
      <c r="O30" s="2">
        <v>88000</v>
      </c>
      <c r="P30" s="2">
        <v>33000</v>
      </c>
      <c r="Q30" s="2">
        <v>66000</v>
      </c>
      <c r="R30" s="2">
        <v>33000</v>
      </c>
      <c r="S30" s="2">
        <v>110000</v>
      </c>
      <c r="T30" s="2">
        <v>165000</v>
      </c>
      <c r="U30">
        <v>0</v>
      </c>
      <c r="V30">
        <v>0</v>
      </c>
    </row>
    <row r="31" spans="1:22" x14ac:dyDescent="0.3">
      <c r="A31" t="s">
        <v>1</v>
      </c>
      <c r="B31" t="s">
        <v>107</v>
      </c>
      <c r="C31">
        <f t="shared" si="0"/>
        <v>725</v>
      </c>
      <c r="D31" s="2">
        <v>1519100</v>
      </c>
      <c r="E31">
        <v>0</v>
      </c>
      <c r="F31">
        <v>0</v>
      </c>
      <c r="G31" s="2">
        <v>1100000</v>
      </c>
      <c r="H31">
        <v>0</v>
      </c>
      <c r="I31" s="2">
        <v>143000</v>
      </c>
      <c r="J31" s="2">
        <v>33000</v>
      </c>
      <c r="K31" s="2">
        <v>88000</v>
      </c>
      <c r="L31" s="2">
        <v>0</v>
      </c>
      <c r="M31" s="2">
        <v>11000</v>
      </c>
      <c r="N31" s="2">
        <v>1100</v>
      </c>
      <c r="O31" s="2">
        <v>44000</v>
      </c>
      <c r="P31">
        <v>0</v>
      </c>
      <c r="Q31" s="2">
        <v>33000</v>
      </c>
      <c r="R31">
        <v>0</v>
      </c>
      <c r="S31" s="2">
        <v>55000</v>
      </c>
      <c r="T31" s="2">
        <v>11000</v>
      </c>
      <c r="U31">
        <v>0</v>
      </c>
      <c r="V31">
        <v>0</v>
      </c>
    </row>
    <row r="32" spans="1:22" x14ac:dyDescent="0.3">
      <c r="A32" t="s">
        <v>1</v>
      </c>
      <c r="B32" t="s">
        <v>109</v>
      </c>
      <c r="C32">
        <f t="shared" si="0"/>
        <v>775</v>
      </c>
      <c r="D32" s="2">
        <v>1344200</v>
      </c>
      <c r="E32" s="2">
        <v>1100</v>
      </c>
      <c r="F32">
        <v>0</v>
      </c>
      <c r="G32">
        <v>0</v>
      </c>
      <c r="H32" s="2">
        <v>110000</v>
      </c>
      <c r="I32" s="2">
        <v>0</v>
      </c>
      <c r="J32" s="2">
        <v>110000</v>
      </c>
      <c r="K32" s="2">
        <v>221100</v>
      </c>
      <c r="L32" s="2">
        <v>0</v>
      </c>
      <c r="M32" s="2">
        <v>110000</v>
      </c>
      <c r="N32" s="2">
        <v>330000</v>
      </c>
      <c r="O32" s="2">
        <v>110000</v>
      </c>
      <c r="P32">
        <v>0</v>
      </c>
      <c r="Q32">
        <v>0</v>
      </c>
      <c r="R32">
        <v>0</v>
      </c>
      <c r="S32" s="2">
        <v>110000</v>
      </c>
      <c r="T32">
        <v>0</v>
      </c>
      <c r="U32" s="2">
        <v>198000</v>
      </c>
      <c r="V32" s="2">
        <v>44000</v>
      </c>
    </row>
    <row r="33" spans="1:22" x14ac:dyDescent="0.3">
      <c r="A33" t="s">
        <v>1</v>
      </c>
      <c r="B33" t="s">
        <v>115</v>
      </c>
      <c r="C33">
        <f t="shared" si="0"/>
        <v>825</v>
      </c>
      <c r="D33" s="2">
        <v>1119800</v>
      </c>
      <c r="E33" s="2">
        <v>1100</v>
      </c>
      <c r="F33" s="2">
        <v>1100</v>
      </c>
      <c r="G33">
        <v>0</v>
      </c>
      <c r="H33">
        <v>0</v>
      </c>
      <c r="I33" s="2">
        <v>0</v>
      </c>
      <c r="J33" s="2">
        <v>0</v>
      </c>
      <c r="K33" s="2">
        <v>440000</v>
      </c>
      <c r="L33" s="2">
        <v>0</v>
      </c>
      <c r="M33" s="2">
        <v>0</v>
      </c>
      <c r="N33" s="2">
        <v>12100</v>
      </c>
      <c r="O33" s="2">
        <v>110000</v>
      </c>
      <c r="P33">
        <v>0</v>
      </c>
      <c r="Q33" s="2">
        <v>551100</v>
      </c>
      <c r="R33" s="2">
        <v>1100</v>
      </c>
      <c r="S33">
        <v>0</v>
      </c>
      <c r="T33" s="2">
        <v>1100</v>
      </c>
      <c r="U33" s="2">
        <v>2200</v>
      </c>
      <c r="V33">
        <v>0</v>
      </c>
    </row>
    <row r="34" spans="1:22" x14ac:dyDescent="0.3">
      <c r="A34" t="s">
        <v>1</v>
      </c>
      <c r="B34" t="s">
        <v>111</v>
      </c>
      <c r="C34">
        <f t="shared" si="0"/>
        <v>875</v>
      </c>
      <c r="D34" s="2">
        <v>1009800</v>
      </c>
      <c r="E34" s="2">
        <v>1100</v>
      </c>
      <c r="F34">
        <v>0</v>
      </c>
      <c r="G34">
        <v>0</v>
      </c>
      <c r="H34">
        <v>0</v>
      </c>
      <c r="I34" s="2">
        <v>0</v>
      </c>
      <c r="J34">
        <v>0</v>
      </c>
      <c r="K34">
        <v>0</v>
      </c>
      <c r="L34" s="2">
        <v>0</v>
      </c>
      <c r="M34" s="2">
        <v>110000</v>
      </c>
      <c r="N34" s="2">
        <v>550000</v>
      </c>
      <c r="O34">
        <v>0</v>
      </c>
      <c r="P34">
        <v>0</v>
      </c>
      <c r="Q34">
        <v>0</v>
      </c>
      <c r="R34" s="2">
        <v>1100</v>
      </c>
      <c r="S34" s="2">
        <v>220000</v>
      </c>
      <c r="T34" s="2">
        <v>111100</v>
      </c>
      <c r="U34" s="2">
        <v>16500</v>
      </c>
      <c r="V34">
        <v>0</v>
      </c>
    </row>
    <row r="35" spans="1:22" x14ac:dyDescent="0.3">
      <c r="A35" t="s">
        <v>1</v>
      </c>
      <c r="B35" t="s">
        <v>136</v>
      </c>
      <c r="C35">
        <f t="shared" si="0"/>
        <v>925</v>
      </c>
      <c r="D35" s="2">
        <v>38500</v>
      </c>
      <c r="E35" s="2">
        <v>36300</v>
      </c>
      <c r="F35">
        <v>0</v>
      </c>
      <c r="G35">
        <v>0</v>
      </c>
      <c r="H35">
        <v>0</v>
      </c>
      <c r="I35" s="2">
        <v>0</v>
      </c>
      <c r="J35">
        <v>0</v>
      </c>
      <c r="K35" s="2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 s="2">
        <v>1100</v>
      </c>
      <c r="U35" s="2">
        <v>1100</v>
      </c>
      <c r="V35">
        <v>0</v>
      </c>
    </row>
    <row r="36" spans="1:22" x14ac:dyDescent="0.3">
      <c r="A36" t="s">
        <v>1</v>
      </c>
      <c r="B36" t="s">
        <v>137</v>
      </c>
      <c r="C36">
        <f t="shared" si="0"/>
        <v>975</v>
      </c>
      <c r="D36" s="2">
        <v>24200</v>
      </c>
      <c r="E36" s="2">
        <v>17600</v>
      </c>
      <c r="F36">
        <v>0</v>
      </c>
      <c r="G36">
        <v>0</v>
      </c>
      <c r="H36">
        <v>0</v>
      </c>
      <c r="I36" s="2">
        <v>0</v>
      </c>
      <c r="J36" s="2">
        <v>0</v>
      </c>
      <c r="K36" s="2">
        <v>0</v>
      </c>
      <c r="L36" s="2">
        <v>6600</v>
      </c>
      <c r="M36">
        <v>0</v>
      </c>
      <c r="N36" s="2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3">
      <c r="A37" t="s">
        <v>1</v>
      </c>
      <c r="B37" t="s">
        <v>113</v>
      </c>
      <c r="C37">
        <f t="shared" si="0"/>
        <v>1025</v>
      </c>
      <c r="D37" s="2">
        <v>132000</v>
      </c>
      <c r="E37">
        <v>0</v>
      </c>
      <c r="F37">
        <v>0</v>
      </c>
      <c r="G37">
        <v>0</v>
      </c>
      <c r="H37">
        <v>0</v>
      </c>
      <c r="I37" s="2">
        <v>33000</v>
      </c>
      <c r="J37" s="2">
        <v>33000</v>
      </c>
      <c r="K37" s="2">
        <v>33000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 s="2">
        <v>33000</v>
      </c>
      <c r="U37">
        <v>0</v>
      </c>
      <c r="V37">
        <v>0</v>
      </c>
    </row>
    <row r="38" spans="1:22" x14ac:dyDescent="0.3">
      <c r="A38" t="s">
        <v>1</v>
      </c>
      <c r="B38" t="s">
        <v>114</v>
      </c>
      <c r="C38">
        <f t="shared" si="0"/>
        <v>1075</v>
      </c>
      <c r="D38" s="2">
        <v>209000</v>
      </c>
      <c r="E38" s="2">
        <v>33000</v>
      </c>
      <c r="F38">
        <v>0</v>
      </c>
      <c r="G38">
        <v>0</v>
      </c>
      <c r="H38">
        <v>0</v>
      </c>
      <c r="I38">
        <v>0</v>
      </c>
      <c r="J38" s="5">
        <v>0</v>
      </c>
      <c r="K38" s="5">
        <v>66000</v>
      </c>
      <c r="L38" s="5">
        <v>55000</v>
      </c>
      <c r="M38" s="5">
        <v>0</v>
      </c>
      <c r="N38" s="5">
        <v>0</v>
      </c>
      <c r="O38" s="2">
        <v>22000</v>
      </c>
      <c r="P38" s="2">
        <v>33000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3">
      <c r="A39" t="s">
        <v>1</v>
      </c>
      <c r="B39" t="s">
        <v>161</v>
      </c>
      <c r="C39">
        <f t="shared" si="0"/>
        <v>1125</v>
      </c>
      <c r="D39" s="2">
        <v>77000</v>
      </c>
      <c r="E39">
        <v>0</v>
      </c>
      <c r="F39">
        <v>0</v>
      </c>
      <c r="G39">
        <v>0</v>
      </c>
      <c r="H39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>
        <v>0</v>
      </c>
      <c r="P39">
        <v>0</v>
      </c>
      <c r="Q39">
        <v>0</v>
      </c>
      <c r="R39">
        <v>0</v>
      </c>
      <c r="S39" s="2">
        <v>77000</v>
      </c>
      <c r="T39">
        <v>0</v>
      </c>
      <c r="U39">
        <v>0</v>
      </c>
      <c r="V39">
        <v>0</v>
      </c>
    </row>
    <row r="40" spans="1:22" x14ac:dyDescent="0.3">
      <c r="A40" t="s">
        <v>1</v>
      </c>
      <c r="B40" t="s">
        <v>139</v>
      </c>
      <c r="C40">
        <f t="shared" si="0"/>
        <v>1175</v>
      </c>
      <c r="D40" s="2">
        <v>376200</v>
      </c>
      <c r="E40" s="2">
        <v>6600</v>
      </c>
      <c r="F40">
        <v>0</v>
      </c>
      <c r="G40">
        <v>0</v>
      </c>
      <c r="H40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>
        <v>0</v>
      </c>
      <c r="P40">
        <v>0</v>
      </c>
      <c r="Q40" s="2">
        <v>110000</v>
      </c>
      <c r="R40">
        <v>0</v>
      </c>
      <c r="S40">
        <v>0</v>
      </c>
      <c r="T40">
        <v>0</v>
      </c>
      <c r="U40" s="2">
        <v>259600</v>
      </c>
      <c r="V40">
        <v>0</v>
      </c>
    </row>
    <row r="41" spans="1:22" x14ac:dyDescent="0.3">
      <c r="A41" t="s">
        <v>1</v>
      </c>
      <c r="B41" t="s">
        <v>140</v>
      </c>
      <c r="C41">
        <f t="shared" si="0"/>
        <v>1225</v>
      </c>
      <c r="D41" s="2">
        <v>374000</v>
      </c>
      <c r="E41">
        <v>0</v>
      </c>
      <c r="F41">
        <v>0</v>
      </c>
      <c r="G41">
        <v>0</v>
      </c>
      <c r="H41">
        <v>0</v>
      </c>
      <c r="I41" s="2">
        <v>11000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>
        <v>0</v>
      </c>
      <c r="P41" s="2">
        <v>253000</v>
      </c>
      <c r="Q41">
        <v>0</v>
      </c>
      <c r="R41">
        <v>0</v>
      </c>
      <c r="S41">
        <v>0</v>
      </c>
      <c r="T41">
        <v>0</v>
      </c>
      <c r="U41" s="2">
        <v>110000</v>
      </c>
      <c r="V41">
        <v>0</v>
      </c>
    </row>
    <row r="47" spans="1:22" x14ac:dyDescent="0.3">
      <c r="A47" t="s">
        <v>2</v>
      </c>
      <c r="B47" t="s">
        <v>221</v>
      </c>
      <c r="C47" t="s">
        <v>83</v>
      </c>
    </row>
    <row r="48" spans="1:22" x14ac:dyDescent="0.3">
      <c r="A48" t="s">
        <v>24</v>
      </c>
      <c r="B48">
        <v>0</v>
      </c>
      <c r="C48" s="2">
        <v>951500</v>
      </c>
    </row>
    <row r="49" spans="1:3" x14ac:dyDescent="0.3">
      <c r="A49" t="s">
        <v>120</v>
      </c>
      <c r="B49">
        <v>0</v>
      </c>
      <c r="C49" s="2">
        <v>467500</v>
      </c>
    </row>
    <row r="50" spans="1:3" x14ac:dyDescent="0.3">
      <c r="A50" t="s">
        <v>25</v>
      </c>
      <c r="B50">
        <v>0</v>
      </c>
      <c r="C50" s="2">
        <v>666600</v>
      </c>
    </row>
    <row r="51" spans="1:3" x14ac:dyDescent="0.3">
      <c r="A51" t="s">
        <v>18</v>
      </c>
      <c r="B51">
        <v>0</v>
      </c>
      <c r="C51" s="2">
        <v>564300</v>
      </c>
    </row>
    <row r="52" spans="1:3" x14ac:dyDescent="0.3">
      <c r="A52" t="s">
        <v>63</v>
      </c>
      <c r="B52">
        <v>0</v>
      </c>
      <c r="C52" s="2">
        <v>161700</v>
      </c>
    </row>
    <row r="53" spans="1:3" x14ac:dyDescent="0.3">
      <c r="A53" t="s">
        <v>26</v>
      </c>
      <c r="B53">
        <v>0</v>
      </c>
      <c r="C53" s="2">
        <v>236500</v>
      </c>
    </row>
    <row r="54" spans="1:3" x14ac:dyDescent="0.3">
      <c r="A54" t="s">
        <v>13</v>
      </c>
      <c r="B54">
        <v>0</v>
      </c>
      <c r="C54" s="2">
        <v>174900</v>
      </c>
    </row>
    <row r="55" spans="1:3" x14ac:dyDescent="0.3">
      <c r="C55" s="2">
        <f>SUM(C48:C54)</f>
        <v>3223000</v>
      </c>
    </row>
  </sheetData>
  <sortState xmlns:xlrd2="http://schemas.microsoft.com/office/spreadsheetml/2017/richdata2" ref="A3:V41">
    <sortCondition ref="C3:C41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32F8-0C8D-48BC-B5D2-68C2189C5EE1}">
  <dimension ref="A1:AF196"/>
  <sheetViews>
    <sheetView workbookViewId="0">
      <pane xSplit="2" ySplit="4" topLeftCell="C153" activePane="bottomRight" state="frozen"/>
      <selection pane="topRight" activeCell="C1" sqref="C1"/>
      <selection pane="bottomLeft" activeCell="A5" sqref="A5"/>
      <selection pane="bottomRight" activeCell="A186" sqref="A186"/>
    </sheetView>
  </sheetViews>
  <sheetFormatPr defaultRowHeight="16.5" x14ac:dyDescent="0.3"/>
  <cols>
    <col min="1" max="1" width="31.75" bestFit="1" customWidth="1"/>
    <col min="3" max="3" width="14" bestFit="1" customWidth="1"/>
    <col min="4" max="4" width="11.875" bestFit="1" customWidth="1"/>
    <col min="5" max="6" width="13" bestFit="1" customWidth="1"/>
    <col min="7" max="9" width="13.125" bestFit="1" customWidth="1"/>
    <col min="10" max="14" width="14.25" bestFit="1" customWidth="1"/>
    <col min="15" max="15" width="13.125" bestFit="1" customWidth="1"/>
    <col min="16" max="36" width="14.25" bestFit="1" customWidth="1"/>
    <col min="37" max="37" width="13.125" bestFit="1" customWidth="1"/>
  </cols>
  <sheetData>
    <row r="1" spans="1:32" x14ac:dyDescent="0.3">
      <c r="A1" t="s">
        <v>152</v>
      </c>
      <c r="B1" t="s">
        <v>167</v>
      </c>
      <c r="C1" t="s">
        <v>138</v>
      </c>
      <c r="D1" s="5">
        <v>45859</v>
      </c>
      <c r="E1" s="5">
        <v>45860</v>
      </c>
      <c r="F1" s="5">
        <v>45861</v>
      </c>
      <c r="G1" s="5">
        <v>45862</v>
      </c>
      <c r="H1" s="5">
        <v>45863</v>
      </c>
      <c r="I1" s="5">
        <v>45864</v>
      </c>
      <c r="J1" s="5">
        <v>45865</v>
      </c>
      <c r="K1" s="5">
        <v>45866</v>
      </c>
      <c r="L1" s="5">
        <v>45867</v>
      </c>
      <c r="M1" s="5">
        <v>45868</v>
      </c>
      <c r="N1" s="5">
        <v>45869</v>
      </c>
      <c r="O1" s="5">
        <v>45870</v>
      </c>
      <c r="P1" s="5">
        <v>45871</v>
      </c>
      <c r="Q1" s="5">
        <v>45872</v>
      </c>
      <c r="R1" s="5">
        <v>45873</v>
      </c>
      <c r="S1" s="5">
        <v>45874</v>
      </c>
      <c r="T1" s="5">
        <v>45875</v>
      </c>
      <c r="U1" s="5">
        <v>45876</v>
      </c>
      <c r="V1" s="5">
        <v>45877</v>
      </c>
      <c r="W1" s="5">
        <v>45878</v>
      </c>
      <c r="X1" s="5">
        <v>45879</v>
      </c>
      <c r="Y1" s="5">
        <v>45880</v>
      </c>
      <c r="Z1" s="5">
        <v>45881</v>
      </c>
      <c r="AA1" s="5">
        <v>45882</v>
      </c>
      <c r="AB1" s="5">
        <v>45883</v>
      </c>
      <c r="AC1" s="5">
        <v>45884</v>
      </c>
      <c r="AD1" s="5">
        <v>45885</v>
      </c>
      <c r="AE1" s="5">
        <v>45886</v>
      </c>
      <c r="AF1" s="5">
        <v>45887</v>
      </c>
    </row>
    <row r="2" spans="1:32" x14ac:dyDescent="0.3">
      <c r="B2" t="s">
        <v>218</v>
      </c>
      <c r="D2" s="4">
        <v>1575</v>
      </c>
      <c r="E2" s="4">
        <v>1245</v>
      </c>
      <c r="F2" s="4">
        <v>1196</v>
      </c>
      <c r="G2" s="4">
        <v>1175</v>
      </c>
      <c r="H2" s="4">
        <v>1275</v>
      </c>
      <c r="I2" s="4">
        <v>1445</v>
      </c>
      <c r="J2" s="4">
        <v>1451</v>
      </c>
      <c r="K2" s="4">
        <v>968</v>
      </c>
      <c r="L2" s="4">
        <v>844</v>
      </c>
      <c r="M2" s="4">
        <v>836</v>
      </c>
      <c r="N2" s="4">
        <v>767</v>
      </c>
      <c r="O2" s="4">
        <v>792</v>
      </c>
      <c r="P2" s="4">
        <v>933</v>
      </c>
      <c r="Q2" s="4">
        <v>899</v>
      </c>
      <c r="R2" s="4">
        <v>725</v>
      </c>
      <c r="S2" s="4">
        <v>511</v>
      </c>
      <c r="T2" s="4">
        <v>510</v>
      </c>
      <c r="U2" s="4">
        <v>508</v>
      </c>
      <c r="V2" s="4">
        <v>375</v>
      </c>
      <c r="W2" s="4">
        <v>310</v>
      </c>
      <c r="X2" s="4">
        <v>258</v>
      </c>
      <c r="Y2" s="4">
        <v>214</v>
      </c>
      <c r="Z2" s="4">
        <v>220</v>
      </c>
      <c r="AA2" s="4">
        <v>307</v>
      </c>
      <c r="AB2" s="4">
        <v>323</v>
      </c>
      <c r="AC2" s="4">
        <v>353</v>
      </c>
      <c r="AD2" s="4">
        <v>293</v>
      </c>
      <c r="AE2" s="4">
        <v>325</v>
      </c>
      <c r="AF2" s="4">
        <v>3</v>
      </c>
    </row>
    <row r="3" spans="1:32" x14ac:dyDescent="0.3">
      <c r="B3" t="s">
        <v>219</v>
      </c>
      <c r="D3" s="4">
        <v>13028400</v>
      </c>
      <c r="E3" s="4">
        <v>13438700</v>
      </c>
      <c r="F3" s="4">
        <v>12865616</v>
      </c>
      <c r="G3" s="4">
        <v>12641200</v>
      </c>
      <c r="H3" s="4">
        <v>14798300</v>
      </c>
      <c r="I3" s="4">
        <v>17833200</v>
      </c>
      <c r="J3" s="4">
        <v>14197700</v>
      </c>
      <c r="K3" s="4">
        <v>15162400</v>
      </c>
      <c r="L3" s="4">
        <v>10105700</v>
      </c>
      <c r="M3" s="4">
        <v>10066100</v>
      </c>
      <c r="N3" s="4">
        <v>11266200</v>
      </c>
      <c r="O3" s="4">
        <v>13532200</v>
      </c>
      <c r="P3" s="4">
        <v>9675600</v>
      </c>
      <c r="Q3" s="4">
        <v>10817400</v>
      </c>
      <c r="R3" s="4">
        <v>10820700</v>
      </c>
      <c r="S3" s="4">
        <v>9861500</v>
      </c>
      <c r="T3" s="4">
        <v>9409400</v>
      </c>
      <c r="U3" s="4">
        <v>10347700</v>
      </c>
      <c r="V3" s="4">
        <v>8652620</v>
      </c>
      <c r="W3" s="4">
        <v>5973000</v>
      </c>
      <c r="X3" s="4">
        <v>5408711</v>
      </c>
      <c r="Y3" s="4">
        <v>5183200</v>
      </c>
      <c r="Z3" s="4">
        <v>5424100</v>
      </c>
      <c r="AA3" s="4">
        <v>4227300</v>
      </c>
      <c r="AB3" s="4">
        <v>6163300</v>
      </c>
      <c r="AC3" s="4">
        <v>5721100</v>
      </c>
      <c r="AD3" s="4">
        <v>4277900</v>
      </c>
      <c r="AE3" s="4">
        <v>3924800</v>
      </c>
      <c r="AF3" s="4">
        <v>29700</v>
      </c>
    </row>
    <row r="4" spans="1:32" x14ac:dyDescent="0.3">
      <c r="B4" t="s">
        <v>220</v>
      </c>
      <c r="D4" s="9">
        <v>8272</v>
      </c>
      <c r="E4" s="9">
        <v>10794.136546184738</v>
      </c>
      <c r="F4" s="9">
        <v>10757.204013377926</v>
      </c>
      <c r="G4" s="9">
        <v>10758.468085106382</v>
      </c>
      <c r="H4" s="9">
        <v>11606.509803921568</v>
      </c>
      <c r="I4" s="9">
        <v>12341.314878892734</v>
      </c>
      <c r="J4" s="9">
        <v>9784.7691247415569</v>
      </c>
      <c r="K4" s="9">
        <v>15663.636363636364</v>
      </c>
      <c r="L4" s="9">
        <v>11973.578199052132</v>
      </c>
      <c r="M4" s="9">
        <v>12040.78947368421</v>
      </c>
      <c r="N4" s="9">
        <v>14688.657105606258</v>
      </c>
      <c r="O4" s="9">
        <v>17086.111111111109</v>
      </c>
      <c r="P4" s="9">
        <v>10370.418006430868</v>
      </c>
      <c r="Q4" s="9">
        <v>12032.703003337041</v>
      </c>
      <c r="R4" s="9">
        <v>14925.103448275862</v>
      </c>
      <c r="S4" s="9">
        <v>19298.43444227006</v>
      </c>
      <c r="T4" s="9">
        <v>18449.803921568626</v>
      </c>
      <c r="U4" s="9">
        <v>20369.488188976378</v>
      </c>
      <c r="V4" s="9">
        <v>23073.653333333332</v>
      </c>
      <c r="W4" s="9">
        <v>19267.741935483871</v>
      </c>
      <c r="X4" s="9">
        <v>20963.996124031008</v>
      </c>
      <c r="Y4" s="9">
        <v>24220.560747663552</v>
      </c>
      <c r="Z4" s="9">
        <v>24655</v>
      </c>
      <c r="AA4" s="9">
        <v>13769.70684039088</v>
      </c>
      <c r="AB4" s="9">
        <v>19081.424148606809</v>
      </c>
      <c r="AC4" s="9">
        <v>16207.082152974504</v>
      </c>
      <c r="AD4" s="9">
        <v>14600.341296928327</v>
      </c>
      <c r="AE4" s="9">
        <v>12076.307692307691</v>
      </c>
      <c r="AF4" s="9">
        <v>9900</v>
      </c>
    </row>
    <row r="5" spans="1:32" x14ac:dyDescent="0.3">
      <c r="A5" t="s">
        <v>168</v>
      </c>
      <c r="B5" t="s">
        <v>169</v>
      </c>
      <c r="C5" s="4">
        <v>72412</v>
      </c>
      <c r="D5">
        <v>93</v>
      </c>
      <c r="E5">
        <v>27</v>
      </c>
      <c r="F5">
        <v>15</v>
      </c>
      <c r="G5">
        <v>1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168</v>
      </c>
      <c r="B6" t="s">
        <v>170</v>
      </c>
      <c r="C6" s="4">
        <v>21075</v>
      </c>
      <c r="D6" s="4">
        <v>1022</v>
      </c>
      <c r="E6">
        <v>756</v>
      </c>
      <c r="F6">
        <v>525</v>
      </c>
      <c r="G6">
        <v>385</v>
      </c>
      <c r="H6">
        <v>482</v>
      </c>
      <c r="I6">
        <v>497</v>
      </c>
      <c r="J6">
        <v>534</v>
      </c>
      <c r="K6">
        <v>345</v>
      </c>
      <c r="L6">
        <v>277</v>
      </c>
      <c r="M6">
        <v>298</v>
      </c>
      <c r="N6">
        <v>298</v>
      </c>
      <c r="O6">
        <v>286</v>
      </c>
      <c r="P6">
        <v>372</v>
      </c>
      <c r="Q6">
        <v>344</v>
      </c>
      <c r="R6">
        <v>340</v>
      </c>
      <c r="S6">
        <v>264</v>
      </c>
      <c r="T6">
        <v>254</v>
      </c>
      <c r="U6">
        <v>291</v>
      </c>
      <c r="V6">
        <v>162</v>
      </c>
      <c r="W6">
        <v>62</v>
      </c>
      <c r="X6">
        <v>46</v>
      </c>
      <c r="Y6">
        <v>30</v>
      </c>
      <c r="Z6">
        <v>29</v>
      </c>
      <c r="AA6">
        <v>48</v>
      </c>
      <c r="AB6">
        <v>68</v>
      </c>
      <c r="AC6">
        <v>30</v>
      </c>
      <c r="AD6">
        <v>35</v>
      </c>
      <c r="AE6">
        <v>26</v>
      </c>
      <c r="AF6">
        <v>0</v>
      </c>
    </row>
    <row r="7" spans="1:32" x14ac:dyDescent="0.3">
      <c r="A7" t="s">
        <v>168</v>
      </c>
      <c r="B7" t="s">
        <v>171</v>
      </c>
      <c r="C7" s="4">
        <v>9450</v>
      </c>
      <c r="D7">
        <v>417</v>
      </c>
      <c r="E7">
        <v>446</v>
      </c>
      <c r="F7">
        <v>467</v>
      </c>
      <c r="G7">
        <v>464</v>
      </c>
      <c r="H7">
        <v>456</v>
      </c>
      <c r="I7">
        <v>598</v>
      </c>
      <c r="J7">
        <v>574</v>
      </c>
      <c r="K7">
        <v>413</v>
      </c>
      <c r="L7">
        <v>371</v>
      </c>
      <c r="M7">
        <v>360</v>
      </c>
      <c r="N7">
        <v>317</v>
      </c>
      <c r="O7">
        <v>349</v>
      </c>
      <c r="P7">
        <v>363</v>
      </c>
      <c r="Q7">
        <v>356</v>
      </c>
      <c r="R7">
        <v>244</v>
      </c>
      <c r="S7">
        <v>163</v>
      </c>
      <c r="T7">
        <v>178</v>
      </c>
      <c r="U7">
        <v>147</v>
      </c>
      <c r="V7">
        <v>152</v>
      </c>
      <c r="W7">
        <v>183</v>
      </c>
      <c r="X7">
        <v>142</v>
      </c>
      <c r="Y7">
        <v>136</v>
      </c>
      <c r="Z7">
        <v>138</v>
      </c>
      <c r="AA7">
        <v>179</v>
      </c>
      <c r="AB7">
        <v>189</v>
      </c>
      <c r="AC7">
        <v>215</v>
      </c>
      <c r="AD7">
        <v>161</v>
      </c>
      <c r="AE7">
        <v>187</v>
      </c>
      <c r="AF7">
        <v>2</v>
      </c>
    </row>
    <row r="8" spans="1:32" x14ac:dyDescent="0.3">
      <c r="A8" t="s">
        <v>168</v>
      </c>
      <c r="B8" t="s">
        <v>172</v>
      </c>
      <c r="C8" s="4">
        <v>4186</v>
      </c>
      <c r="D8">
        <v>43</v>
      </c>
      <c r="E8">
        <v>16</v>
      </c>
      <c r="F8">
        <v>189</v>
      </c>
      <c r="G8">
        <v>325</v>
      </c>
      <c r="H8">
        <v>335</v>
      </c>
      <c r="I8">
        <v>349</v>
      </c>
      <c r="J8">
        <v>343</v>
      </c>
      <c r="K8">
        <v>210</v>
      </c>
      <c r="L8">
        <v>196</v>
      </c>
      <c r="M8">
        <v>178</v>
      </c>
      <c r="N8">
        <v>152</v>
      </c>
      <c r="O8">
        <v>157</v>
      </c>
      <c r="P8">
        <v>198</v>
      </c>
      <c r="Q8">
        <v>199</v>
      </c>
      <c r="R8">
        <v>141</v>
      </c>
      <c r="S8">
        <v>84</v>
      </c>
      <c r="T8">
        <v>78</v>
      </c>
      <c r="U8">
        <v>70</v>
      </c>
      <c r="V8">
        <v>61</v>
      </c>
      <c r="W8">
        <v>65</v>
      </c>
      <c r="X8">
        <v>70</v>
      </c>
      <c r="Y8">
        <v>48</v>
      </c>
      <c r="Z8">
        <v>53</v>
      </c>
      <c r="AA8">
        <v>80</v>
      </c>
      <c r="AB8">
        <v>66</v>
      </c>
      <c r="AC8">
        <v>108</v>
      </c>
      <c r="AD8">
        <v>97</v>
      </c>
      <c r="AE8">
        <v>112</v>
      </c>
      <c r="AF8">
        <v>1</v>
      </c>
    </row>
    <row r="9" spans="1:32" x14ac:dyDescent="0.3">
      <c r="D9" s="4">
        <f t="shared" ref="D9:AF9" si="0">SUM(D5:D8)</f>
        <v>1575</v>
      </c>
      <c r="E9" s="4">
        <f t="shared" si="0"/>
        <v>1245</v>
      </c>
      <c r="F9" s="4">
        <f t="shared" si="0"/>
        <v>1196</v>
      </c>
      <c r="G9" s="4">
        <f t="shared" si="0"/>
        <v>1175</v>
      </c>
      <c r="H9" s="4">
        <f t="shared" si="0"/>
        <v>1275</v>
      </c>
      <c r="I9" s="4">
        <f t="shared" si="0"/>
        <v>1445</v>
      </c>
      <c r="J9" s="4">
        <f t="shared" si="0"/>
        <v>1451</v>
      </c>
      <c r="K9" s="4">
        <f t="shared" si="0"/>
        <v>968</v>
      </c>
      <c r="L9" s="4">
        <f t="shared" si="0"/>
        <v>844</v>
      </c>
      <c r="M9" s="4">
        <f t="shared" si="0"/>
        <v>836</v>
      </c>
      <c r="N9" s="4">
        <f t="shared" si="0"/>
        <v>767</v>
      </c>
      <c r="O9" s="4">
        <f t="shared" si="0"/>
        <v>792</v>
      </c>
      <c r="P9" s="4">
        <f t="shared" si="0"/>
        <v>933</v>
      </c>
      <c r="Q9" s="4">
        <f t="shared" si="0"/>
        <v>899</v>
      </c>
      <c r="R9" s="4">
        <f t="shared" si="0"/>
        <v>725</v>
      </c>
      <c r="S9" s="4">
        <f t="shared" si="0"/>
        <v>511</v>
      </c>
      <c r="T9" s="4">
        <f t="shared" si="0"/>
        <v>510</v>
      </c>
      <c r="U9" s="4">
        <f t="shared" si="0"/>
        <v>508</v>
      </c>
      <c r="V9" s="4">
        <f t="shared" si="0"/>
        <v>375</v>
      </c>
      <c r="W9" s="4">
        <f t="shared" si="0"/>
        <v>310</v>
      </c>
      <c r="X9" s="4">
        <f t="shared" si="0"/>
        <v>258</v>
      </c>
      <c r="Y9" s="4">
        <f t="shared" si="0"/>
        <v>214</v>
      </c>
      <c r="Z9" s="4">
        <f t="shared" si="0"/>
        <v>220</v>
      </c>
      <c r="AA9" s="4">
        <f t="shared" si="0"/>
        <v>307</v>
      </c>
      <c r="AB9" s="4">
        <f t="shared" si="0"/>
        <v>323</v>
      </c>
      <c r="AC9" s="4">
        <f t="shared" si="0"/>
        <v>353</v>
      </c>
      <c r="AD9" s="4">
        <f t="shared" si="0"/>
        <v>293</v>
      </c>
      <c r="AE9" s="4">
        <f t="shared" si="0"/>
        <v>325</v>
      </c>
      <c r="AF9" s="4">
        <f t="shared" si="0"/>
        <v>3</v>
      </c>
    </row>
    <row r="11" spans="1:32" x14ac:dyDescent="0.3">
      <c r="B11" t="s">
        <v>152</v>
      </c>
      <c r="C11" t="s">
        <v>138</v>
      </c>
      <c r="D11" s="5">
        <v>45859</v>
      </c>
      <c r="E11" s="5">
        <v>45860</v>
      </c>
      <c r="F11" s="5">
        <v>45861</v>
      </c>
      <c r="G11" s="5">
        <v>45862</v>
      </c>
      <c r="H11" s="5">
        <v>45863</v>
      </c>
      <c r="I11" s="5">
        <v>45864</v>
      </c>
      <c r="J11" s="5">
        <v>45865</v>
      </c>
      <c r="K11" s="5">
        <v>45866</v>
      </c>
      <c r="L11" s="5">
        <v>45867</v>
      </c>
      <c r="M11" s="5">
        <v>45868</v>
      </c>
      <c r="N11" s="5">
        <v>45869</v>
      </c>
      <c r="O11" s="5">
        <v>45870</v>
      </c>
      <c r="P11" s="5">
        <v>45871</v>
      </c>
      <c r="Q11" s="5">
        <v>45872</v>
      </c>
      <c r="R11" s="5">
        <v>45873</v>
      </c>
      <c r="S11" s="5">
        <v>45874</v>
      </c>
      <c r="T11" s="5">
        <v>45875</v>
      </c>
      <c r="U11" s="5">
        <v>45876</v>
      </c>
      <c r="V11" s="5">
        <v>45877</v>
      </c>
      <c r="W11" s="5">
        <v>45878</v>
      </c>
      <c r="X11" s="5">
        <v>45879</v>
      </c>
      <c r="Y11" s="5">
        <v>45880</v>
      </c>
      <c r="Z11" s="5">
        <v>45881</v>
      </c>
      <c r="AA11" s="5">
        <v>45882</v>
      </c>
      <c r="AB11" s="5">
        <v>45883</v>
      </c>
      <c r="AC11" s="5">
        <v>45884</v>
      </c>
      <c r="AD11" s="5">
        <v>45885</v>
      </c>
      <c r="AE11" s="5">
        <v>45886</v>
      </c>
      <c r="AF11" s="5">
        <v>45887</v>
      </c>
    </row>
    <row r="12" spans="1:32" x14ac:dyDescent="0.3">
      <c r="B12" t="s">
        <v>1</v>
      </c>
      <c r="C12" s="2">
        <v>337444854</v>
      </c>
      <c r="D12" s="2">
        <v>13028400</v>
      </c>
      <c r="E12" s="2">
        <v>13438700</v>
      </c>
      <c r="F12" s="2">
        <v>12865616</v>
      </c>
      <c r="G12" s="2">
        <v>12641200</v>
      </c>
      <c r="H12" s="2">
        <v>14798300</v>
      </c>
      <c r="I12" s="2">
        <v>17833200</v>
      </c>
      <c r="J12" s="2">
        <v>14197700</v>
      </c>
      <c r="K12" s="2">
        <v>15162400</v>
      </c>
      <c r="L12" s="2">
        <v>10105700</v>
      </c>
      <c r="M12" s="2">
        <v>10066100</v>
      </c>
      <c r="N12" s="2">
        <v>11266200</v>
      </c>
      <c r="O12" s="2">
        <v>13532200</v>
      </c>
      <c r="P12" s="2">
        <v>9675600</v>
      </c>
      <c r="Q12" s="2">
        <v>10817400</v>
      </c>
      <c r="R12" s="2">
        <v>10820700</v>
      </c>
      <c r="S12" s="2">
        <v>9861500</v>
      </c>
      <c r="T12" s="2">
        <v>9409400</v>
      </c>
      <c r="U12" s="2">
        <v>10347700</v>
      </c>
      <c r="V12" s="2">
        <v>8652620</v>
      </c>
      <c r="W12" s="2">
        <v>5973000</v>
      </c>
      <c r="X12" s="2">
        <v>5408711</v>
      </c>
      <c r="Y12" s="2">
        <v>5183200</v>
      </c>
      <c r="Z12" s="2">
        <v>5424100</v>
      </c>
      <c r="AA12" s="2">
        <v>4227300</v>
      </c>
      <c r="AB12" s="2">
        <v>6163300</v>
      </c>
      <c r="AC12" s="2">
        <v>5721100</v>
      </c>
      <c r="AD12" s="2">
        <v>4277900</v>
      </c>
      <c r="AE12" s="2">
        <v>3924800</v>
      </c>
      <c r="AF12" s="2">
        <v>29700</v>
      </c>
    </row>
    <row r="14" spans="1:32" x14ac:dyDescent="0.3">
      <c r="D14" s="9">
        <f t="shared" ref="D14:AF14" si="1">D12/D9</f>
        <v>8272</v>
      </c>
      <c r="E14" s="9">
        <f t="shared" si="1"/>
        <v>10794.136546184738</v>
      </c>
      <c r="F14" s="9">
        <f t="shared" si="1"/>
        <v>10757.204013377926</v>
      </c>
      <c r="G14" s="9">
        <f t="shared" si="1"/>
        <v>10758.468085106382</v>
      </c>
      <c r="H14" s="9">
        <f t="shared" si="1"/>
        <v>11606.509803921568</v>
      </c>
      <c r="I14" s="9">
        <f t="shared" si="1"/>
        <v>12341.314878892734</v>
      </c>
      <c r="J14" s="9">
        <f t="shared" si="1"/>
        <v>9784.7691247415569</v>
      </c>
      <c r="K14" s="9">
        <f t="shared" si="1"/>
        <v>15663.636363636364</v>
      </c>
      <c r="L14" s="9">
        <f t="shared" si="1"/>
        <v>11973.578199052132</v>
      </c>
      <c r="M14" s="9">
        <f t="shared" si="1"/>
        <v>12040.78947368421</v>
      </c>
      <c r="N14" s="9">
        <f t="shared" si="1"/>
        <v>14688.657105606258</v>
      </c>
      <c r="O14" s="9">
        <f t="shared" si="1"/>
        <v>17086.111111111109</v>
      </c>
      <c r="P14" s="9">
        <f t="shared" si="1"/>
        <v>10370.418006430868</v>
      </c>
      <c r="Q14" s="9">
        <f t="shared" si="1"/>
        <v>12032.703003337041</v>
      </c>
      <c r="R14" s="9">
        <f t="shared" si="1"/>
        <v>14925.103448275862</v>
      </c>
      <c r="S14" s="9">
        <f t="shared" si="1"/>
        <v>19298.43444227006</v>
      </c>
      <c r="T14" s="9">
        <f t="shared" si="1"/>
        <v>18449.803921568626</v>
      </c>
      <c r="U14" s="9">
        <f t="shared" si="1"/>
        <v>20369.488188976378</v>
      </c>
      <c r="V14" s="9">
        <f t="shared" si="1"/>
        <v>23073.653333333332</v>
      </c>
      <c r="W14" s="9">
        <f t="shared" si="1"/>
        <v>19267.741935483871</v>
      </c>
      <c r="X14" s="9">
        <f t="shared" si="1"/>
        <v>20963.996124031008</v>
      </c>
      <c r="Y14" s="9">
        <f t="shared" si="1"/>
        <v>24220.560747663552</v>
      </c>
      <c r="Z14" s="9">
        <f t="shared" si="1"/>
        <v>24655</v>
      </c>
      <c r="AA14" s="9">
        <f t="shared" si="1"/>
        <v>13769.70684039088</v>
      </c>
      <c r="AB14" s="9">
        <f t="shared" si="1"/>
        <v>19081.424148606809</v>
      </c>
      <c r="AC14" s="9">
        <f t="shared" si="1"/>
        <v>16207.082152974504</v>
      </c>
      <c r="AD14" s="9">
        <f t="shared" si="1"/>
        <v>14600.341296928327</v>
      </c>
      <c r="AE14" s="9">
        <f t="shared" si="1"/>
        <v>12076.307692307691</v>
      </c>
      <c r="AF14" s="9">
        <f t="shared" si="1"/>
        <v>9900</v>
      </c>
    </row>
    <row r="17" spans="1:31" x14ac:dyDescent="0.3">
      <c r="A17" t="s">
        <v>152</v>
      </c>
      <c r="B17" t="s">
        <v>84</v>
      </c>
      <c r="C17" t="s">
        <v>138</v>
      </c>
      <c r="D17" s="5">
        <v>45859</v>
      </c>
      <c r="E17" s="5">
        <v>45860</v>
      </c>
      <c r="F17" s="5">
        <v>45861</v>
      </c>
      <c r="G17" s="5">
        <v>45862</v>
      </c>
      <c r="H17" s="5">
        <v>45863</v>
      </c>
      <c r="I17" s="5">
        <v>45864</v>
      </c>
      <c r="J17" s="5">
        <v>45865</v>
      </c>
      <c r="K17" s="5">
        <v>45866</v>
      </c>
      <c r="L17" s="5">
        <v>45867</v>
      </c>
      <c r="M17" s="5">
        <v>45868</v>
      </c>
      <c r="N17" s="5">
        <v>45869</v>
      </c>
      <c r="O17" s="5">
        <v>45870</v>
      </c>
      <c r="P17" s="5">
        <v>45871</v>
      </c>
      <c r="Q17" s="5">
        <v>45872</v>
      </c>
      <c r="R17" s="5">
        <v>45873</v>
      </c>
      <c r="S17" s="5">
        <v>45874</v>
      </c>
      <c r="T17" s="5">
        <v>45875</v>
      </c>
      <c r="U17" s="5">
        <v>45876</v>
      </c>
      <c r="V17" s="5">
        <v>45877</v>
      </c>
      <c r="W17" s="5">
        <v>45878</v>
      </c>
      <c r="X17" s="5">
        <v>45879</v>
      </c>
      <c r="Y17" s="5">
        <v>45880</v>
      </c>
      <c r="Z17" s="5">
        <v>45881</v>
      </c>
      <c r="AA17" s="5">
        <v>45882</v>
      </c>
      <c r="AB17" s="5">
        <v>45883</v>
      </c>
      <c r="AC17" s="5">
        <v>45884</v>
      </c>
      <c r="AD17" s="5">
        <v>45885</v>
      </c>
      <c r="AE17" s="5">
        <v>45886</v>
      </c>
    </row>
    <row r="18" spans="1:31" x14ac:dyDescent="0.3">
      <c r="B18" t="s">
        <v>144</v>
      </c>
      <c r="C18" s="2">
        <v>35638947</v>
      </c>
      <c r="D18" s="4">
        <v>1453100</v>
      </c>
      <c r="E18" s="4">
        <v>2500300</v>
      </c>
      <c r="F18" s="4">
        <v>2157116</v>
      </c>
      <c r="G18" s="4">
        <v>2350700</v>
      </c>
      <c r="H18" s="4">
        <v>2222000</v>
      </c>
      <c r="I18" s="4">
        <v>2841300</v>
      </c>
      <c r="J18" s="4">
        <v>2757700</v>
      </c>
      <c r="K18" s="4">
        <v>1464100</v>
      </c>
      <c r="L18" s="4">
        <v>1670900</v>
      </c>
      <c r="M18" s="4">
        <v>1312300</v>
      </c>
      <c r="N18" s="4">
        <v>1067000</v>
      </c>
      <c r="O18" s="4">
        <v>1157200</v>
      </c>
      <c r="P18" s="4">
        <v>1538900</v>
      </c>
      <c r="Q18" s="4">
        <v>1711600</v>
      </c>
      <c r="R18" s="4">
        <v>1590600</v>
      </c>
      <c r="S18" s="4">
        <v>1106600</v>
      </c>
      <c r="T18" s="4">
        <v>944900</v>
      </c>
      <c r="U18" s="4">
        <v>720500</v>
      </c>
      <c r="V18" s="4">
        <v>739220</v>
      </c>
      <c r="W18" s="4">
        <v>533500</v>
      </c>
      <c r="X18" s="4">
        <v>484011</v>
      </c>
      <c r="Y18" s="4">
        <v>276100</v>
      </c>
      <c r="Z18" s="4">
        <v>429000</v>
      </c>
      <c r="AA18" s="4">
        <v>399300</v>
      </c>
      <c r="AB18" s="4">
        <v>700700</v>
      </c>
      <c r="AC18" s="4">
        <v>473000</v>
      </c>
      <c r="AD18" s="4">
        <v>536800</v>
      </c>
      <c r="AE18" s="4">
        <v>471900</v>
      </c>
    </row>
    <row r="19" spans="1:31" x14ac:dyDescent="0.3">
      <c r="B19" t="s">
        <v>143</v>
      </c>
      <c r="C19" s="2">
        <f t="shared" ref="C19:AE19" si="2">SUM(C18:C18)</f>
        <v>35638947</v>
      </c>
      <c r="D19" s="4">
        <f t="shared" si="2"/>
        <v>1453100</v>
      </c>
      <c r="E19" s="4">
        <f t="shared" si="2"/>
        <v>2500300</v>
      </c>
      <c r="F19" s="4">
        <f t="shared" si="2"/>
        <v>2157116</v>
      </c>
      <c r="G19" s="4">
        <f t="shared" si="2"/>
        <v>2350700</v>
      </c>
      <c r="H19" s="4">
        <f t="shared" si="2"/>
        <v>2222000</v>
      </c>
      <c r="I19" s="4">
        <f t="shared" si="2"/>
        <v>2841300</v>
      </c>
      <c r="J19" s="4">
        <f t="shared" si="2"/>
        <v>2757700</v>
      </c>
      <c r="K19" s="4">
        <f t="shared" si="2"/>
        <v>1464100</v>
      </c>
      <c r="L19" s="4">
        <f t="shared" si="2"/>
        <v>1670900</v>
      </c>
      <c r="M19" s="4">
        <f t="shared" si="2"/>
        <v>1312300</v>
      </c>
      <c r="N19" s="4">
        <f t="shared" si="2"/>
        <v>1067000</v>
      </c>
      <c r="O19" s="4">
        <f t="shared" si="2"/>
        <v>1157200</v>
      </c>
      <c r="P19" s="4">
        <f t="shared" si="2"/>
        <v>1538900</v>
      </c>
      <c r="Q19" s="4">
        <f t="shared" si="2"/>
        <v>1711600</v>
      </c>
      <c r="R19" s="4">
        <f t="shared" si="2"/>
        <v>1590600</v>
      </c>
      <c r="S19" s="4">
        <f t="shared" si="2"/>
        <v>1106600</v>
      </c>
      <c r="T19" s="4">
        <f t="shared" si="2"/>
        <v>944900</v>
      </c>
      <c r="U19" s="4">
        <f t="shared" si="2"/>
        <v>720500</v>
      </c>
      <c r="V19" s="4">
        <f t="shared" si="2"/>
        <v>739220</v>
      </c>
      <c r="W19" s="4">
        <f t="shared" si="2"/>
        <v>533500</v>
      </c>
      <c r="X19" s="4">
        <f t="shared" si="2"/>
        <v>484011</v>
      </c>
      <c r="Y19" s="4">
        <f t="shared" si="2"/>
        <v>276100</v>
      </c>
      <c r="Z19" s="4">
        <f t="shared" si="2"/>
        <v>429000</v>
      </c>
      <c r="AA19" s="4">
        <f t="shared" si="2"/>
        <v>399300</v>
      </c>
      <c r="AB19" s="4">
        <f t="shared" si="2"/>
        <v>700700</v>
      </c>
      <c r="AC19" s="4">
        <f t="shared" si="2"/>
        <v>473000</v>
      </c>
      <c r="AD19" s="4">
        <f t="shared" si="2"/>
        <v>536800</v>
      </c>
      <c r="AE19" s="4">
        <f t="shared" si="2"/>
        <v>471900</v>
      </c>
    </row>
    <row r="20" spans="1:31" x14ac:dyDescent="0.3">
      <c r="B20" t="s">
        <v>142</v>
      </c>
      <c r="C20" s="2">
        <v>19575600</v>
      </c>
      <c r="D20" s="4">
        <v>1106600</v>
      </c>
      <c r="E20" s="4">
        <v>1610400</v>
      </c>
      <c r="F20" s="4">
        <v>1469600</v>
      </c>
      <c r="G20" s="4">
        <v>864600</v>
      </c>
      <c r="H20" s="4">
        <v>975700</v>
      </c>
      <c r="I20" s="4">
        <v>976800</v>
      </c>
      <c r="J20" s="4">
        <v>1025200</v>
      </c>
      <c r="K20" s="4">
        <v>1205600</v>
      </c>
      <c r="L20" s="4">
        <v>503800</v>
      </c>
      <c r="M20" s="4">
        <v>1105500</v>
      </c>
      <c r="N20" s="4">
        <v>815100</v>
      </c>
      <c r="O20" s="4">
        <v>921800</v>
      </c>
      <c r="P20" s="4">
        <v>777700</v>
      </c>
      <c r="Q20" s="4">
        <v>973500</v>
      </c>
      <c r="R20" s="4">
        <v>706200</v>
      </c>
      <c r="S20" s="4">
        <v>1240800</v>
      </c>
      <c r="T20" s="4">
        <v>772200</v>
      </c>
      <c r="U20" s="4">
        <v>325600</v>
      </c>
      <c r="V20" s="4">
        <v>148500</v>
      </c>
      <c r="W20" s="4">
        <v>441100</v>
      </c>
      <c r="X20" s="4">
        <v>215600</v>
      </c>
      <c r="Y20" s="4">
        <v>187000</v>
      </c>
      <c r="Z20" s="4">
        <v>118800</v>
      </c>
      <c r="AA20" s="4">
        <v>91300</v>
      </c>
      <c r="AB20" s="4">
        <v>223300</v>
      </c>
      <c r="AC20" s="4">
        <v>246400</v>
      </c>
      <c r="AD20" s="4">
        <v>332200</v>
      </c>
      <c r="AE20" s="4">
        <v>194700</v>
      </c>
    </row>
    <row r="21" spans="1:31" x14ac:dyDescent="0.3">
      <c r="A21" t="s">
        <v>1</v>
      </c>
      <c r="B21" t="s">
        <v>92</v>
      </c>
      <c r="C21" s="2">
        <v>16502200</v>
      </c>
      <c r="D21" s="4">
        <v>973500</v>
      </c>
      <c r="E21" s="4">
        <v>1475100</v>
      </c>
      <c r="F21" s="4">
        <v>1160500</v>
      </c>
      <c r="G21" s="4">
        <v>944900</v>
      </c>
      <c r="H21" s="4">
        <v>882200</v>
      </c>
      <c r="I21" s="4">
        <v>732600</v>
      </c>
      <c r="J21" s="4">
        <v>776600</v>
      </c>
      <c r="K21" s="4">
        <v>313500</v>
      </c>
      <c r="L21" s="4">
        <v>899800</v>
      </c>
      <c r="M21" s="4">
        <v>994400</v>
      </c>
      <c r="N21" s="4">
        <v>342100</v>
      </c>
      <c r="O21" s="4">
        <v>768900</v>
      </c>
      <c r="P21" s="4">
        <v>522500</v>
      </c>
      <c r="Q21" s="4">
        <v>674300</v>
      </c>
      <c r="R21" s="4">
        <v>563200</v>
      </c>
      <c r="S21" s="4">
        <v>787600</v>
      </c>
      <c r="T21" s="4">
        <v>662200</v>
      </c>
      <c r="U21" s="4">
        <v>646800</v>
      </c>
      <c r="V21" s="4">
        <v>503800</v>
      </c>
      <c r="W21" s="4">
        <v>161700</v>
      </c>
      <c r="X21" s="4">
        <v>312400</v>
      </c>
      <c r="Y21" s="4">
        <v>147400</v>
      </c>
      <c r="Z21" s="4">
        <v>301400</v>
      </c>
      <c r="AA21" s="4">
        <v>145200</v>
      </c>
      <c r="AB21" s="4">
        <v>382800</v>
      </c>
      <c r="AC21" s="4">
        <v>259600</v>
      </c>
      <c r="AD21" s="4">
        <v>92400</v>
      </c>
      <c r="AE21" s="4">
        <v>74800</v>
      </c>
    </row>
    <row r="22" spans="1:31" x14ac:dyDescent="0.3">
      <c r="A22" t="s">
        <v>1</v>
      </c>
      <c r="B22" t="s">
        <v>93</v>
      </c>
      <c r="C22" s="2">
        <v>25135000</v>
      </c>
      <c r="D22" s="4">
        <v>1777600</v>
      </c>
      <c r="E22" s="4">
        <v>1768800</v>
      </c>
      <c r="F22" s="4">
        <v>1598300</v>
      </c>
      <c r="G22" s="4">
        <v>1486100</v>
      </c>
      <c r="H22" s="4">
        <v>1941500</v>
      </c>
      <c r="I22" s="4">
        <v>1116500</v>
      </c>
      <c r="J22" s="4">
        <v>910800</v>
      </c>
      <c r="K22" s="4">
        <v>2036100</v>
      </c>
      <c r="L22" s="4">
        <v>1337600</v>
      </c>
      <c r="M22" s="4">
        <v>855800</v>
      </c>
      <c r="N22" s="4">
        <v>816200</v>
      </c>
      <c r="O22" s="4">
        <v>1570800</v>
      </c>
      <c r="P22" s="4">
        <v>607200</v>
      </c>
      <c r="Q22" s="4">
        <v>807400</v>
      </c>
      <c r="R22" s="4">
        <v>709500</v>
      </c>
      <c r="S22" s="4">
        <v>1052700</v>
      </c>
      <c r="T22" s="4">
        <v>1062600</v>
      </c>
      <c r="U22" s="4">
        <v>465300</v>
      </c>
      <c r="V22" s="4">
        <v>486200</v>
      </c>
      <c r="W22" s="4">
        <v>382800</v>
      </c>
      <c r="X22" s="4">
        <v>392700</v>
      </c>
      <c r="Y22" s="4">
        <v>198000</v>
      </c>
      <c r="Z22" s="4">
        <v>240900</v>
      </c>
      <c r="AA22" s="4">
        <v>343200</v>
      </c>
      <c r="AB22" s="4">
        <v>188100</v>
      </c>
      <c r="AC22" s="4">
        <v>283800</v>
      </c>
      <c r="AD22" s="4">
        <v>363000</v>
      </c>
      <c r="AE22" s="4">
        <v>335500</v>
      </c>
    </row>
    <row r="23" spans="1:31" x14ac:dyDescent="0.3">
      <c r="A23" t="s">
        <v>1</v>
      </c>
      <c r="B23" t="s">
        <v>95</v>
      </c>
      <c r="C23" s="2">
        <v>41258800</v>
      </c>
      <c r="D23" s="4">
        <v>1401400</v>
      </c>
      <c r="E23" s="4">
        <v>2158200</v>
      </c>
      <c r="F23" s="4">
        <v>2249500</v>
      </c>
      <c r="G23" s="4">
        <v>1817200</v>
      </c>
      <c r="H23" s="4">
        <v>2884200</v>
      </c>
      <c r="I23" s="4">
        <v>3129500</v>
      </c>
      <c r="J23" s="4">
        <v>2171400</v>
      </c>
      <c r="K23" s="4">
        <v>1952500</v>
      </c>
      <c r="L23" s="4">
        <v>1296900</v>
      </c>
      <c r="M23" s="4">
        <v>1324400</v>
      </c>
      <c r="N23" s="4">
        <v>1642300</v>
      </c>
      <c r="O23" s="4">
        <v>1939300</v>
      </c>
      <c r="P23" s="4">
        <v>2030600</v>
      </c>
      <c r="Q23" s="4">
        <v>1445400</v>
      </c>
      <c r="R23" s="4">
        <v>620400</v>
      </c>
      <c r="S23" s="4">
        <v>1994300</v>
      </c>
      <c r="T23" s="4">
        <v>1838100</v>
      </c>
      <c r="U23" s="4">
        <v>1810600</v>
      </c>
      <c r="V23" s="4">
        <v>1181400</v>
      </c>
      <c r="W23" s="4">
        <v>744700</v>
      </c>
      <c r="X23" s="4">
        <v>918500</v>
      </c>
      <c r="Y23" s="4">
        <v>613800</v>
      </c>
      <c r="Z23" s="4">
        <v>589600</v>
      </c>
      <c r="AA23" s="4">
        <v>515900</v>
      </c>
      <c r="AB23" s="4">
        <v>728200</v>
      </c>
      <c r="AC23" s="4">
        <v>1067000</v>
      </c>
      <c r="AD23" s="4">
        <v>446600</v>
      </c>
      <c r="AE23" s="4">
        <v>746900</v>
      </c>
    </row>
    <row r="24" spans="1:31" x14ac:dyDescent="0.3">
      <c r="A24" t="s">
        <v>1</v>
      </c>
      <c r="B24" t="s">
        <v>96</v>
      </c>
      <c r="C24" s="2">
        <v>24613600</v>
      </c>
      <c r="D24" s="4">
        <v>608300</v>
      </c>
      <c r="E24" s="4">
        <v>1166000</v>
      </c>
      <c r="F24" s="4">
        <v>649000</v>
      </c>
      <c r="G24" s="4">
        <v>970200</v>
      </c>
      <c r="H24" s="4">
        <v>1155000</v>
      </c>
      <c r="I24" s="4">
        <v>924000</v>
      </c>
      <c r="J24" s="4">
        <v>995500</v>
      </c>
      <c r="K24" s="4">
        <v>1563100</v>
      </c>
      <c r="L24" s="4">
        <v>963600</v>
      </c>
      <c r="M24" s="4">
        <v>288200</v>
      </c>
      <c r="N24" s="4">
        <v>961400</v>
      </c>
      <c r="O24" s="4">
        <v>1381600</v>
      </c>
      <c r="P24" s="4">
        <v>713900</v>
      </c>
      <c r="Q24" s="4">
        <v>1194600</v>
      </c>
      <c r="R24" s="4">
        <v>1316700</v>
      </c>
      <c r="S24" s="4">
        <v>839300</v>
      </c>
      <c r="T24" s="4">
        <v>467500</v>
      </c>
      <c r="U24" s="4">
        <v>1794100</v>
      </c>
      <c r="V24" s="4">
        <v>950400</v>
      </c>
      <c r="W24" s="4">
        <v>715000</v>
      </c>
      <c r="X24" s="4">
        <v>699600</v>
      </c>
      <c r="Y24" s="4">
        <v>594000</v>
      </c>
      <c r="Z24" s="4">
        <v>735900</v>
      </c>
      <c r="AA24" s="4">
        <v>622600</v>
      </c>
      <c r="AB24" s="4">
        <v>841500</v>
      </c>
      <c r="AC24" s="4">
        <v>386100</v>
      </c>
      <c r="AD24" s="4">
        <v>778800</v>
      </c>
      <c r="AE24" s="4">
        <v>337700</v>
      </c>
    </row>
    <row r="25" spans="1:31" x14ac:dyDescent="0.3">
      <c r="A25" t="s">
        <v>1</v>
      </c>
      <c r="B25" t="s">
        <v>98</v>
      </c>
      <c r="C25" s="2">
        <v>23425600</v>
      </c>
      <c r="D25" s="4">
        <v>286000</v>
      </c>
      <c r="E25" s="4">
        <v>281600</v>
      </c>
      <c r="F25" s="4">
        <v>563200</v>
      </c>
      <c r="G25" s="4">
        <v>799700</v>
      </c>
      <c r="H25" s="4">
        <v>1894200</v>
      </c>
      <c r="I25" s="4">
        <v>1166000</v>
      </c>
      <c r="J25" s="4">
        <v>601700</v>
      </c>
      <c r="K25" s="4">
        <v>550000</v>
      </c>
      <c r="L25" s="4">
        <v>550000</v>
      </c>
      <c r="M25" s="4">
        <v>754600</v>
      </c>
      <c r="N25" s="4">
        <v>1551000</v>
      </c>
      <c r="O25" s="4">
        <v>1856800</v>
      </c>
      <c r="P25" s="4">
        <v>1227600</v>
      </c>
      <c r="Q25" s="4">
        <v>739200</v>
      </c>
      <c r="R25" s="4">
        <v>1233100</v>
      </c>
      <c r="S25" s="4">
        <v>566500</v>
      </c>
      <c r="T25" s="4">
        <v>739200</v>
      </c>
      <c r="U25" s="4">
        <v>922900</v>
      </c>
      <c r="V25" s="4">
        <v>1392600</v>
      </c>
      <c r="W25" s="4">
        <v>759000</v>
      </c>
      <c r="X25" s="4">
        <v>826100</v>
      </c>
      <c r="Y25" s="4">
        <v>913000</v>
      </c>
      <c r="Z25" s="4">
        <v>499400</v>
      </c>
      <c r="AA25" s="4">
        <v>757900</v>
      </c>
      <c r="AB25" s="4">
        <v>742500</v>
      </c>
      <c r="AC25" s="4">
        <v>592900</v>
      </c>
      <c r="AD25" s="4">
        <v>264000</v>
      </c>
      <c r="AE25" s="4">
        <v>394900</v>
      </c>
    </row>
    <row r="26" spans="1:31" x14ac:dyDescent="0.3">
      <c r="A26" t="s">
        <v>1</v>
      </c>
      <c r="B26" t="s">
        <v>99</v>
      </c>
      <c r="C26" s="2">
        <v>17009300</v>
      </c>
      <c r="D26" s="4">
        <v>132000</v>
      </c>
      <c r="E26" s="4">
        <v>204600</v>
      </c>
      <c r="F26" s="4">
        <v>553300</v>
      </c>
      <c r="G26" s="4">
        <v>1474000</v>
      </c>
      <c r="H26" s="4">
        <v>165000</v>
      </c>
      <c r="I26" s="4">
        <v>1612600</v>
      </c>
      <c r="J26" s="4">
        <v>352000</v>
      </c>
      <c r="K26" s="4">
        <v>1315600</v>
      </c>
      <c r="L26" s="4">
        <v>418000</v>
      </c>
      <c r="M26" s="4">
        <v>376200</v>
      </c>
      <c r="N26" s="4">
        <v>1144000</v>
      </c>
      <c r="O26" s="4">
        <v>1160500</v>
      </c>
      <c r="P26" s="4">
        <v>385000</v>
      </c>
      <c r="Q26" s="4">
        <v>408100</v>
      </c>
      <c r="R26" s="4">
        <v>335500</v>
      </c>
      <c r="S26" s="4">
        <v>281600</v>
      </c>
      <c r="T26" s="4">
        <v>877800</v>
      </c>
      <c r="U26" s="4">
        <v>971300</v>
      </c>
      <c r="V26" s="4">
        <v>370700</v>
      </c>
      <c r="W26" s="4">
        <v>448800</v>
      </c>
      <c r="X26" s="4">
        <v>411400</v>
      </c>
      <c r="Y26" s="4">
        <v>579700</v>
      </c>
      <c r="Z26" s="4">
        <v>577500</v>
      </c>
      <c r="AA26" s="4">
        <v>508200</v>
      </c>
      <c r="AB26" s="4">
        <v>479600</v>
      </c>
      <c r="AC26" s="4">
        <v>811800</v>
      </c>
      <c r="AD26" s="4">
        <v>337700</v>
      </c>
      <c r="AE26" s="4">
        <v>316800</v>
      </c>
    </row>
    <row r="27" spans="1:31" x14ac:dyDescent="0.3">
      <c r="A27" t="s">
        <v>1</v>
      </c>
      <c r="B27" t="s">
        <v>101</v>
      </c>
      <c r="C27" s="2">
        <v>17095100</v>
      </c>
      <c r="D27" s="4">
        <v>0</v>
      </c>
      <c r="E27" s="4">
        <v>495000</v>
      </c>
      <c r="F27" s="4">
        <v>220000</v>
      </c>
      <c r="G27" s="4">
        <v>264000</v>
      </c>
      <c r="H27" s="4">
        <v>605000</v>
      </c>
      <c r="I27" s="4">
        <v>803000</v>
      </c>
      <c r="J27" s="4">
        <v>1485000</v>
      </c>
      <c r="K27" s="4">
        <v>1384900</v>
      </c>
      <c r="L27" s="4">
        <v>589600</v>
      </c>
      <c r="M27" s="4">
        <v>231000</v>
      </c>
      <c r="N27" s="4">
        <v>1430000</v>
      </c>
      <c r="O27" s="4">
        <v>545600</v>
      </c>
      <c r="P27" s="4">
        <v>705100</v>
      </c>
      <c r="Q27" s="4">
        <v>647900</v>
      </c>
      <c r="R27" s="4">
        <v>872300</v>
      </c>
      <c r="S27" s="4">
        <v>155100</v>
      </c>
      <c r="T27" s="4">
        <v>116600</v>
      </c>
      <c r="U27" s="4">
        <v>1062600</v>
      </c>
      <c r="V27" s="4">
        <v>1822700</v>
      </c>
      <c r="W27" s="4">
        <v>275000</v>
      </c>
      <c r="X27" s="4">
        <v>521400</v>
      </c>
      <c r="Y27" s="4">
        <v>480700</v>
      </c>
      <c r="Z27" s="4">
        <v>405900</v>
      </c>
      <c r="AA27" s="4">
        <v>215600</v>
      </c>
      <c r="AB27" s="4">
        <v>422400</v>
      </c>
      <c r="AC27" s="4">
        <v>485100</v>
      </c>
      <c r="AD27" s="4">
        <v>475200</v>
      </c>
      <c r="AE27" s="4">
        <v>378400</v>
      </c>
    </row>
    <row r="28" spans="1:31" x14ac:dyDescent="0.3">
      <c r="A28" t="s">
        <v>1</v>
      </c>
      <c r="B28" t="s">
        <v>102</v>
      </c>
      <c r="C28" s="2">
        <v>5285500</v>
      </c>
      <c r="D28" s="4">
        <v>1100</v>
      </c>
      <c r="E28" s="4">
        <v>111100</v>
      </c>
      <c r="F28" s="4">
        <v>550000</v>
      </c>
      <c r="G28" s="4">
        <v>110000</v>
      </c>
      <c r="H28" s="4">
        <v>0</v>
      </c>
      <c r="I28" s="4">
        <v>220000</v>
      </c>
      <c r="J28" s="4">
        <v>814000</v>
      </c>
      <c r="K28" s="4">
        <v>238700</v>
      </c>
      <c r="L28" s="4">
        <v>501600</v>
      </c>
      <c r="M28" s="4">
        <v>341000</v>
      </c>
      <c r="N28" s="4">
        <v>319000</v>
      </c>
      <c r="O28" s="4">
        <v>0</v>
      </c>
      <c r="P28" s="4">
        <v>143000</v>
      </c>
      <c r="Q28" s="4">
        <v>275000</v>
      </c>
      <c r="R28" s="4">
        <v>440000</v>
      </c>
      <c r="S28" s="4">
        <v>0</v>
      </c>
      <c r="T28" s="4">
        <v>440000</v>
      </c>
      <c r="U28" s="4">
        <v>110000</v>
      </c>
      <c r="V28" s="4">
        <v>440000</v>
      </c>
      <c r="W28" s="4">
        <v>0</v>
      </c>
      <c r="X28" s="4">
        <v>11000</v>
      </c>
      <c r="Y28" s="4">
        <v>0</v>
      </c>
      <c r="Z28" s="4">
        <v>88000</v>
      </c>
      <c r="AA28" s="4">
        <v>0</v>
      </c>
      <c r="AB28" s="4">
        <v>0</v>
      </c>
      <c r="AC28" s="4">
        <v>55000</v>
      </c>
      <c r="AD28" s="4">
        <v>66000</v>
      </c>
      <c r="AE28" s="4">
        <v>11000</v>
      </c>
    </row>
    <row r="29" spans="1:31" x14ac:dyDescent="0.3">
      <c r="A29" t="s">
        <v>1</v>
      </c>
      <c r="B29" t="s">
        <v>104</v>
      </c>
      <c r="C29" s="2">
        <v>6293100</v>
      </c>
      <c r="D29" s="4">
        <v>0</v>
      </c>
      <c r="E29" s="4">
        <v>1100</v>
      </c>
      <c r="F29" s="4">
        <v>0</v>
      </c>
      <c r="G29" s="4">
        <v>121000</v>
      </c>
      <c r="H29" s="4">
        <v>220000</v>
      </c>
      <c r="I29" s="4">
        <v>1382700</v>
      </c>
      <c r="J29" s="4">
        <v>253000</v>
      </c>
      <c r="K29" s="4">
        <v>231000</v>
      </c>
      <c r="L29" s="4">
        <v>385000</v>
      </c>
      <c r="M29" s="4">
        <v>880000</v>
      </c>
      <c r="N29" s="4">
        <v>245300</v>
      </c>
      <c r="O29" s="4">
        <v>352000</v>
      </c>
      <c r="P29" s="4">
        <v>66000</v>
      </c>
      <c r="Q29" s="4">
        <v>220000</v>
      </c>
      <c r="R29" s="4">
        <v>116600</v>
      </c>
      <c r="S29" s="4">
        <v>330000</v>
      </c>
      <c r="T29" s="4">
        <v>110000</v>
      </c>
      <c r="U29" s="4">
        <v>0</v>
      </c>
      <c r="V29" s="4">
        <v>110000</v>
      </c>
      <c r="W29" s="4">
        <v>418000</v>
      </c>
      <c r="X29" s="4">
        <v>110000</v>
      </c>
      <c r="Y29" s="4">
        <v>334400</v>
      </c>
      <c r="Z29" s="4">
        <v>110000</v>
      </c>
      <c r="AA29" s="4">
        <v>0</v>
      </c>
      <c r="AB29" s="4">
        <v>66000</v>
      </c>
      <c r="AC29" s="4">
        <v>176000</v>
      </c>
      <c r="AD29" s="4">
        <v>44000</v>
      </c>
      <c r="AE29" s="4">
        <v>11000</v>
      </c>
    </row>
    <row r="30" spans="1:31" x14ac:dyDescent="0.3">
      <c r="A30" t="s">
        <v>1</v>
      </c>
      <c r="B30" t="s">
        <v>105</v>
      </c>
      <c r="C30" s="2">
        <v>3039300</v>
      </c>
      <c r="D30" s="4">
        <v>33000</v>
      </c>
      <c r="E30" s="4">
        <v>0</v>
      </c>
      <c r="F30" s="4">
        <v>0</v>
      </c>
      <c r="G30" s="4">
        <v>0</v>
      </c>
      <c r="H30" s="4">
        <v>0</v>
      </c>
      <c r="I30" s="4">
        <v>1117600</v>
      </c>
      <c r="J30" s="4">
        <v>28600</v>
      </c>
      <c r="K30" s="4">
        <v>11000</v>
      </c>
      <c r="L30" s="4">
        <v>220000</v>
      </c>
      <c r="M30" s="4">
        <v>55000</v>
      </c>
      <c r="N30" s="4">
        <v>110000</v>
      </c>
      <c r="O30" s="4">
        <v>0</v>
      </c>
      <c r="P30" s="4">
        <v>0</v>
      </c>
      <c r="Q30" s="4">
        <v>418000</v>
      </c>
      <c r="R30" s="4">
        <v>143000</v>
      </c>
      <c r="S30" s="4">
        <v>0</v>
      </c>
      <c r="T30" s="4">
        <v>0</v>
      </c>
      <c r="U30" s="4">
        <v>110000</v>
      </c>
      <c r="V30" s="4">
        <v>0</v>
      </c>
      <c r="W30" s="4">
        <v>55000</v>
      </c>
      <c r="X30" s="4">
        <v>0</v>
      </c>
      <c r="Y30" s="4">
        <v>110000</v>
      </c>
      <c r="Z30" s="4">
        <v>374000</v>
      </c>
      <c r="AA30" s="4">
        <v>165000</v>
      </c>
      <c r="AB30" s="4">
        <v>34100</v>
      </c>
      <c r="AC30" s="4">
        <v>55000</v>
      </c>
      <c r="AD30" s="4">
        <v>0</v>
      </c>
      <c r="AE30" s="4">
        <v>0</v>
      </c>
    </row>
    <row r="31" spans="1:31" x14ac:dyDescent="0.3">
      <c r="A31" t="s">
        <v>1</v>
      </c>
      <c r="B31" t="s">
        <v>141</v>
      </c>
      <c r="C31" s="2">
        <v>2850100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220000</v>
      </c>
      <c r="K31" s="4">
        <v>770000</v>
      </c>
      <c r="L31" s="4">
        <v>0</v>
      </c>
      <c r="M31" s="4">
        <v>22000</v>
      </c>
      <c r="N31" s="4">
        <v>0</v>
      </c>
      <c r="O31" s="4">
        <v>0</v>
      </c>
      <c r="P31" s="4">
        <v>0</v>
      </c>
      <c r="Q31" s="4">
        <v>0</v>
      </c>
      <c r="R31" s="4">
        <v>165000</v>
      </c>
      <c r="S31" s="4">
        <v>88000</v>
      </c>
      <c r="T31" s="4">
        <v>33000</v>
      </c>
      <c r="U31" s="4">
        <v>66000</v>
      </c>
      <c r="V31" s="4">
        <v>33000</v>
      </c>
      <c r="W31" s="4">
        <v>110000</v>
      </c>
      <c r="X31" s="4">
        <v>165000</v>
      </c>
      <c r="Y31" s="4">
        <v>0</v>
      </c>
      <c r="Z31" s="4">
        <v>550000</v>
      </c>
      <c r="AA31" s="4">
        <v>0</v>
      </c>
      <c r="AB31" s="4">
        <v>517000</v>
      </c>
      <c r="AC31" s="4">
        <v>111100</v>
      </c>
      <c r="AD31" s="4">
        <v>0</v>
      </c>
      <c r="AE31" s="4">
        <v>0</v>
      </c>
    </row>
    <row r="32" spans="1:31" x14ac:dyDescent="0.3">
      <c r="A32" t="s">
        <v>1</v>
      </c>
      <c r="B32" t="s">
        <v>107</v>
      </c>
      <c r="C32" s="2">
        <v>2124100</v>
      </c>
      <c r="D32" s="4">
        <v>0</v>
      </c>
      <c r="E32" s="4">
        <v>0</v>
      </c>
      <c r="F32" s="4">
        <v>0</v>
      </c>
      <c r="G32" s="4">
        <v>0</v>
      </c>
      <c r="H32" s="4">
        <v>165000</v>
      </c>
      <c r="I32" s="4">
        <v>0</v>
      </c>
      <c r="J32" s="4">
        <v>0</v>
      </c>
      <c r="K32" s="4">
        <v>1100000</v>
      </c>
      <c r="L32" s="4">
        <v>0</v>
      </c>
      <c r="M32" s="4">
        <v>143000</v>
      </c>
      <c r="N32" s="4">
        <v>33000</v>
      </c>
      <c r="O32" s="4">
        <v>88000</v>
      </c>
      <c r="P32" s="4">
        <v>0</v>
      </c>
      <c r="Q32" s="4">
        <v>11000</v>
      </c>
      <c r="R32" s="4">
        <v>1100</v>
      </c>
      <c r="S32" s="4">
        <v>44000</v>
      </c>
      <c r="T32" s="4">
        <v>0</v>
      </c>
      <c r="U32" s="4">
        <v>33000</v>
      </c>
      <c r="V32" s="4">
        <v>0</v>
      </c>
      <c r="W32" s="4">
        <v>55000</v>
      </c>
      <c r="X32" s="4">
        <v>11000</v>
      </c>
      <c r="Y32" s="4">
        <v>0</v>
      </c>
      <c r="Z32" s="4">
        <v>0</v>
      </c>
      <c r="AA32" s="4">
        <v>110000</v>
      </c>
      <c r="AB32" s="4">
        <v>0</v>
      </c>
      <c r="AC32" s="4">
        <v>110000</v>
      </c>
      <c r="AD32" s="4">
        <v>220000</v>
      </c>
      <c r="AE32" s="4">
        <v>0</v>
      </c>
    </row>
    <row r="33" spans="1:31" x14ac:dyDescent="0.3">
      <c r="A33" t="s">
        <v>1</v>
      </c>
      <c r="B33" t="s">
        <v>109</v>
      </c>
      <c r="C33" s="2">
        <v>1471800</v>
      </c>
      <c r="D33" s="4">
        <v>1100</v>
      </c>
      <c r="E33" s="4">
        <v>0</v>
      </c>
      <c r="F33" s="4">
        <v>1100</v>
      </c>
      <c r="G33" s="4">
        <v>1100</v>
      </c>
      <c r="H33" s="4">
        <v>1100</v>
      </c>
      <c r="I33" s="4">
        <v>1100</v>
      </c>
      <c r="J33" s="4">
        <v>0</v>
      </c>
      <c r="K33" s="4">
        <v>0</v>
      </c>
      <c r="L33" s="4">
        <v>110000</v>
      </c>
      <c r="M33" s="4">
        <v>0</v>
      </c>
      <c r="N33" s="4">
        <v>110000</v>
      </c>
      <c r="O33" s="4">
        <v>221100</v>
      </c>
      <c r="P33" s="4">
        <v>0</v>
      </c>
      <c r="Q33" s="4">
        <v>110000</v>
      </c>
      <c r="R33" s="4">
        <v>330000</v>
      </c>
      <c r="S33" s="4">
        <v>110000</v>
      </c>
      <c r="T33" s="4">
        <v>0</v>
      </c>
      <c r="U33" s="4">
        <v>0</v>
      </c>
      <c r="V33" s="4">
        <v>0</v>
      </c>
      <c r="W33" s="4">
        <v>110000</v>
      </c>
      <c r="X33" s="4">
        <v>0</v>
      </c>
      <c r="Y33" s="4">
        <v>198000</v>
      </c>
      <c r="Z33" s="4">
        <v>44000</v>
      </c>
      <c r="AA33" s="4">
        <v>0</v>
      </c>
      <c r="AB33" s="4">
        <v>0</v>
      </c>
      <c r="AC33" s="4">
        <v>0</v>
      </c>
      <c r="AD33" s="4">
        <v>12100</v>
      </c>
      <c r="AE33" s="4">
        <v>111100</v>
      </c>
    </row>
    <row r="34" spans="1:31" x14ac:dyDescent="0.3">
      <c r="A34" t="s">
        <v>1</v>
      </c>
      <c r="B34" t="s">
        <v>115</v>
      </c>
      <c r="C34" s="2">
        <v>1130800</v>
      </c>
      <c r="D34" s="4">
        <v>0</v>
      </c>
      <c r="E34" s="4">
        <v>4400</v>
      </c>
      <c r="F34" s="4">
        <v>4400</v>
      </c>
      <c r="G34" s="4">
        <v>1100</v>
      </c>
      <c r="H34" s="4">
        <v>0</v>
      </c>
      <c r="I34" s="4">
        <v>1100</v>
      </c>
      <c r="J34" s="4">
        <v>1100</v>
      </c>
      <c r="K34" s="4">
        <v>0</v>
      </c>
      <c r="L34" s="4">
        <v>0</v>
      </c>
      <c r="M34" s="4">
        <v>0</v>
      </c>
      <c r="N34" s="4">
        <v>0</v>
      </c>
      <c r="O34" s="4">
        <v>440000</v>
      </c>
      <c r="P34" s="4">
        <v>0</v>
      </c>
      <c r="Q34" s="4">
        <v>0</v>
      </c>
      <c r="R34" s="4">
        <v>12100</v>
      </c>
      <c r="S34" s="4">
        <v>110000</v>
      </c>
      <c r="T34" s="4">
        <v>0</v>
      </c>
      <c r="U34" s="4">
        <v>551100</v>
      </c>
      <c r="V34" s="4">
        <v>1100</v>
      </c>
      <c r="W34" s="4">
        <v>0</v>
      </c>
      <c r="X34" s="4">
        <v>1100</v>
      </c>
      <c r="Y34" s="4">
        <v>2200</v>
      </c>
      <c r="Z34" s="4">
        <v>0</v>
      </c>
      <c r="AA34" s="4">
        <v>0</v>
      </c>
      <c r="AB34" s="4">
        <v>0</v>
      </c>
      <c r="AC34" s="4">
        <v>0</v>
      </c>
      <c r="AD34" s="4">
        <v>1100</v>
      </c>
      <c r="AE34" s="4">
        <v>0</v>
      </c>
    </row>
    <row r="35" spans="1:31" x14ac:dyDescent="0.3">
      <c r="A35" t="s">
        <v>1</v>
      </c>
      <c r="B35" t="s">
        <v>111</v>
      </c>
      <c r="C35" s="2">
        <v>1379400</v>
      </c>
      <c r="D35" s="4">
        <v>1100</v>
      </c>
      <c r="E35" s="4">
        <v>0</v>
      </c>
      <c r="F35" s="4">
        <v>0</v>
      </c>
      <c r="G35" s="4">
        <v>0</v>
      </c>
      <c r="H35" s="4">
        <v>0</v>
      </c>
      <c r="I35" s="4">
        <v>1100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110000</v>
      </c>
      <c r="R35" s="4">
        <v>550000</v>
      </c>
      <c r="S35" s="4">
        <v>0</v>
      </c>
      <c r="T35" s="4">
        <v>0</v>
      </c>
      <c r="U35" s="4">
        <v>0</v>
      </c>
      <c r="V35" s="4">
        <v>1100</v>
      </c>
      <c r="W35" s="4">
        <v>220000</v>
      </c>
      <c r="X35" s="4">
        <v>111100</v>
      </c>
      <c r="Y35" s="4">
        <v>16500</v>
      </c>
      <c r="Z35" s="4">
        <v>0</v>
      </c>
      <c r="AA35" s="4">
        <v>1100</v>
      </c>
      <c r="AB35" s="4">
        <v>363000</v>
      </c>
      <c r="AC35" s="4">
        <v>2200</v>
      </c>
      <c r="AD35" s="4">
        <v>1100</v>
      </c>
      <c r="AE35" s="4">
        <v>1100</v>
      </c>
    </row>
    <row r="36" spans="1:31" x14ac:dyDescent="0.3">
      <c r="A36" t="s">
        <v>1</v>
      </c>
      <c r="B36" t="s">
        <v>136</v>
      </c>
      <c r="C36" s="2">
        <v>372900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36300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1100</v>
      </c>
      <c r="Y36" s="4">
        <v>1100</v>
      </c>
      <c r="Z36" s="4">
        <v>0</v>
      </c>
      <c r="AA36" s="4">
        <v>2200</v>
      </c>
      <c r="AB36" s="4">
        <v>220000</v>
      </c>
      <c r="AC36" s="4">
        <v>110000</v>
      </c>
      <c r="AD36" s="4">
        <v>2200</v>
      </c>
      <c r="AE36" s="4">
        <v>0</v>
      </c>
    </row>
    <row r="37" spans="1:31" x14ac:dyDescent="0.3">
      <c r="A37" t="s">
        <v>1</v>
      </c>
      <c r="B37" t="s">
        <v>137</v>
      </c>
      <c r="C37" s="2">
        <v>359700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17600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6600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4400</v>
      </c>
      <c r="AB37" s="4">
        <v>0</v>
      </c>
      <c r="AC37" s="4">
        <v>1100</v>
      </c>
      <c r="AD37" s="4">
        <v>0</v>
      </c>
      <c r="AE37" s="4">
        <v>330000</v>
      </c>
    </row>
    <row r="38" spans="1:31" x14ac:dyDescent="0.3">
      <c r="A38" t="s">
        <v>1</v>
      </c>
      <c r="B38" t="s">
        <v>114</v>
      </c>
      <c r="C38" s="2">
        <v>421300</v>
      </c>
      <c r="D38" s="4">
        <v>34100</v>
      </c>
      <c r="E38" s="4">
        <v>145200</v>
      </c>
      <c r="F38" s="4">
        <v>0</v>
      </c>
      <c r="G38" s="4">
        <v>0</v>
      </c>
      <c r="H38" s="4">
        <v>0</v>
      </c>
      <c r="I38" s="4">
        <v>33000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66000</v>
      </c>
      <c r="P38" s="4">
        <v>55000</v>
      </c>
      <c r="Q38" s="4">
        <v>0</v>
      </c>
      <c r="R38" s="4">
        <v>0</v>
      </c>
      <c r="S38" s="4">
        <v>22000</v>
      </c>
      <c r="T38" s="4">
        <v>33000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33000</v>
      </c>
      <c r="AD38" s="4">
        <v>0</v>
      </c>
      <c r="AE38" s="4">
        <v>0</v>
      </c>
    </row>
    <row r="39" spans="1:31" x14ac:dyDescent="0.3">
      <c r="A39" t="s">
        <v>1</v>
      </c>
      <c r="B39" t="s">
        <v>139</v>
      </c>
      <c r="C39" s="2">
        <v>1261700</v>
      </c>
      <c r="D39" s="4">
        <v>0</v>
      </c>
      <c r="E39" s="4">
        <v>0</v>
      </c>
      <c r="F39" s="4">
        <v>166100</v>
      </c>
      <c r="G39" s="4">
        <v>129800</v>
      </c>
      <c r="H39" s="4">
        <v>589600</v>
      </c>
      <c r="I39" s="4">
        <v>6600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110000</v>
      </c>
      <c r="V39" s="4">
        <v>0</v>
      </c>
      <c r="W39" s="4">
        <v>0</v>
      </c>
      <c r="X39" s="4">
        <v>0</v>
      </c>
      <c r="Y39" s="4">
        <v>259600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</row>
    <row r="40" spans="1:31" x14ac:dyDescent="0.3">
      <c r="A40" t="s">
        <v>1</v>
      </c>
      <c r="B40" t="s">
        <v>140</v>
      </c>
      <c r="C40" s="2">
        <v>374000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11000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253000</v>
      </c>
      <c r="U40" s="4">
        <v>0</v>
      </c>
      <c r="V40" s="4">
        <v>0</v>
      </c>
      <c r="W40" s="4">
        <v>0</v>
      </c>
      <c r="X40" s="4">
        <v>0</v>
      </c>
      <c r="Y40" s="4">
        <v>110000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</row>
    <row r="41" spans="1:31" x14ac:dyDescent="0.3">
      <c r="C41" s="4">
        <f>SUM(C20:C40)</f>
        <v>210978900</v>
      </c>
      <c r="D41" s="4">
        <f t="shared" ref="D41:AE41" si="3">SUM(D20:D40)</f>
        <v>6355800</v>
      </c>
      <c r="E41" s="4">
        <f t="shared" si="3"/>
        <v>9421500</v>
      </c>
      <c r="F41" s="4">
        <f t="shared" si="3"/>
        <v>9185000</v>
      </c>
      <c r="G41" s="4">
        <f t="shared" si="3"/>
        <v>8983700</v>
      </c>
      <c r="H41" s="4">
        <f t="shared" si="3"/>
        <v>11478500</v>
      </c>
      <c r="I41" s="4">
        <f t="shared" si="3"/>
        <v>13278100</v>
      </c>
      <c r="J41" s="4">
        <f t="shared" si="3"/>
        <v>9634900</v>
      </c>
      <c r="K41" s="4">
        <f t="shared" si="3"/>
        <v>12672000</v>
      </c>
      <c r="L41" s="4">
        <f t="shared" si="3"/>
        <v>7775900</v>
      </c>
      <c r="M41" s="4">
        <f t="shared" si="3"/>
        <v>7382100</v>
      </c>
      <c r="N41" s="4">
        <f t="shared" si="3"/>
        <v>9519400</v>
      </c>
      <c r="O41" s="4">
        <f t="shared" si="3"/>
        <v>11312400</v>
      </c>
      <c r="P41" s="4">
        <f t="shared" si="3"/>
        <v>7240200</v>
      </c>
      <c r="Q41" s="4">
        <f t="shared" si="3"/>
        <v>8034400</v>
      </c>
      <c r="R41" s="4">
        <f t="shared" si="3"/>
        <v>8114700</v>
      </c>
      <c r="S41" s="4">
        <f t="shared" si="3"/>
        <v>7621900</v>
      </c>
      <c r="T41" s="4">
        <f t="shared" si="3"/>
        <v>7405200</v>
      </c>
      <c r="U41" s="4">
        <f t="shared" si="3"/>
        <v>8979300</v>
      </c>
      <c r="V41" s="4">
        <f t="shared" si="3"/>
        <v>7441500</v>
      </c>
      <c r="W41" s="4">
        <f t="shared" si="3"/>
        <v>4896100</v>
      </c>
      <c r="X41" s="4">
        <f t="shared" si="3"/>
        <v>4708000</v>
      </c>
      <c r="Y41" s="4">
        <f t="shared" si="3"/>
        <v>4745400</v>
      </c>
      <c r="Z41" s="4">
        <f t="shared" si="3"/>
        <v>4635400</v>
      </c>
      <c r="AA41" s="4">
        <f t="shared" si="3"/>
        <v>3482600</v>
      </c>
      <c r="AB41" s="4">
        <f t="shared" si="3"/>
        <v>5208500</v>
      </c>
      <c r="AC41" s="4">
        <f t="shared" si="3"/>
        <v>4786100</v>
      </c>
      <c r="AD41" s="4">
        <f t="shared" si="3"/>
        <v>3436400</v>
      </c>
      <c r="AE41" s="4">
        <f t="shared" si="3"/>
        <v>3243900</v>
      </c>
    </row>
    <row r="43" spans="1:31" x14ac:dyDescent="0.3">
      <c r="A43" t="s">
        <v>2</v>
      </c>
      <c r="B43" t="s">
        <v>2</v>
      </c>
      <c r="C43" t="s">
        <v>138</v>
      </c>
      <c r="D43" s="5">
        <v>45860</v>
      </c>
      <c r="E43" s="5">
        <v>45861</v>
      </c>
      <c r="F43" s="5">
        <v>45862</v>
      </c>
      <c r="G43" s="5">
        <v>45863</v>
      </c>
      <c r="H43" s="5">
        <v>45864</v>
      </c>
      <c r="I43" s="5">
        <v>45865</v>
      </c>
      <c r="J43" s="5">
        <v>45866</v>
      </c>
      <c r="K43" s="5">
        <v>45867</v>
      </c>
      <c r="L43" s="5">
        <v>45868</v>
      </c>
      <c r="M43" s="5">
        <v>45869</v>
      </c>
      <c r="N43" s="5">
        <v>45870</v>
      </c>
      <c r="O43" s="5">
        <v>45871</v>
      </c>
      <c r="P43" s="5">
        <v>45872</v>
      </c>
      <c r="Q43" s="5">
        <v>45873</v>
      </c>
      <c r="R43" s="5">
        <v>45874</v>
      </c>
      <c r="S43" s="5">
        <v>45875</v>
      </c>
      <c r="T43" s="5">
        <v>45876</v>
      </c>
      <c r="U43" s="5">
        <v>45877</v>
      </c>
      <c r="V43" s="5">
        <v>45878</v>
      </c>
      <c r="W43" s="5">
        <v>45879</v>
      </c>
      <c r="X43" s="5">
        <v>45880</v>
      </c>
      <c r="Y43" s="5">
        <v>45881</v>
      </c>
      <c r="Z43" s="5">
        <v>45882</v>
      </c>
      <c r="AA43" s="5">
        <v>45883</v>
      </c>
      <c r="AB43" s="5">
        <v>45884</v>
      </c>
      <c r="AC43" s="5">
        <v>45885</v>
      </c>
      <c r="AD43" s="5">
        <v>45886</v>
      </c>
      <c r="AE43" s="5">
        <v>45887</v>
      </c>
    </row>
    <row r="44" spans="1:31" x14ac:dyDescent="0.3">
      <c r="A44" t="s">
        <v>8</v>
      </c>
      <c r="B44" t="s">
        <v>177</v>
      </c>
      <c r="C44">
        <v>867</v>
      </c>
      <c r="D44">
        <v>48</v>
      </c>
      <c r="E44">
        <v>42</v>
      </c>
      <c r="F44">
        <v>36</v>
      </c>
      <c r="G44">
        <v>36</v>
      </c>
      <c r="H44">
        <v>39</v>
      </c>
      <c r="I44">
        <v>36</v>
      </c>
      <c r="J44">
        <v>34</v>
      </c>
      <c r="K44">
        <v>33</v>
      </c>
      <c r="L44">
        <v>29</v>
      </c>
      <c r="M44">
        <v>24</v>
      </c>
      <c r="N44">
        <v>40</v>
      </c>
      <c r="O44">
        <v>39</v>
      </c>
      <c r="P44">
        <v>22</v>
      </c>
      <c r="Q44">
        <v>29</v>
      </c>
      <c r="R44">
        <v>26</v>
      </c>
      <c r="S44">
        <v>24</v>
      </c>
      <c r="T44">
        <v>20</v>
      </c>
      <c r="U44">
        <v>23</v>
      </c>
      <c r="V44">
        <v>21</v>
      </c>
      <c r="W44">
        <v>19</v>
      </c>
      <c r="X44">
        <v>16</v>
      </c>
      <c r="Y44">
        <v>16</v>
      </c>
      <c r="Z44">
        <v>14</v>
      </c>
      <c r="AA44">
        <v>14</v>
      </c>
      <c r="AB44">
        <v>10</v>
      </c>
      <c r="AC44">
        <v>14</v>
      </c>
      <c r="AD44">
        <v>8</v>
      </c>
      <c r="AE44">
        <v>1</v>
      </c>
    </row>
    <row r="45" spans="1:31" x14ac:dyDescent="0.3">
      <c r="A45" s="7" t="s">
        <v>5</v>
      </c>
      <c r="B45" s="7" t="s">
        <v>178</v>
      </c>
      <c r="C45" s="7">
        <v>723</v>
      </c>
      <c r="D45" s="7">
        <v>33</v>
      </c>
      <c r="E45" s="7">
        <v>36</v>
      </c>
      <c r="F45" s="7">
        <v>25</v>
      </c>
      <c r="G45" s="7">
        <v>30</v>
      </c>
      <c r="H45" s="7">
        <v>29</v>
      </c>
      <c r="I45" s="7">
        <v>24</v>
      </c>
      <c r="J45" s="7">
        <v>33</v>
      </c>
      <c r="K45" s="7">
        <v>30</v>
      </c>
      <c r="L45" s="7">
        <v>21</v>
      </c>
      <c r="M45" s="7">
        <v>23</v>
      </c>
      <c r="N45" s="7">
        <v>27</v>
      </c>
      <c r="O45" s="7">
        <v>24</v>
      </c>
      <c r="P45" s="7">
        <v>25</v>
      </c>
      <c r="Q45" s="7">
        <v>20</v>
      </c>
      <c r="R45" s="7">
        <v>18</v>
      </c>
      <c r="S45" s="7">
        <v>21</v>
      </c>
      <c r="T45" s="7">
        <v>22</v>
      </c>
      <c r="U45" s="7">
        <v>14</v>
      </c>
      <c r="V45" s="7">
        <v>10</v>
      </c>
      <c r="W45" s="7">
        <v>11</v>
      </c>
      <c r="X45" s="7">
        <v>11</v>
      </c>
      <c r="Y45" s="7">
        <v>14</v>
      </c>
      <c r="Z45" s="7">
        <v>10</v>
      </c>
      <c r="AA45" s="7">
        <v>12</v>
      </c>
      <c r="AB45" s="7">
        <v>10</v>
      </c>
      <c r="AC45" s="7">
        <v>10</v>
      </c>
      <c r="AD45" s="7">
        <v>6</v>
      </c>
      <c r="AE45" s="7">
        <v>0</v>
      </c>
    </row>
    <row r="46" spans="1:31" x14ac:dyDescent="0.3">
      <c r="A46" s="7" t="s">
        <v>7</v>
      </c>
      <c r="B46" s="7" t="s">
        <v>179</v>
      </c>
      <c r="C46" s="7">
        <v>699</v>
      </c>
      <c r="D46" s="7">
        <v>28</v>
      </c>
      <c r="E46" s="7">
        <v>35</v>
      </c>
      <c r="F46" s="7">
        <v>28</v>
      </c>
      <c r="G46" s="7">
        <v>29</v>
      </c>
      <c r="H46" s="7">
        <v>29</v>
      </c>
      <c r="I46" s="7">
        <v>28</v>
      </c>
      <c r="J46" s="7">
        <v>27</v>
      </c>
      <c r="K46" s="7">
        <v>23</v>
      </c>
      <c r="L46" s="7">
        <v>15</v>
      </c>
      <c r="M46" s="7">
        <v>19</v>
      </c>
      <c r="N46" s="7">
        <v>30</v>
      </c>
      <c r="O46" s="7">
        <v>22</v>
      </c>
      <c r="P46" s="7">
        <v>24</v>
      </c>
      <c r="Q46" s="7">
        <v>22</v>
      </c>
      <c r="R46" s="7">
        <v>22</v>
      </c>
      <c r="S46" s="7">
        <v>22</v>
      </c>
      <c r="T46" s="7">
        <v>14</v>
      </c>
      <c r="U46" s="7">
        <v>16</v>
      </c>
      <c r="V46" s="7">
        <v>12</v>
      </c>
      <c r="W46" s="7">
        <v>8</v>
      </c>
      <c r="X46" s="7">
        <v>11</v>
      </c>
      <c r="Y46" s="7">
        <v>13</v>
      </c>
      <c r="Z46" s="7">
        <v>11</v>
      </c>
      <c r="AA46" s="7">
        <v>14</v>
      </c>
      <c r="AB46" s="7">
        <v>9</v>
      </c>
      <c r="AC46" s="7">
        <v>11</v>
      </c>
      <c r="AD46" s="7">
        <v>4</v>
      </c>
      <c r="AE46" s="7">
        <v>0</v>
      </c>
    </row>
    <row r="47" spans="1:31" x14ac:dyDescent="0.3">
      <c r="A47" s="7" t="s">
        <v>6</v>
      </c>
      <c r="B47" s="7" t="s">
        <v>180</v>
      </c>
      <c r="C47" s="7">
        <v>688</v>
      </c>
      <c r="D47" s="7">
        <v>26</v>
      </c>
      <c r="E47" s="7">
        <v>23</v>
      </c>
      <c r="F47" s="7">
        <v>25</v>
      </c>
      <c r="G47" s="7">
        <v>29</v>
      </c>
      <c r="H47" s="7">
        <v>36</v>
      </c>
      <c r="I47" s="7">
        <v>37</v>
      </c>
      <c r="J47" s="7">
        <v>15</v>
      </c>
      <c r="K47" s="7">
        <v>16</v>
      </c>
      <c r="L47" s="7">
        <v>19</v>
      </c>
      <c r="M47" s="7">
        <v>14</v>
      </c>
      <c r="N47" s="7">
        <v>16</v>
      </c>
      <c r="O47" s="7">
        <v>14</v>
      </c>
      <c r="P47" s="7">
        <v>22</v>
      </c>
      <c r="Q47" s="7">
        <v>20</v>
      </c>
      <c r="R47" s="7">
        <v>21</v>
      </c>
      <c r="S47" s="7">
        <v>19</v>
      </c>
      <c r="T47" s="7">
        <v>11</v>
      </c>
      <c r="U47" s="7">
        <v>8</v>
      </c>
      <c r="V47" s="7">
        <v>7</v>
      </c>
      <c r="W47" s="7">
        <v>7</v>
      </c>
      <c r="X47" s="7">
        <v>4</v>
      </c>
      <c r="Y47" s="7">
        <v>1</v>
      </c>
      <c r="Z47" s="7">
        <v>2</v>
      </c>
      <c r="AA47" s="7">
        <v>8</v>
      </c>
      <c r="AB47" s="7">
        <v>4</v>
      </c>
      <c r="AC47" s="7">
        <v>5</v>
      </c>
      <c r="AD47" s="7">
        <v>5</v>
      </c>
      <c r="AE47" s="7">
        <v>0</v>
      </c>
    </row>
    <row r="48" spans="1:31" x14ac:dyDescent="0.3">
      <c r="A48" s="7" t="s">
        <v>10</v>
      </c>
      <c r="B48" s="7" t="s">
        <v>181</v>
      </c>
      <c r="C48" s="7">
        <v>674</v>
      </c>
      <c r="D48" s="7">
        <v>29</v>
      </c>
      <c r="E48" s="7">
        <v>25</v>
      </c>
      <c r="F48" s="7">
        <v>22</v>
      </c>
      <c r="G48" s="7">
        <v>20</v>
      </c>
      <c r="H48" s="7">
        <v>32</v>
      </c>
      <c r="I48" s="7">
        <v>17</v>
      </c>
      <c r="J48" s="7">
        <v>19</v>
      </c>
      <c r="K48" s="7">
        <v>14</v>
      </c>
      <c r="L48" s="7">
        <v>16</v>
      </c>
      <c r="M48" s="7">
        <v>16</v>
      </c>
      <c r="N48" s="7">
        <v>17</v>
      </c>
      <c r="O48" s="7">
        <v>12</v>
      </c>
      <c r="P48" s="7">
        <v>19</v>
      </c>
      <c r="Q48" s="7">
        <v>20</v>
      </c>
      <c r="R48" s="7">
        <v>24</v>
      </c>
      <c r="S48" s="7">
        <v>22</v>
      </c>
      <c r="T48" s="7">
        <v>12</v>
      </c>
      <c r="U48" s="7">
        <v>10</v>
      </c>
      <c r="V48" s="7">
        <v>8</v>
      </c>
      <c r="W48" s="7">
        <v>2</v>
      </c>
      <c r="X48" s="7">
        <v>4</v>
      </c>
      <c r="Y48" s="7">
        <v>2</v>
      </c>
      <c r="Z48" s="7">
        <v>5</v>
      </c>
      <c r="AA48" s="7">
        <v>7</v>
      </c>
      <c r="AB48" s="7">
        <v>8</v>
      </c>
      <c r="AC48" s="7">
        <v>6</v>
      </c>
      <c r="AD48" s="7">
        <v>4</v>
      </c>
      <c r="AE48" s="7">
        <v>0</v>
      </c>
    </row>
    <row r="49" spans="1:31" x14ac:dyDescent="0.3">
      <c r="A49" s="7" t="s">
        <v>12</v>
      </c>
      <c r="B49" s="7" t="s">
        <v>182</v>
      </c>
      <c r="C49" s="7">
        <v>663</v>
      </c>
      <c r="D49" s="7">
        <v>32</v>
      </c>
      <c r="E49" s="7">
        <v>27</v>
      </c>
      <c r="F49" s="7">
        <v>21</v>
      </c>
      <c r="G49" s="7">
        <v>21</v>
      </c>
      <c r="H49" s="7">
        <v>30</v>
      </c>
      <c r="I49" s="7">
        <v>30</v>
      </c>
      <c r="J49" s="7">
        <v>20</v>
      </c>
      <c r="K49" s="7">
        <v>16</v>
      </c>
      <c r="L49" s="7">
        <v>18</v>
      </c>
      <c r="M49" s="7">
        <v>12</v>
      </c>
      <c r="N49" s="7">
        <v>19</v>
      </c>
      <c r="O49" s="7">
        <v>18</v>
      </c>
      <c r="P49" s="7">
        <v>15</v>
      </c>
      <c r="Q49" s="7">
        <v>19</v>
      </c>
      <c r="R49" s="7">
        <v>19</v>
      </c>
      <c r="S49" s="7">
        <v>20</v>
      </c>
      <c r="T49" s="7">
        <v>9</v>
      </c>
      <c r="U49" s="7">
        <v>9</v>
      </c>
      <c r="V49" s="7">
        <v>12</v>
      </c>
      <c r="W49" s="7">
        <v>3</v>
      </c>
      <c r="X49" s="7">
        <v>1</v>
      </c>
      <c r="Y49" s="7">
        <v>2</v>
      </c>
      <c r="Z49" s="7">
        <v>4</v>
      </c>
      <c r="AA49" s="7">
        <v>4</v>
      </c>
      <c r="AB49" s="7">
        <v>4</v>
      </c>
      <c r="AC49" s="7">
        <v>6</v>
      </c>
      <c r="AD49" s="7">
        <v>4</v>
      </c>
      <c r="AE49" s="7">
        <v>0</v>
      </c>
    </row>
    <row r="50" spans="1:31" x14ac:dyDescent="0.3">
      <c r="A50" s="7" t="s">
        <v>9</v>
      </c>
      <c r="B50" s="7" t="s">
        <v>183</v>
      </c>
      <c r="C50" s="7">
        <v>627</v>
      </c>
      <c r="D50" s="7">
        <v>25</v>
      </c>
      <c r="E50" s="7">
        <v>21</v>
      </c>
      <c r="F50" s="7">
        <v>21</v>
      </c>
      <c r="G50" s="7">
        <v>23</v>
      </c>
      <c r="H50" s="7">
        <v>31</v>
      </c>
      <c r="I50" s="7">
        <v>26</v>
      </c>
      <c r="J50" s="7">
        <v>23</v>
      </c>
      <c r="K50" s="7">
        <v>21</v>
      </c>
      <c r="L50" s="7">
        <v>21</v>
      </c>
      <c r="M50" s="7">
        <v>15</v>
      </c>
      <c r="N50" s="7">
        <v>17</v>
      </c>
      <c r="O50" s="7">
        <v>21</v>
      </c>
      <c r="P50" s="7">
        <v>19</v>
      </c>
      <c r="Q50" s="7">
        <v>23</v>
      </c>
      <c r="R50" s="7">
        <v>22</v>
      </c>
      <c r="S50" s="7">
        <v>19</v>
      </c>
      <c r="T50" s="7">
        <v>15</v>
      </c>
      <c r="U50" s="7">
        <v>11</v>
      </c>
      <c r="V50" s="7">
        <v>9</v>
      </c>
      <c r="W50" s="7">
        <v>11</v>
      </c>
      <c r="X50" s="7">
        <v>10</v>
      </c>
      <c r="Y50" s="7">
        <v>7</v>
      </c>
      <c r="Z50" s="7">
        <v>7</v>
      </c>
      <c r="AA50" s="7">
        <v>11</v>
      </c>
      <c r="AB50" s="7">
        <v>9</v>
      </c>
      <c r="AC50" s="7">
        <v>9</v>
      </c>
      <c r="AD50" s="7">
        <v>5</v>
      </c>
      <c r="AE50" s="7">
        <v>0</v>
      </c>
    </row>
    <row r="51" spans="1:31" x14ac:dyDescent="0.3">
      <c r="A51" s="7" t="s">
        <v>23</v>
      </c>
      <c r="B51" s="7" t="s">
        <v>184</v>
      </c>
      <c r="C51" s="7">
        <v>522</v>
      </c>
      <c r="D51" s="7">
        <v>21</v>
      </c>
      <c r="E51" s="7">
        <v>19</v>
      </c>
      <c r="F51" s="7">
        <v>19</v>
      </c>
      <c r="G51" s="7">
        <v>27</v>
      </c>
      <c r="H51" s="7">
        <v>25</v>
      </c>
      <c r="I51" s="7">
        <v>18</v>
      </c>
      <c r="J51" s="7">
        <v>8</v>
      </c>
      <c r="K51" s="7">
        <v>26</v>
      </c>
      <c r="L51" s="7">
        <v>15</v>
      </c>
      <c r="M51" s="7">
        <v>13</v>
      </c>
      <c r="N51" s="7">
        <v>21</v>
      </c>
      <c r="O51" s="7">
        <v>19</v>
      </c>
      <c r="P51" s="7">
        <v>14</v>
      </c>
      <c r="Q51" s="7">
        <v>21</v>
      </c>
      <c r="R51" s="7">
        <v>20</v>
      </c>
      <c r="S51" s="7">
        <v>10</v>
      </c>
      <c r="T51" s="7">
        <v>7</v>
      </c>
      <c r="U51" s="7">
        <v>14</v>
      </c>
      <c r="V51" s="7">
        <v>12</v>
      </c>
      <c r="W51" s="7">
        <v>5</v>
      </c>
      <c r="X51" s="7">
        <v>8</v>
      </c>
      <c r="Y51" s="7">
        <v>7</v>
      </c>
      <c r="Z51" s="7">
        <v>8</v>
      </c>
      <c r="AA51" s="7">
        <v>3</v>
      </c>
      <c r="AB51" s="7">
        <v>6</v>
      </c>
      <c r="AC51" s="7">
        <v>8</v>
      </c>
      <c r="AD51" s="7">
        <v>3</v>
      </c>
      <c r="AE51" s="7">
        <v>0</v>
      </c>
    </row>
    <row r="52" spans="1:31" x14ac:dyDescent="0.3">
      <c r="A52" s="7" t="s">
        <v>4</v>
      </c>
      <c r="B52" s="7" t="s">
        <v>185</v>
      </c>
      <c r="C52" s="7">
        <v>521</v>
      </c>
      <c r="D52" s="7">
        <v>0</v>
      </c>
      <c r="E52" s="7">
        <v>0</v>
      </c>
      <c r="F52" s="7">
        <v>0</v>
      </c>
      <c r="G52" s="7">
        <v>0</v>
      </c>
      <c r="H52" s="7">
        <v>52</v>
      </c>
      <c r="I52" s="7">
        <v>51</v>
      </c>
      <c r="J52" s="7">
        <v>36</v>
      </c>
      <c r="K52" s="7">
        <v>32</v>
      </c>
      <c r="L52" s="7">
        <v>40</v>
      </c>
      <c r="M52" s="7">
        <v>21</v>
      </c>
      <c r="N52" s="7">
        <v>27</v>
      </c>
      <c r="O52" s="7">
        <v>25</v>
      </c>
      <c r="P52" s="7">
        <v>27</v>
      </c>
      <c r="Q52" s="7">
        <v>28</v>
      </c>
      <c r="R52" s="7">
        <v>22</v>
      </c>
      <c r="S52" s="7">
        <v>22</v>
      </c>
      <c r="T52" s="7">
        <v>23</v>
      </c>
      <c r="U52" s="7">
        <v>17</v>
      </c>
      <c r="V52" s="7">
        <v>14</v>
      </c>
      <c r="W52" s="7">
        <v>11</v>
      </c>
      <c r="X52" s="7">
        <v>6</v>
      </c>
      <c r="Y52" s="7">
        <v>9</v>
      </c>
      <c r="Z52" s="7">
        <v>11</v>
      </c>
      <c r="AA52" s="7">
        <v>13</v>
      </c>
      <c r="AB52" s="7">
        <v>16</v>
      </c>
      <c r="AC52" s="7">
        <v>8</v>
      </c>
      <c r="AD52" s="7">
        <v>7</v>
      </c>
      <c r="AE52" s="7">
        <v>3</v>
      </c>
    </row>
    <row r="53" spans="1:31" x14ac:dyDescent="0.3">
      <c r="A53" t="s">
        <v>19</v>
      </c>
      <c r="B53" t="s">
        <v>182</v>
      </c>
      <c r="C53">
        <v>509</v>
      </c>
      <c r="D53">
        <v>33</v>
      </c>
      <c r="E53">
        <v>31</v>
      </c>
      <c r="F53">
        <v>19</v>
      </c>
      <c r="G53">
        <v>14</v>
      </c>
      <c r="H53">
        <v>18</v>
      </c>
      <c r="I53">
        <v>26</v>
      </c>
      <c r="J53">
        <v>14</v>
      </c>
      <c r="K53">
        <v>12</v>
      </c>
      <c r="L53">
        <v>15</v>
      </c>
      <c r="M53">
        <v>8</v>
      </c>
      <c r="N53">
        <v>14</v>
      </c>
      <c r="O53">
        <v>10</v>
      </c>
      <c r="P53">
        <v>11</v>
      </c>
      <c r="Q53">
        <v>18</v>
      </c>
      <c r="R53">
        <v>18</v>
      </c>
      <c r="S53">
        <v>15</v>
      </c>
      <c r="T53">
        <v>17</v>
      </c>
      <c r="U53">
        <v>7</v>
      </c>
      <c r="V53">
        <v>6</v>
      </c>
      <c r="W53">
        <v>7</v>
      </c>
      <c r="X53">
        <v>1</v>
      </c>
      <c r="Y53">
        <v>3</v>
      </c>
      <c r="Z53">
        <v>6</v>
      </c>
      <c r="AA53">
        <v>2</v>
      </c>
      <c r="AB53">
        <v>6</v>
      </c>
      <c r="AC53">
        <v>4</v>
      </c>
      <c r="AD53">
        <v>5</v>
      </c>
      <c r="AE53">
        <v>0</v>
      </c>
    </row>
    <row r="54" spans="1:31" x14ac:dyDescent="0.3">
      <c r="A54" t="s">
        <v>22</v>
      </c>
      <c r="B54" t="s">
        <v>186</v>
      </c>
      <c r="C54">
        <v>507</v>
      </c>
      <c r="D54">
        <v>36</v>
      </c>
      <c r="E54">
        <v>28</v>
      </c>
      <c r="F54">
        <v>20</v>
      </c>
      <c r="G54">
        <v>20</v>
      </c>
      <c r="H54">
        <v>18</v>
      </c>
      <c r="I54">
        <v>21</v>
      </c>
      <c r="J54">
        <v>18</v>
      </c>
      <c r="K54">
        <v>15</v>
      </c>
      <c r="L54">
        <v>14</v>
      </c>
      <c r="M54">
        <v>16</v>
      </c>
      <c r="N54">
        <v>17</v>
      </c>
      <c r="O54">
        <v>12</v>
      </c>
      <c r="P54">
        <v>14</v>
      </c>
      <c r="Q54">
        <v>16</v>
      </c>
      <c r="R54">
        <v>17</v>
      </c>
      <c r="S54">
        <v>17</v>
      </c>
      <c r="T54">
        <v>17</v>
      </c>
      <c r="U54">
        <v>7</v>
      </c>
      <c r="V54">
        <v>7</v>
      </c>
      <c r="W54">
        <v>6</v>
      </c>
      <c r="X54">
        <v>7</v>
      </c>
      <c r="Y54">
        <v>7</v>
      </c>
      <c r="Z54">
        <v>2</v>
      </c>
      <c r="AA54">
        <v>3</v>
      </c>
      <c r="AB54">
        <v>4</v>
      </c>
      <c r="AC54">
        <v>2</v>
      </c>
      <c r="AD54">
        <v>4</v>
      </c>
      <c r="AE54">
        <v>0</v>
      </c>
    </row>
    <row r="55" spans="1:31" x14ac:dyDescent="0.3">
      <c r="A55" t="s">
        <v>14</v>
      </c>
      <c r="B55" t="s">
        <v>187</v>
      </c>
      <c r="C55">
        <v>484</v>
      </c>
      <c r="D55">
        <v>17</v>
      </c>
      <c r="E55">
        <v>18</v>
      </c>
      <c r="F55">
        <v>16</v>
      </c>
      <c r="G55">
        <v>15</v>
      </c>
      <c r="H55">
        <v>24</v>
      </c>
      <c r="I55">
        <v>14</v>
      </c>
      <c r="J55">
        <v>17</v>
      </c>
      <c r="K55">
        <v>19</v>
      </c>
      <c r="L55">
        <v>18</v>
      </c>
      <c r="M55">
        <v>15</v>
      </c>
      <c r="N55">
        <v>14</v>
      </c>
      <c r="O55">
        <v>17</v>
      </c>
      <c r="P55">
        <v>17</v>
      </c>
      <c r="Q55">
        <v>20</v>
      </c>
      <c r="R55">
        <v>16</v>
      </c>
      <c r="S55">
        <v>17</v>
      </c>
      <c r="T55">
        <v>12</v>
      </c>
      <c r="U55">
        <v>16</v>
      </c>
      <c r="V55">
        <v>13</v>
      </c>
      <c r="W55">
        <v>11</v>
      </c>
      <c r="X55">
        <v>16</v>
      </c>
      <c r="Y55">
        <v>15</v>
      </c>
      <c r="Z55">
        <v>16</v>
      </c>
      <c r="AA55">
        <v>16</v>
      </c>
      <c r="AB55">
        <v>7</v>
      </c>
      <c r="AC55">
        <v>11</v>
      </c>
      <c r="AD55">
        <v>9</v>
      </c>
      <c r="AE55">
        <v>1</v>
      </c>
    </row>
    <row r="56" spans="1:31" x14ac:dyDescent="0.3">
      <c r="A56" t="s">
        <v>21</v>
      </c>
      <c r="B56" t="s">
        <v>188</v>
      </c>
      <c r="C56">
        <v>477</v>
      </c>
      <c r="D56">
        <v>14</v>
      </c>
      <c r="E56">
        <v>31</v>
      </c>
      <c r="F56">
        <v>23</v>
      </c>
      <c r="G56">
        <v>18</v>
      </c>
      <c r="H56">
        <v>15</v>
      </c>
      <c r="I56">
        <v>14</v>
      </c>
      <c r="J56">
        <v>15</v>
      </c>
      <c r="K56">
        <v>14</v>
      </c>
      <c r="L56">
        <v>19</v>
      </c>
      <c r="M56">
        <v>12</v>
      </c>
      <c r="N56">
        <v>21</v>
      </c>
      <c r="O56">
        <v>24</v>
      </c>
      <c r="P56">
        <v>14</v>
      </c>
      <c r="Q56">
        <v>16</v>
      </c>
      <c r="R56">
        <v>12</v>
      </c>
      <c r="S56">
        <v>10</v>
      </c>
      <c r="T56">
        <v>12</v>
      </c>
      <c r="U56">
        <v>20</v>
      </c>
      <c r="V56">
        <v>9</v>
      </c>
      <c r="W56">
        <v>10</v>
      </c>
      <c r="X56">
        <v>7</v>
      </c>
      <c r="Y56">
        <v>9</v>
      </c>
      <c r="Z56">
        <v>7</v>
      </c>
      <c r="AA56">
        <v>9</v>
      </c>
      <c r="AB56">
        <v>8</v>
      </c>
      <c r="AC56">
        <v>6</v>
      </c>
      <c r="AD56">
        <v>9</v>
      </c>
      <c r="AE56">
        <v>0</v>
      </c>
    </row>
    <row r="57" spans="1:31" x14ac:dyDescent="0.3">
      <c r="A57" t="s">
        <v>173</v>
      </c>
      <c r="B57" t="s">
        <v>185</v>
      </c>
      <c r="C57">
        <v>476</v>
      </c>
      <c r="D57">
        <v>48</v>
      </c>
      <c r="E57">
        <v>37</v>
      </c>
      <c r="F57">
        <v>37</v>
      </c>
      <c r="G57">
        <v>44</v>
      </c>
      <c r="H57">
        <v>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3">
      <c r="A58" t="s">
        <v>3</v>
      </c>
      <c r="B58" t="s">
        <v>185</v>
      </c>
      <c r="C58">
        <v>473</v>
      </c>
      <c r="D58">
        <v>0</v>
      </c>
      <c r="E58">
        <v>0</v>
      </c>
      <c r="F58">
        <v>0</v>
      </c>
      <c r="G58">
        <v>0</v>
      </c>
      <c r="H58">
        <v>46</v>
      </c>
      <c r="I58">
        <v>40</v>
      </c>
      <c r="J58">
        <v>22</v>
      </c>
      <c r="K58">
        <v>23</v>
      </c>
      <c r="L58">
        <v>19</v>
      </c>
      <c r="M58">
        <v>17</v>
      </c>
      <c r="N58">
        <v>27</v>
      </c>
      <c r="O58">
        <v>27</v>
      </c>
      <c r="P58">
        <v>41</v>
      </c>
      <c r="Q58">
        <v>32</v>
      </c>
      <c r="R58">
        <v>25</v>
      </c>
      <c r="S58">
        <v>22</v>
      </c>
      <c r="T58">
        <v>14</v>
      </c>
      <c r="U58">
        <v>15</v>
      </c>
      <c r="V58">
        <v>15</v>
      </c>
      <c r="W58">
        <v>17</v>
      </c>
      <c r="X58">
        <v>8</v>
      </c>
      <c r="Y58">
        <v>10</v>
      </c>
      <c r="Z58">
        <v>9</v>
      </c>
      <c r="AA58">
        <v>11</v>
      </c>
      <c r="AB58">
        <v>18</v>
      </c>
      <c r="AC58">
        <v>10</v>
      </c>
      <c r="AD58">
        <v>4</v>
      </c>
      <c r="AE58">
        <v>1</v>
      </c>
    </row>
    <row r="59" spans="1:31" x14ac:dyDescent="0.3">
      <c r="A59" t="s">
        <v>11</v>
      </c>
      <c r="B59" t="s">
        <v>189</v>
      </c>
      <c r="C59">
        <v>456</v>
      </c>
      <c r="D59">
        <v>15</v>
      </c>
      <c r="E59">
        <v>20</v>
      </c>
      <c r="F59">
        <v>16</v>
      </c>
      <c r="G59">
        <v>18</v>
      </c>
      <c r="H59">
        <v>22</v>
      </c>
      <c r="I59">
        <v>13</v>
      </c>
      <c r="J59">
        <v>16</v>
      </c>
      <c r="K59">
        <v>14</v>
      </c>
      <c r="L59">
        <v>10</v>
      </c>
      <c r="M59">
        <v>9</v>
      </c>
      <c r="N59">
        <v>16</v>
      </c>
      <c r="O59">
        <v>14</v>
      </c>
      <c r="P59">
        <v>17</v>
      </c>
      <c r="Q59">
        <v>20</v>
      </c>
      <c r="R59">
        <v>14</v>
      </c>
      <c r="S59">
        <v>13</v>
      </c>
      <c r="T59">
        <v>11</v>
      </c>
      <c r="U59">
        <v>13</v>
      </c>
      <c r="V59">
        <v>5</v>
      </c>
      <c r="W59">
        <v>11</v>
      </c>
      <c r="X59">
        <v>4</v>
      </c>
      <c r="Y59">
        <v>6</v>
      </c>
      <c r="Z59">
        <v>8</v>
      </c>
      <c r="AA59">
        <v>7</v>
      </c>
      <c r="AB59">
        <v>5</v>
      </c>
      <c r="AC59">
        <v>6</v>
      </c>
      <c r="AD59">
        <v>3</v>
      </c>
      <c r="AE59">
        <v>0</v>
      </c>
    </row>
    <row r="60" spans="1:31" x14ac:dyDescent="0.3">
      <c r="A60" t="s">
        <v>15</v>
      </c>
      <c r="B60" t="s">
        <v>190</v>
      </c>
      <c r="C60">
        <v>454</v>
      </c>
      <c r="D60">
        <v>14</v>
      </c>
      <c r="E60">
        <v>12</v>
      </c>
      <c r="F60">
        <v>15</v>
      </c>
      <c r="G60">
        <v>14</v>
      </c>
      <c r="H60">
        <v>17</v>
      </c>
      <c r="I60">
        <v>20</v>
      </c>
      <c r="J60">
        <v>19</v>
      </c>
      <c r="K60">
        <v>14</v>
      </c>
      <c r="L60">
        <v>18</v>
      </c>
      <c r="M60">
        <v>18</v>
      </c>
      <c r="N60">
        <v>18</v>
      </c>
      <c r="O60">
        <v>23</v>
      </c>
      <c r="P60">
        <v>17</v>
      </c>
      <c r="Q60">
        <v>20</v>
      </c>
      <c r="R60">
        <v>14</v>
      </c>
      <c r="S60">
        <v>17</v>
      </c>
      <c r="T60">
        <v>18</v>
      </c>
      <c r="U60">
        <v>13</v>
      </c>
      <c r="V60">
        <v>13</v>
      </c>
      <c r="W60">
        <v>13</v>
      </c>
      <c r="X60">
        <v>14</v>
      </c>
      <c r="Y60">
        <v>12</v>
      </c>
      <c r="Z60">
        <v>13</v>
      </c>
      <c r="AA60">
        <v>14</v>
      </c>
      <c r="AB60">
        <v>9</v>
      </c>
      <c r="AC60">
        <v>10</v>
      </c>
      <c r="AD60">
        <v>14</v>
      </c>
      <c r="AE60">
        <v>0</v>
      </c>
    </row>
    <row r="61" spans="1:31" x14ac:dyDescent="0.3">
      <c r="A61" t="s">
        <v>149</v>
      </c>
      <c r="B61" t="s">
        <v>185</v>
      </c>
      <c r="C61">
        <v>454</v>
      </c>
      <c r="D61">
        <v>54</v>
      </c>
      <c r="E61">
        <v>44</v>
      </c>
      <c r="F61">
        <v>27</v>
      </c>
      <c r="G61">
        <v>37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 x14ac:dyDescent="0.3">
      <c r="A62" t="s">
        <v>29</v>
      </c>
      <c r="B62" t="s">
        <v>181</v>
      </c>
      <c r="C62">
        <v>440</v>
      </c>
      <c r="D62">
        <v>28</v>
      </c>
      <c r="E62">
        <v>19</v>
      </c>
      <c r="F62">
        <v>22</v>
      </c>
      <c r="G62">
        <v>8</v>
      </c>
      <c r="H62">
        <v>20</v>
      </c>
      <c r="I62">
        <v>14</v>
      </c>
      <c r="J62">
        <v>15</v>
      </c>
      <c r="K62">
        <v>8</v>
      </c>
      <c r="L62">
        <v>13</v>
      </c>
      <c r="M62">
        <v>12</v>
      </c>
      <c r="N62">
        <v>13</v>
      </c>
      <c r="O62">
        <v>13</v>
      </c>
      <c r="P62">
        <v>11</v>
      </c>
      <c r="Q62">
        <v>11</v>
      </c>
      <c r="R62">
        <v>16</v>
      </c>
      <c r="S62">
        <v>11</v>
      </c>
      <c r="T62">
        <v>11</v>
      </c>
      <c r="U62">
        <v>10</v>
      </c>
      <c r="V62">
        <v>9</v>
      </c>
      <c r="W62">
        <v>6</v>
      </c>
      <c r="X62">
        <v>2</v>
      </c>
      <c r="Y62">
        <v>5</v>
      </c>
      <c r="Z62">
        <v>4</v>
      </c>
      <c r="AA62">
        <v>8</v>
      </c>
      <c r="AB62">
        <v>5</v>
      </c>
      <c r="AC62">
        <v>7</v>
      </c>
      <c r="AD62">
        <v>7</v>
      </c>
      <c r="AE62">
        <v>0</v>
      </c>
    </row>
    <row r="63" spans="1:31" x14ac:dyDescent="0.3">
      <c r="A63" t="s">
        <v>17</v>
      </c>
      <c r="B63" t="s">
        <v>191</v>
      </c>
      <c r="C63">
        <v>437</v>
      </c>
      <c r="D63">
        <v>18</v>
      </c>
      <c r="E63">
        <v>16</v>
      </c>
      <c r="F63">
        <v>19</v>
      </c>
      <c r="G63">
        <v>14</v>
      </c>
      <c r="H63">
        <v>19</v>
      </c>
      <c r="I63">
        <v>14</v>
      </c>
      <c r="J63">
        <v>7</v>
      </c>
      <c r="K63">
        <v>19</v>
      </c>
      <c r="L63">
        <v>17</v>
      </c>
      <c r="M63">
        <v>10</v>
      </c>
      <c r="N63">
        <v>13</v>
      </c>
      <c r="O63">
        <v>16</v>
      </c>
      <c r="P63">
        <v>14</v>
      </c>
      <c r="Q63">
        <v>12</v>
      </c>
      <c r="R63">
        <v>13</v>
      </c>
      <c r="S63">
        <v>12</v>
      </c>
      <c r="T63">
        <v>7</v>
      </c>
      <c r="U63">
        <v>11</v>
      </c>
      <c r="V63">
        <v>6</v>
      </c>
      <c r="W63">
        <v>4</v>
      </c>
      <c r="X63">
        <v>5</v>
      </c>
      <c r="Y63">
        <v>3</v>
      </c>
      <c r="Z63">
        <v>7</v>
      </c>
      <c r="AA63">
        <v>2</v>
      </c>
      <c r="AB63">
        <v>8</v>
      </c>
      <c r="AC63">
        <v>5</v>
      </c>
      <c r="AD63">
        <v>5</v>
      </c>
      <c r="AE63">
        <v>0</v>
      </c>
    </row>
    <row r="64" spans="1:31" x14ac:dyDescent="0.3">
      <c r="A64" t="s">
        <v>30</v>
      </c>
      <c r="B64" t="s">
        <v>192</v>
      </c>
      <c r="C64">
        <v>424</v>
      </c>
      <c r="D64">
        <v>18</v>
      </c>
      <c r="E64">
        <v>17</v>
      </c>
      <c r="F64">
        <v>15</v>
      </c>
      <c r="G64">
        <v>22</v>
      </c>
      <c r="H64">
        <v>19</v>
      </c>
      <c r="I64">
        <v>16</v>
      </c>
      <c r="J64">
        <v>12</v>
      </c>
      <c r="K64">
        <v>18</v>
      </c>
      <c r="L64">
        <v>7</v>
      </c>
      <c r="M64">
        <v>9</v>
      </c>
      <c r="N64">
        <v>16</v>
      </c>
      <c r="O64">
        <v>18</v>
      </c>
      <c r="P64">
        <v>11</v>
      </c>
      <c r="Q64">
        <v>15</v>
      </c>
      <c r="R64">
        <v>12</v>
      </c>
      <c r="S64">
        <v>12</v>
      </c>
      <c r="T64">
        <v>6</v>
      </c>
      <c r="U64">
        <v>8</v>
      </c>
      <c r="V64">
        <v>8</v>
      </c>
      <c r="W64">
        <v>6</v>
      </c>
      <c r="X64">
        <v>6</v>
      </c>
      <c r="Y64">
        <v>5</v>
      </c>
      <c r="Z64">
        <v>7</v>
      </c>
      <c r="AA64">
        <v>2</v>
      </c>
      <c r="AB64">
        <v>7</v>
      </c>
      <c r="AC64">
        <v>7</v>
      </c>
      <c r="AD64">
        <v>4</v>
      </c>
      <c r="AE64">
        <v>0</v>
      </c>
    </row>
    <row r="65" spans="1:31" x14ac:dyDescent="0.3">
      <c r="A65" t="s">
        <v>36</v>
      </c>
      <c r="B65" t="s">
        <v>193</v>
      </c>
      <c r="C65">
        <v>403</v>
      </c>
      <c r="D65">
        <v>17</v>
      </c>
      <c r="E65">
        <v>21</v>
      </c>
      <c r="F65">
        <v>15</v>
      </c>
      <c r="G65">
        <v>15</v>
      </c>
      <c r="H65">
        <v>22</v>
      </c>
      <c r="I65">
        <v>12</v>
      </c>
      <c r="J65">
        <v>12</v>
      </c>
      <c r="K65">
        <v>12</v>
      </c>
      <c r="L65">
        <v>12</v>
      </c>
      <c r="M65">
        <v>14</v>
      </c>
      <c r="N65">
        <v>12</v>
      </c>
      <c r="O65">
        <v>13</v>
      </c>
      <c r="P65">
        <v>10</v>
      </c>
      <c r="Q65">
        <v>10</v>
      </c>
      <c r="R65">
        <v>12</v>
      </c>
      <c r="S65">
        <v>9</v>
      </c>
      <c r="T65">
        <v>11</v>
      </c>
      <c r="U65">
        <v>11</v>
      </c>
      <c r="V65">
        <v>5</v>
      </c>
      <c r="W65">
        <v>6</v>
      </c>
      <c r="X65">
        <v>6</v>
      </c>
      <c r="Y65">
        <v>3</v>
      </c>
      <c r="Z65">
        <v>4</v>
      </c>
      <c r="AA65">
        <v>5</v>
      </c>
      <c r="AB65">
        <v>6</v>
      </c>
      <c r="AC65">
        <v>8</v>
      </c>
      <c r="AD65">
        <v>3</v>
      </c>
      <c r="AE65">
        <v>0</v>
      </c>
    </row>
    <row r="66" spans="1:31" x14ac:dyDescent="0.3">
      <c r="A66" t="s">
        <v>43</v>
      </c>
      <c r="B66" t="s">
        <v>186</v>
      </c>
      <c r="C66">
        <v>403</v>
      </c>
      <c r="D66">
        <v>26</v>
      </c>
      <c r="E66">
        <v>30</v>
      </c>
      <c r="F66">
        <v>20</v>
      </c>
      <c r="G66">
        <v>16</v>
      </c>
      <c r="H66">
        <v>17</v>
      </c>
      <c r="I66">
        <v>10</v>
      </c>
      <c r="J66">
        <v>10</v>
      </c>
      <c r="K66">
        <v>11</v>
      </c>
      <c r="L66">
        <v>15</v>
      </c>
      <c r="M66">
        <v>8</v>
      </c>
      <c r="N66">
        <v>13</v>
      </c>
      <c r="O66">
        <v>16</v>
      </c>
      <c r="P66">
        <v>9</v>
      </c>
      <c r="Q66">
        <v>9</v>
      </c>
      <c r="R66">
        <v>15</v>
      </c>
      <c r="S66">
        <v>16</v>
      </c>
      <c r="T66">
        <v>14</v>
      </c>
      <c r="U66">
        <v>9</v>
      </c>
      <c r="V66">
        <v>3</v>
      </c>
      <c r="W66">
        <v>7</v>
      </c>
      <c r="X66">
        <v>1</v>
      </c>
      <c r="Y66">
        <v>7</v>
      </c>
      <c r="Z66">
        <v>6</v>
      </c>
      <c r="AA66">
        <v>3</v>
      </c>
      <c r="AB66">
        <v>4</v>
      </c>
      <c r="AC66">
        <v>1</v>
      </c>
      <c r="AD66">
        <v>7</v>
      </c>
      <c r="AE66">
        <v>0</v>
      </c>
    </row>
    <row r="67" spans="1:31" x14ac:dyDescent="0.3">
      <c r="A67" t="s">
        <v>33</v>
      </c>
      <c r="B67" t="s">
        <v>194</v>
      </c>
      <c r="C67">
        <v>382</v>
      </c>
      <c r="D67">
        <v>17</v>
      </c>
      <c r="E67">
        <v>22</v>
      </c>
      <c r="F67">
        <v>18</v>
      </c>
      <c r="G67">
        <v>13</v>
      </c>
      <c r="H67">
        <v>17</v>
      </c>
      <c r="I67">
        <v>17</v>
      </c>
      <c r="J67">
        <v>19</v>
      </c>
      <c r="K67">
        <v>13</v>
      </c>
      <c r="L67">
        <v>16</v>
      </c>
      <c r="M67">
        <v>15</v>
      </c>
      <c r="N67">
        <v>13</v>
      </c>
      <c r="O67">
        <v>10</v>
      </c>
      <c r="P67">
        <v>7</v>
      </c>
      <c r="Q67">
        <v>18</v>
      </c>
      <c r="R67">
        <v>5</v>
      </c>
      <c r="S67">
        <v>12</v>
      </c>
      <c r="T67">
        <v>10</v>
      </c>
      <c r="U67">
        <v>9</v>
      </c>
      <c r="V67">
        <v>7</v>
      </c>
      <c r="W67">
        <v>6</v>
      </c>
      <c r="X67">
        <v>5</v>
      </c>
      <c r="Y67">
        <v>5</v>
      </c>
      <c r="Z67">
        <v>6</v>
      </c>
      <c r="AA67">
        <v>9</v>
      </c>
      <c r="AB67">
        <v>3</v>
      </c>
      <c r="AC67">
        <v>5</v>
      </c>
      <c r="AD67">
        <v>6</v>
      </c>
      <c r="AE67">
        <v>0</v>
      </c>
    </row>
    <row r="68" spans="1:31" x14ac:dyDescent="0.3">
      <c r="A68" t="s">
        <v>34</v>
      </c>
      <c r="B68" t="s">
        <v>195</v>
      </c>
      <c r="C68">
        <v>374</v>
      </c>
      <c r="D68">
        <v>19</v>
      </c>
      <c r="E68">
        <v>20</v>
      </c>
      <c r="F68">
        <v>13</v>
      </c>
      <c r="G68">
        <v>16</v>
      </c>
      <c r="H68">
        <v>7</v>
      </c>
      <c r="I68">
        <v>15</v>
      </c>
      <c r="J68">
        <v>9</v>
      </c>
      <c r="K68">
        <v>2</v>
      </c>
      <c r="L68">
        <v>13</v>
      </c>
      <c r="M68">
        <v>8</v>
      </c>
      <c r="N68">
        <v>15</v>
      </c>
      <c r="O68">
        <v>7</v>
      </c>
      <c r="P68">
        <v>8</v>
      </c>
      <c r="Q68">
        <v>7</v>
      </c>
      <c r="R68">
        <v>10</v>
      </c>
      <c r="S68">
        <v>8</v>
      </c>
      <c r="T68">
        <v>8</v>
      </c>
      <c r="U68">
        <v>6</v>
      </c>
      <c r="V68">
        <v>5</v>
      </c>
      <c r="W68">
        <v>4</v>
      </c>
      <c r="X68">
        <v>4</v>
      </c>
      <c r="Y68">
        <v>2</v>
      </c>
      <c r="Z68">
        <v>3</v>
      </c>
      <c r="AA68">
        <v>3</v>
      </c>
      <c r="AB68">
        <v>3</v>
      </c>
      <c r="AC68">
        <v>4</v>
      </c>
      <c r="AD68">
        <v>3</v>
      </c>
      <c r="AE68">
        <v>0</v>
      </c>
    </row>
    <row r="69" spans="1:31" x14ac:dyDescent="0.3">
      <c r="A69" t="s">
        <v>60</v>
      </c>
      <c r="B69" t="s">
        <v>196</v>
      </c>
      <c r="C69">
        <v>360</v>
      </c>
      <c r="D69">
        <v>22</v>
      </c>
      <c r="E69">
        <v>15</v>
      </c>
      <c r="F69">
        <v>14</v>
      </c>
      <c r="G69">
        <v>10</v>
      </c>
      <c r="H69">
        <v>9</v>
      </c>
      <c r="I69">
        <v>12</v>
      </c>
      <c r="J69">
        <v>8</v>
      </c>
      <c r="K69">
        <v>10</v>
      </c>
      <c r="L69">
        <v>8</v>
      </c>
      <c r="M69">
        <v>8</v>
      </c>
      <c r="N69">
        <v>11</v>
      </c>
      <c r="O69">
        <v>6</v>
      </c>
      <c r="P69">
        <v>6</v>
      </c>
      <c r="Q69">
        <v>14</v>
      </c>
      <c r="R69">
        <v>10</v>
      </c>
      <c r="S69">
        <v>11</v>
      </c>
      <c r="T69">
        <v>8</v>
      </c>
      <c r="U69">
        <v>2</v>
      </c>
      <c r="V69">
        <v>10</v>
      </c>
      <c r="W69">
        <v>3</v>
      </c>
      <c r="X69">
        <v>3</v>
      </c>
      <c r="Y69">
        <v>3</v>
      </c>
      <c r="Z69">
        <v>3</v>
      </c>
      <c r="AA69">
        <v>1</v>
      </c>
      <c r="AB69">
        <v>3</v>
      </c>
      <c r="AC69">
        <v>3</v>
      </c>
      <c r="AD69">
        <v>5</v>
      </c>
      <c r="AE69">
        <v>0</v>
      </c>
    </row>
    <row r="70" spans="1:31" x14ac:dyDescent="0.3">
      <c r="A70" t="s">
        <v>44</v>
      </c>
      <c r="B70" t="s">
        <v>180</v>
      </c>
      <c r="C70">
        <v>354</v>
      </c>
      <c r="D70">
        <v>23</v>
      </c>
      <c r="E70">
        <v>19</v>
      </c>
      <c r="F70">
        <v>15</v>
      </c>
      <c r="G70">
        <v>11</v>
      </c>
      <c r="H70">
        <v>13</v>
      </c>
      <c r="I70">
        <v>11</v>
      </c>
      <c r="J70">
        <v>15</v>
      </c>
      <c r="K70">
        <v>7</v>
      </c>
      <c r="L70">
        <v>8</v>
      </c>
      <c r="M70">
        <v>6</v>
      </c>
      <c r="N70">
        <v>11</v>
      </c>
      <c r="O70">
        <v>7</v>
      </c>
      <c r="P70">
        <v>9</v>
      </c>
      <c r="Q70">
        <v>7</v>
      </c>
      <c r="R70">
        <v>10</v>
      </c>
      <c r="S70">
        <v>9</v>
      </c>
      <c r="T70">
        <v>10</v>
      </c>
      <c r="U70">
        <v>3</v>
      </c>
      <c r="V70">
        <v>7</v>
      </c>
      <c r="W70">
        <v>4</v>
      </c>
      <c r="X70">
        <v>2</v>
      </c>
      <c r="Y70">
        <v>2</v>
      </c>
      <c r="Z70">
        <v>2</v>
      </c>
      <c r="AA70">
        <v>4</v>
      </c>
      <c r="AB70">
        <v>4</v>
      </c>
      <c r="AC70">
        <v>2</v>
      </c>
      <c r="AD70">
        <v>3</v>
      </c>
      <c r="AE70">
        <v>0</v>
      </c>
    </row>
    <row r="71" spans="1:31" x14ac:dyDescent="0.3">
      <c r="A71" t="s">
        <v>38</v>
      </c>
      <c r="B71" t="s">
        <v>197</v>
      </c>
      <c r="C71">
        <v>333</v>
      </c>
      <c r="D71">
        <v>18</v>
      </c>
      <c r="E71">
        <v>22</v>
      </c>
      <c r="F71">
        <v>13</v>
      </c>
      <c r="G71">
        <v>12</v>
      </c>
      <c r="H71">
        <v>10</v>
      </c>
      <c r="I71">
        <v>15</v>
      </c>
      <c r="J71">
        <v>9</v>
      </c>
      <c r="K71">
        <v>10</v>
      </c>
      <c r="L71">
        <v>10</v>
      </c>
      <c r="M71">
        <v>7</v>
      </c>
      <c r="N71">
        <v>19</v>
      </c>
      <c r="O71">
        <v>13</v>
      </c>
      <c r="P71">
        <v>8</v>
      </c>
      <c r="Q71">
        <v>5</v>
      </c>
      <c r="R71">
        <v>12</v>
      </c>
      <c r="S71">
        <v>7</v>
      </c>
      <c r="T71">
        <v>6</v>
      </c>
      <c r="U71">
        <v>8</v>
      </c>
      <c r="V71">
        <v>3</v>
      </c>
      <c r="W71">
        <v>3</v>
      </c>
      <c r="X71">
        <v>1</v>
      </c>
      <c r="Y71">
        <v>7</v>
      </c>
      <c r="Z71">
        <v>4</v>
      </c>
      <c r="AA71">
        <v>8</v>
      </c>
      <c r="AB71">
        <v>7</v>
      </c>
      <c r="AC71">
        <v>5</v>
      </c>
      <c r="AD71">
        <v>4</v>
      </c>
      <c r="AE71">
        <v>0</v>
      </c>
    </row>
    <row r="72" spans="1:31" x14ac:dyDescent="0.3">
      <c r="A72" t="s">
        <v>58</v>
      </c>
      <c r="B72" t="s">
        <v>198</v>
      </c>
      <c r="C72">
        <v>327</v>
      </c>
      <c r="D72">
        <v>17</v>
      </c>
      <c r="E72">
        <v>14</v>
      </c>
      <c r="F72">
        <v>10</v>
      </c>
      <c r="G72">
        <v>13</v>
      </c>
      <c r="H72">
        <v>12</v>
      </c>
      <c r="I72">
        <v>16</v>
      </c>
      <c r="J72">
        <v>13</v>
      </c>
      <c r="K72">
        <v>5</v>
      </c>
      <c r="L72">
        <v>8</v>
      </c>
      <c r="M72">
        <v>6</v>
      </c>
      <c r="N72">
        <v>8</v>
      </c>
      <c r="O72">
        <v>6</v>
      </c>
      <c r="P72">
        <v>6</v>
      </c>
      <c r="Q72">
        <v>8</v>
      </c>
      <c r="R72">
        <v>14</v>
      </c>
      <c r="S72">
        <v>10</v>
      </c>
      <c r="T72">
        <v>7</v>
      </c>
      <c r="U72">
        <v>2</v>
      </c>
      <c r="V72">
        <v>6</v>
      </c>
      <c r="W72">
        <v>4</v>
      </c>
      <c r="X72">
        <v>2</v>
      </c>
      <c r="Y72">
        <v>1</v>
      </c>
      <c r="Z72">
        <v>3</v>
      </c>
      <c r="AA72">
        <v>5</v>
      </c>
      <c r="AB72">
        <v>3</v>
      </c>
      <c r="AC72">
        <v>1</v>
      </c>
      <c r="AD72">
        <v>4</v>
      </c>
      <c r="AE72">
        <v>0</v>
      </c>
    </row>
    <row r="73" spans="1:31" x14ac:dyDescent="0.3">
      <c r="A73" t="s">
        <v>35</v>
      </c>
      <c r="B73" t="s">
        <v>182</v>
      </c>
      <c r="C73">
        <v>319</v>
      </c>
      <c r="D73">
        <v>19</v>
      </c>
      <c r="E73">
        <v>26</v>
      </c>
      <c r="F73">
        <v>20</v>
      </c>
      <c r="G73">
        <v>13</v>
      </c>
      <c r="H73">
        <v>10</v>
      </c>
      <c r="I73">
        <v>12</v>
      </c>
      <c r="J73">
        <v>16</v>
      </c>
      <c r="K73">
        <v>9</v>
      </c>
      <c r="L73">
        <v>8</v>
      </c>
      <c r="M73">
        <v>9</v>
      </c>
      <c r="N73">
        <v>8</v>
      </c>
      <c r="O73">
        <v>7</v>
      </c>
      <c r="P73">
        <v>11</v>
      </c>
      <c r="Q73">
        <v>6</v>
      </c>
      <c r="R73">
        <v>9</v>
      </c>
      <c r="S73">
        <v>14</v>
      </c>
      <c r="T73">
        <v>9</v>
      </c>
      <c r="U73">
        <v>10</v>
      </c>
      <c r="V73">
        <v>6</v>
      </c>
      <c r="W73">
        <v>6</v>
      </c>
      <c r="X73">
        <v>4</v>
      </c>
      <c r="Y73">
        <v>5</v>
      </c>
      <c r="Z73">
        <v>5</v>
      </c>
      <c r="AA73">
        <v>4</v>
      </c>
      <c r="AB73">
        <v>4</v>
      </c>
      <c r="AC73">
        <v>3</v>
      </c>
      <c r="AD73">
        <v>6</v>
      </c>
      <c r="AE73">
        <v>0</v>
      </c>
    </row>
    <row r="74" spans="1:31" x14ac:dyDescent="0.3">
      <c r="A74" t="s">
        <v>13</v>
      </c>
      <c r="B74" t="s">
        <v>185</v>
      </c>
      <c r="C74">
        <v>318</v>
      </c>
      <c r="D74">
        <v>0</v>
      </c>
      <c r="E74">
        <v>0</v>
      </c>
      <c r="F74">
        <v>0</v>
      </c>
      <c r="G74">
        <v>4</v>
      </c>
      <c r="H74">
        <v>58</v>
      </c>
      <c r="I74">
        <v>30</v>
      </c>
      <c r="J74">
        <v>18</v>
      </c>
      <c r="K74">
        <v>15</v>
      </c>
      <c r="L74">
        <v>17</v>
      </c>
      <c r="M74">
        <v>19</v>
      </c>
      <c r="N74">
        <v>25</v>
      </c>
      <c r="O74">
        <v>12</v>
      </c>
      <c r="P74">
        <v>16</v>
      </c>
      <c r="Q74">
        <v>6</v>
      </c>
      <c r="R74">
        <v>17</v>
      </c>
      <c r="S74">
        <v>13</v>
      </c>
      <c r="T74">
        <v>7</v>
      </c>
      <c r="U74">
        <v>7</v>
      </c>
      <c r="V74">
        <v>7</v>
      </c>
      <c r="W74">
        <v>7</v>
      </c>
      <c r="X74">
        <v>8</v>
      </c>
      <c r="Y74">
        <v>3</v>
      </c>
      <c r="Z74">
        <v>5</v>
      </c>
      <c r="AA74">
        <v>8</v>
      </c>
      <c r="AB74">
        <v>8</v>
      </c>
      <c r="AC74">
        <v>6</v>
      </c>
      <c r="AD74">
        <v>2</v>
      </c>
      <c r="AE74">
        <v>0</v>
      </c>
    </row>
    <row r="75" spans="1:31" x14ac:dyDescent="0.3">
      <c r="A75" t="s">
        <v>28</v>
      </c>
      <c r="B75" t="s">
        <v>199</v>
      </c>
      <c r="C75">
        <v>302</v>
      </c>
      <c r="D75">
        <v>11</v>
      </c>
      <c r="E75">
        <v>16</v>
      </c>
      <c r="F75">
        <v>8</v>
      </c>
      <c r="G75">
        <v>11</v>
      </c>
      <c r="H75">
        <v>12</v>
      </c>
      <c r="I75">
        <v>10</v>
      </c>
      <c r="J75">
        <v>13</v>
      </c>
      <c r="K75">
        <v>11</v>
      </c>
      <c r="L75">
        <v>9</v>
      </c>
      <c r="M75">
        <v>11</v>
      </c>
      <c r="N75">
        <v>13</v>
      </c>
      <c r="O75">
        <v>11</v>
      </c>
      <c r="P75">
        <v>10</v>
      </c>
      <c r="Q75">
        <v>12</v>
      </c>
      <c r="R75">
        <v>9</v>
      </c>
      <c r="S75">
        <v>12</v>
      </c>
      <c r="T75">
        <v>7</v>
      </c>
      <c r="U75">
        <v>9</v>
      </c>
      <c r="V75">
        <v>5</v>
      </c>
      <c r="W75">
        <v>6</v>
      </c>
      <c r="X75">
        <v>5</v>
      </c>
      <c r="Y75">
        <v>5</v>
      </c>
      <c r="Z75">
        <v>4</v>
      </c>
      <c r="AA75">
        <v>8</v>
      </c>
      <c r="AB75">
        <v>3</v>
      </c>
      <c r="AC75">
        <v>7</v>
      </c>
      <c r="AD75">
        <v>3</v>
      </c>
      <c r="AE75">
        <v>0</v>
      </c>
    </row>
    <row r="76" spans="1:31" x14ac:dyDescent="0.3">
      <c r="A76" t="s">
        <v>51</v>
      </c>
      <c r="B76" t="s">
        <v>179</v>
      </c>
      <c r="C76">
        <v>290</v>
      </c>
      <c r="D76">
        <v>14</v>
      </c>
      <c r="E76">
        <v>15</v>
      </c>
      <c r="F76">
        <v>13</v>
      </c>
      <c r="G76">
        <v>9</v>
      </c>
      <c r="H76">
        <v>9</v>
      </c>
      <c r="I76">
        <v>11</v>
      </c>
      <c r="J76">
        <v>13</v>
      </c>
      <c r="K76">
        <v>7</v>
      </c>
      <c r="L76">
        <v>4</v>
      </c>
      <c r="M76">
        <v>6</v>
      </c>
      <c r="N76">
        <v>12</v>
      </c>
      <c r="O76">
        <v>13</v>
      </c>
      <c r="P76">
        <v>6</v>
      </c>
      <c r="Q76">
        <v>12</v>
      </c>
      <c r="R76">
        <v>9</v>
      </c>
      <c r="S76">
        <v>9</v>
      </c>
      <c r="T76">
        <v>9</v>
      </c>
      <c r="U76">
        <v>11</v>
      </c>
      <c r="V76">
        <v>5</v>
      </c>
      <c r="W76">
        <v>3</v>
      </c>
      <c r="X76">
        <v>6</v>
      </c>
      <c r="Y76">
        <v>6</v>
      </c>
      <c r="Z76">
        <v>9</v>
      </c>
      <c r="AA76">
        <v>5</v>
      </c>
      <c r="AB76">
        <v>6</v>
      </c>
      <c r="AC76">
        <v>7</v>
      </c>
      <c r="AD76">
        <v>1</v>
      </c>
      <c r="AE76">
        <v>0</v>
      </c>
    </row>
    <row r="77" spans="1:31" x14ac:dyDescent="0.3">
      <c r="A77" t="s">
        <v>119</v>
      </c>
      <c r="B77" t="s">
        <v>200</v>
      </c>
      <c r="C77">
        <v>279</v>
      </c>
      <c r="D77">
        <v>13</v>
      </c>
      <c r="E77">
        <v>10</v>
      </c>
      <c r="F77">
        <v>12</v>
      </c>
      <c r="G77">
        <v>13</v>
      </c>
      <c r="H77">
        <v>16</v>
      </c>
      <c r="I77">
        <v>17</v>
      </c>
      <c r="J77">
        <v>13</v>
      </c>
      <c r="K77">
        <v>12</v>
      </c>
      <c r="L77">
        <v>14</v>
      </c>
      <c r="M77">
        <v>12</v>
      </c>
      <c r="N77">
        <v>14</v>
      </c>
      <c r="O77">
        <v>10</v>
      </c>
      <c r="P77">
        <v>7</v>
      </c>
      <c r="Q77">
        <v>6</v>
      </c>
      <c r="R77">
        <v>10</v>
      </c>
      <c r="S77">
        <v>8</v>
      </c>
      <c r="T77">
        <v>5</v>
      </c>
      <c r="U77">
        <v>5</v>
      </c>
      <c r="V77">
        <v>5</v>
      </c>
      <c r="W77">
        <v>8</v>
      </c>
      <c r="X77">
        <v>4</v>
      </c>
      <c r="Y77">
        <v>1</v>
      </c>
      <c r="Z77">
        <v>2</v>
      </c>
      <c r="AA77">
        <v>7</v>
      </c>
      <c r="AB77">
        <v>2</v>
      </c>
      <c r="AC77">
        <v>1</v>
      </c>
      <c r="AD77">
        <v>2</v>
      </c>
      <c r="AE77">
        <v>0</v>
      </c>
    </row>
    <row r="78" spans="1:31" x14ac:dyDescent="0.3">
      <c r="A78" t="s">
        <v>48</v>
      </c>
      <c r="B78" t="s">
        <v>178</v>
      </c>
      <c r="C78">
        <v>278</v>
      </c>
      <c r="D78">
        <v>12</v>
      </c>
      <c r="E78">
        <v>10</v>
      </c>
      <c r="F78">
        <v>11</v>
      </c>
      <c r="G78">
        <v>12</v>
      </c>
      <c r="H78">
        <v>8</v>
      </c>
      <c r="I78">
        <v>10</v>
      </c>
      <c r="J78">
        <v>10</v>
      </c>
      <c r="K78">
        <v>11</v>
      </c>
      <c r="L78">
        <v>5</v>
      </c>
      <c r="M78">
        <v>3</v>
      </c>
      <c r="N78">
        <v>9</v>
      </c>
      <c r="O78">
        <v>13</v>
      </c>
      <c r="P78">
        <v>7</v>
      </c>
      <c r="Q78">
        <v>12</v>
      </c>
      <c r="R78">
        <v>7</v>
      </c>
      <c r="S78">
        <v>10</v>
      </c>
      <c r="T78">
        <v>8</v>
      </c>
      <c r="U78">
        <v>5</v>
      </c>
      <c r="V78">
        <v>2</v>
      </c>
      <c r="W78">
        <v>4</v>
      </c>
      <c r="X78">
        <v>2</v>
      </c>
      <c r="Y78">
        <v>7</v>
      </c>
      <c r="Z78">
        <v>7</v>
      </c>
      <c r="AA78">
        <v>6</v>
      </c>
      <c r="AB78">
        <v>8</v>
      </c>
      <c r="AC78">
        <v>10</v>
      </c>
      <c r="AD78">
        <v>1</v>
      </c>
      <c r="AE78">
        <v>0</v>
      </c>
    </row>
    <row r="79" spans="1:31" x14ac:dyDescent="0.3">
      <c r="A79" t="s">
        <v>42</v>
      </c>
      <c r="B79" t="s">
        <v>186</v>
      </c>
      <c r="C79">
        <v>263</v>
      </c>
      <c r="D79">
        <v>12</v>
      </c>
      <c r="E79">
        <v>11</v>
      </c>
      <c r="F79">
        <v>11</v>
      </c>
      <c r="G79">
        <v>8</v>
      </c>
      <c r="H79">
        <v>8</v>
      </c>
      <c r="I79">
        <v>9</v>
      </c>
      <c r="J79">
        <v>13</v>
      </c>
      <c r="K79">
        <v>8</v>
      </c>
      <c r="L79">
        <v>10</v>
      </c>
      <c r="M79">
        <v>9</v>
      </c>
      <c r="N79">
        <v>10</v>
      </c>
      <c r="O79">
        <v>9</v>
      </c>
      <c r="P79">
        <v>10</v>
      </c>
      <c r="Q79">
        <v>5</v>
      </c>
      <c r="R79">
        <v>10</v>
      </c>
      <c r="S79">
        <v>10</v>
      </c>
      <c r="T79">
        <v>10</v>
      </c>
      <c r="U79">
        <v>10</v>
      </c>
      <c r="V79">
        <v>7</v>
      </c>
      <c r="W79">
        <v>6</v>
      </c>
      <c r="X79">
        <v>5</v>
      </c>
      <c r="Y79">
        <v>2</v>
      </c>
      <c r="Z79">
        <v>2</v>
      </c>
      <c r="AA79">
        <v>4</v>
      </c>
      <c r="AB79">
        <v>7</v>
      </c>
      <c r="AC79">
        <v>3</v>
      </c>
      <c r="AD79">
        <v>4</v>
      </c>
      <c r="AE79">
        <v>0</v>
      </c>
    </row>
    <row r="80" spans="1:31" x14ac:dyDescent="0.3">
      <c r="A80" t="s">
        <v>32</v>
      </c>
      <c r="B80" t="s">
        <v>183</v>
      </c>
      <c r="C80">
        <v>251</v>
      </c>
      <c r="D80">
        <v>11</v>
      </c>
      <c r="E80">
        <v>7</v>
      </c>
      <c r="F80">
        <v>10</v>
      </c>
      <c r="G80">
        <v>11</v>
      </c>
      <c r="H80">
        <v>6</v>
      </c>
      <c r="I80">
        <v>15</v>
      </c>
      <c r="J80">
        <v>10</v>
      </c>
      <c r="K80">
        <v>6</v>
      </c>
      <c r="L80">
        <v>5</v>
      </c>
      <c r="M80">
        <v>1</v>
      </c>
      <c r="N80">
        <v>11</v>
      </c>
      <c r="O80">
        <v>12</v>
      </c>
      <c r="P80">
        <v>9</v>
      </c>
      <c r="Q80">
        <v>11</v>
      </c>
      <c r="R80">
        <v>7</v>
      </c>
      <c r="S80">
        <v>8</v>
      </c>
      <c r="T80">
        <v>3</v>
      </c>
      <c r="U80">
        <v>3</v>
      </c>
      <c r="V80">
        <v>3</v>
      </c>
      <c r="W80">
        <v>6</v>
      </c>
      <c r="X80">
        <v>6</v>
      </c>
      <c r="Y80">
        <v>3</v>
      </c>
      <c r="Z80">
        <v>2</v>
      </c>
      <c r="AA80">
        <v>4</v>
      </c>
      <c r="AB80">
        <v>3</v>
      </c>
      <c r="AC80">
        <v>2</v>
      </c>
      <c r="AD80">
        <v>3</v>
      </c>
      <c r="AE80">
        <v>0</v>
      </c>
    </row>
    <row r="81" spans="1:31" x14ac:dyDescent="0.3">
      <c r="A81" t="s">
        <v>26</v>
      </c>
      <c r="B81" t="s">
        <v>185</v>
      </c>
      <c r="C81">
        <v>214</v>
      </c>
      <c r="D81">
        <v>0</v>
      </c>
      <c r="E81">
        <v>0</v>
      </c>
      <c r="F81">
        <v>0</v>
      </c>
      <c r="G81">
        <v>2</v>
      </c>
      <c r="H81">
        <v>35</v>
      </c>
      <c r="I81">
        <v>19</v>
      </c>
      <c r="J81">
        <v>14</v>
      </c>
      <c r="K81">
        <v>11</v>
      </c>
      <c r="L81">
        <v>7</v>
      </c>
      <c r="M81">
        <v>15</v>
      </c>
      <c r="N81">
        <v>16</v>
      </c>
      <c r="O81">
        <v>6</v>
      </c>
      <c r="P81">
        <v>12</v>
      </c>
      <c r="Q81">
        <v>5</v>
      </c>
      <c r="R81">
        <v>11</v>
      </c>
      <c r="S81">
        <v>9</v>
      </c>
      <c r="T81">
        <v>10</v>
      </c>
      <c r="U81">
        <v>5</v>
      </c>
      <c r="V81">
        <v>6</v>
      </c>
      <c r="W81">
        <v>2</v>
      </c>
      <c r="X81">
        <v>7</v>
      </c>
      <c r="Y81">
        <v>2</v>
      </c>
      <c r="Z81">
        <v>8</v>
      </c>
      <c r="AA81">
        <v>2</v>
      </c>
      <c r="AB81">
        <v>5</v>
      </c>
      <c r="AC81">
        <v>4</v>
      </c>
      <c r="AD81">
        <v>1</v>
      </c>
      <c r="AE81">
        <v>0</v>
      </c>
    </row>
    <row r="82" spans="1:31" x14ac:dyDescent="0.3">
      <c r="A82" t="s">
        <v>174</v>
      </c>
      <c r="B82" t="s">
        <v>201</v>
      </c>
      <c r="C82">
        <v>209</v>
      </c>
      <c r="D82">
        <v>18</v>
      </c>
      <c r="E82">
        <v>15</v>
      </c>
      <c r="F82">
        <v>19</v>
      </c>
      <c r="G82">
        <v>20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3">
      <c r="A83" t="s">
        <v>116</v>
      </c>
      <c r="B83" t="s">
        <v>200</v>
      </c>
      <c r="C83">
        <v>206</v>
      </c>
      <c r="D83">
        <v>6</v>
      </c>
      <c r="E83">
        <v>11</v>
      </c>
      <c r="F83">
        <v>5</v>
      </c>
      <c r="G83">
        <v>5</v>
      </c>
      <c r="H83">
        <v>10</v>
      </c>
      <c r="I83">
        <v>11</v>
      </c>
      <c r="J83">
        <v>11</v>
      </c>
      <c r="K83">
        <v>5</v>
      </c>
      <c r="L83">
        <v>13</v>
      </c>
      <c r="M83">
        <v>6</v>
      </c>
      <c r="N83">
        <v>13</v>
      </c>
      <c r="O83">
        <v>7</v>
      </c>
      <c r="P83">
        <v>6</v>
      </c>
      <c r="Q83">
        <v>4</v>
      </c>
      <c r="R83">
        <v>6</v>
      </c>
      <c r="S83">
        <v>8</v>
      </c>
      <c r="T83">
        <v>8</v>
      </c>
      <c r="U83">
        <v>7</v>
      </c>
      <c r="V83">
        <v>3</v>
      </c>
      <c r="W83">
        <v>3</v>
      </c>
      <c r="X83">
        <v>5</v>
      </c>
      <c r="Y83">
        <v>4</v>
      </c>
      <c r="Z83">
        <v>2</v>
      </c>
      <c r="AA83">
        <v>2</v>
      </c>
      <c r="AB83">
        <v>4</v>
      </c>
      <c r="AC83">
        <v>3</v>
      </c>
      <c r="AD83">
        <v>2</v>
      </c>
      <c r="AE83">
        <v>0</v>
      </c>
    </row>
    <row r="84" spans="1:31" x14ac:dyDescent="0.3">
      <c r="A84" t="s">
        <v>81</v>
      </c>
      <c r="B84" t="s">
        <v>195</v>
      </c>
      <c r="C84">
        <v>205</v>
      </c>
      <c r="D84">
        <v>15</v>
      </c>
      <c r="E84">
        <v>10</v>
      </c>
      <c r="F84">
        <v>13</v>
      </c>
      <c r="G84">
        <v>5</v>
      </c>
      <c r="H84">
        <v>4</v>
      </c>
      <c r="I84">
        <v>10</v>
      </c>
      <c r="J84">
        <v>8</v>
      </c>
      <c r="K84">
        <v>6</v>
      </c>
      <c r="L84">
        <v>3</v>
      </c>
      <c r="M84">
        <v>5</v>
      </c>
      <c r="N84">
        <v>5</v>
      </c>
      <c r="O84">
        <v>5</v>
      </c>
      <c r="P84">
        <v>4</v>
      </c>
      <c r="Q84">
        <v>2</v>
      </c>
      <c r="R84">
        <v>8</v>
      </c>
      <c r="S84">
        <v>7</v>
      </c>
      <c r="T84">
        <v>5</v>
      </c>
      <c r="U84">
        <v>4</v>
      </c>
      <c r="V84">
        <v>0</v>
      </c>
      <c r="W84">
        <v>3</v>
      </c>
      <c r="X84">
        <v>2</v>
      </c>
      <c r="Y84">
        <v>4</v>
      </c>
      <c r="Z84">
        <v>3</v>
      </c>
      <c r="AA84">
        <v>1</v>
      </c>
      <c r="AB84">
        <v>0</v>
      </c>
      <c r="AC84">
        <v>1</v>
      </c>
      <c r="AD84">
        <v>2</v>
      </c>
      <c r="AE84">
        <v>0</v>
      </c>
    </row>
    <row r="85" spans="1:31" x14ac:dyDescent="0.3">
      <c r="A85" t="s">
        <v>25</v>
      </c>
      <c r="B85" t="s">
        <v>185</v>
      </c>
      <c r="C85">
        <v>202</v>
      </c>
      <c r="D85">
        <v>0</v>
      </c>
      <c r="E85">
        <v>0</v>
      </c>
      <c r="F85">
        <v>0</v>
      </c>
      <c r="G85">
        <v>1</v>
      </c>
      <c r="H85">
        <v>26</v>
      </c>
      <c r="I85">
        <v>12</v>
      </c>
      <c r="J85">
        <v>13</v>
      </c>
      <c r="K85">
        <v>15</v>
      </c>
      <c r="L85">
        <v>4</v>
      </c>
      <c r="M85">
        <v>15</v>
      </c>
      <c r="N85">
        <v>19</v>
      </c>
      <c r="O85">
        <v>5</v>
      </c>
      <c r="P85">
        <v>7</v>
      </c>
      <c r="Q85">
        <v>7</v>
      </c>
      <c r="R85">
        <v>13</v>
      </c>
      <c r="S85">
        <v>7</v>
      </c>
      <c r="T85">
        <v>10</v>
      </c>
      <c r="U85">
        <v>9</v>
      </c>
      <c r="V85">
        <v>3</v>
      </c>
      <c r="W85">
        <v>4</v>
      </c>
      <c r="X85">
        <v>4</v>
      </c>
      <c r="Y85">
        <v>2</v>
      </c>
      <c r="Z85">
        <v>3</v>
      </c>
      <c r="AA85">
        <v>4</v>
      </c>
      <c r="AB85">
        <v>10</v>
      </c>
      <c r="AC85">
        <v>5</v>
      </c>
      <c r="AD85">
        <v>4</v>
      </c>
      <c r="AE85">
        <v>0</v>
      </c>
    </row>
    <row r="86" spans="1:31" x14ac:dyDescent="0.3">
      <c r="A86" t="s">
        <v>78</v>
      </c>
      <c r="B86" t="s">
        <v>180</v>
      </c>
      <c r="C86">
        <v>199</v>
      </c>
      <c r="D86">
        <v>11</v>
      </c>
      <c r="E86">
        <v>16</v>
      </c>
      <c r="F86">
        <v>6</v>
      </c>
      <c r="G86">
        <v>6</v>
      </c>
      <c r="H86">
        <v>5</v>
      </c>
      <c r="I86">
        <v>8</v>
      </c>
      <c r="J86">
        <v>8</v>
      </c>
      <c r="K86">
        <v>4</v>
      </c>
      <c r="L86">
        <v>5</v>
      </c>
      <c r="M86">
        <v>3</v>
      </c>
      <c r="N86">
        <v>4</v>
      </c>
      <c r="O86">
        <v>5</v>
      </c>
      <c r="P86">
        <v>3</v>
      </c>
      <c r="Q86">
        <v>4</v>
      </c>
      <c r="R86">
        <v>8</v>
      </c>
      <c r="S86">
        <v>6</v>
      </c>
      <c r="T86">
        <v>6</v>
      </c>
      <c r="U86">
        <v>2</v>
      </c>
      <c r="V86">
        <v>2</v>
      </c>
      <c r="W86">
        <v>3</v>
      </c>
      <c r="X86">
        <v>1</v>
      </c>
      <c r="Y86">
        <v>3</v>
      </c>
      <c r="Z86">
        <v>0</v>
      </c>
      <c r="AA86">
        <v>1</v>
      </c>
      <c r="AB86">
        <v>0</v>
      </c>
      <c r="AC86">
        <v>3</v>
      </c>
      <c r="AD86">
        <v>2</v>
      </c>
      <c r="AE86">
        <v>0</v>
      </c>
    </row>
    <row r="87" spans="1:31" x14ac:dyDescent="0.3">
      <c r="A87" t="s">
        <v>27</v>
      </c>
      <c r="B87" t="s">
        <v>202</v>
      </c>
      <c r="C87">
        <v>196</v>
      </c>
      <c r="D87">
        <v>9</v>
      </c>
      <c r="E87">
        <v>11</v>
      </c>
      <c r="F87">
        <v>6</v>
      </c>
      <c r="G87">
        <v>7</v>
      </c>
      <c r="H87">
        <v>7</v>
      </c>
      <c r="I87">
        <v>6</v>
      </c>
      <c r="J87">
        <v>7</v>
      </c>
      <c r="K87">
        <v>7</v>
      </c>
      <c r="L87">
        <v>5</v>
      </c>
      <c r="M87">
        <v>3</v>
      </c>
      <c r="N87">
        <v>11</v>
      </c>
      <c r="O87">
        <v>4</v>
      </c>
      <c r="P87">
        <v>8</v>
      </c>
      <c r="Q87">
        <v>6</v>
      </c>
      <c r="R87">
        <v>5</v>
      </c>
      <c r="S87">
        <v>4</v>
      </c>
      <c r="T87">
        <v>9</v>
      </c>
      <c r="U87">
        <v>4</v>
      </c>
      <c r="V87">
        <v>5</v>
      </c>
      <c r="W87">
        <v>1</v>
      </c>
      <c r="X87">
        <v>0</v>
      </c>
      <c r="Y87">
        <v>1</v>
      </c>
      <c r="Z87">
        <v>1</v>
      </c>
      <c r="AA87">
        <v>1</v>
      </c>
      <c r="AB87">
        <v>1</v>
      </c>
      <c r="AC87">
        <v>7</v>
      </c>
      <c r="AD87">
        <v>0</v>
      </c>
      <c r="AE87">
        <v>0</v>
      </c>
    </row>
    <row r="88" spans="1:31" x14ac:dyDescent="0.3">
      <c r="A88" t="s">
        <v>47</v>
      </c>
      <c r="B88" t="s">
        <v>188</v>
      </c>
      <c r="C88">
        <v>193</v>
      </c>
      <c r="D88">
        <v>6</v>
      </c>
      <c r="E88">
        <v>7</v>
      </c>
      <c r="F88">
        <v>4</v>
      </c>
      <c r="G88">
        <v>6</v>
      </c>
      <c r="H88">
        <v>7</v>
      </c>
      <c r="I88">
        <v>6</v>
      </c>
      <c r="J88">
        <v>6</v>
      </c>
      <c r="K88">
        <v>8</v>
      </c>
      <c r="L88">
        <v>8</v>
      </c>
      <c r="M88">
        <v>10</v>
      </c>
      <c r="N88">
        <v>11</v>
      </c>
      <c r="O88">
        <v>8</v>
      </c>
      <c r="P88">
        <v>6</v>
      </c>
      <c r="Q88">
        <v>12</v>
      </c>
      <c r="R88">
        <v>2</v>
      </c>
      <c r="S88">
        <v>3</v>
      </c>
      <c r="T88">
        <v>9</v>
      </c>
      <c r="U88">
        <v>6</v>
      </c>
      <c r="V88">
        <v>7</v>
      </c>
      <c r="W88">
        <v>4</v>
      </c>
      <c r="X88">
        <v>4</v>
      </c>
      <c r="Y88">
        <v>5</v>
      </c>
      <c r="Z88">
        <v>6</v>
      </c>
      <c r="AA88">
        <v>4</v>
      </c>
      <c r="AB88">
        <v>4</v>
      </c>
      <c r="AC88">
        <v>3</v>
      </c>
      <c r="AD88">
        <v>2</v>
      </c>
      <c r="AE88">
        <v>0</v>
      </c>
    </row>
    <row r="89" spans="1:31" x14ac:dyDescent="0.3">
      <c r="A89" t="s">
        <v>147</v>
      </c>
      <c r="B89" t="s">
        <v>185</v>
      </c>
      <c r="C89">
        <v>191</v>
      </c>
      <c r="D89">
        <v>23</v>
      </c>
      <c r="E89">
        <v>13</v>
      </c>
      <c r="F89">
        <v>19</v>
      </c>
      <c r="G89">
        <v>11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 x14ac:dyDescent="0.3">
      <c r="A90" t="s">
        <v>16</v>
      </c>
      <c r="B90" t="s">
        <v>185</v>
      </c>
      <c r="C90">
        <v>189</v>
      </c>
      <c r="D90">
        <v>0</v>
      </c>
      <c r="E90">
        <v>0</v>
      </c>
      <c r="F90">
        <v>0</v>
      </c>
      <c r="G90">
        <v>1</v>
      </c>
      <c r="H90">
        <v>15</v>
      </c>
      <c r="I90">
        <v>10</v>
      </c>
      <c r="J90">
        <v>12</v>
      </c>
      <c r="K90">
        <v>15</v>
      </c>
      <c r="L90">
        <v>7</v>
      </c>
      <c r="M90">
        <v>11</v>
      </c>
      <c r="N90">
        <v>9</v>
      </c>
      <c r="O90">
        <v>6</v>
      </c>
      <c r="P90">
        <v>13</v>
      </c>
      <c r="Q90">
        <v>14</v>
      </c>
      <c r="R90">
        <v>6</v>
      </c>
      <c r="S90">
        <v>13</v>
      </c>
      <c r="T90">
        <v>6</v>
      </c>
      <c r="U90">
        <v>3</v>
      </c>
      <c r="V90">
        <v>10</v>
      </c>
      <c r="W90">
        <v>6</v>
      </c>
      <c r="X90">
        <v>0</v>
      </c>
      <c r="Y90">
        <v>2</v>
      </c>
      <c r="Z90">
        <v>4</v>
      </c>
      <c r="AA90">
        <v>5</v>
      </c>
      <c r="AB90">
        <v>5</v>
      </c>
      <c r="AC90">
        <v>8</v>
      </c>
      <c r="AD90">
        <v>7</v>
      </c>
      <c r="AE90">
        <v>1</v>
      </c>
    </row>
    <row r="91" spans="1:31" x14ac:dyDescent="0.3">
      <c r="A91" t="s">
        <v>125</v>
      </c>
      <c r="B91" t="s">
        <v>198</v>
      </c>
      <c r="C91">
        <v>184</v>
      </c>
      <c r="D91">
        <v>13</v>
      </c>
      <c r="E91">
        <v>12</v>
      </c>
      <c r="F91">
        <v>7</v>
      </c>
      <c r="G91">
        <v>8</v>
      </c>
      <c r="H91">
        <v>4</v>
      </c>
      <c r="I91">
        <v>7</v>
      </c>
      <c r="J91">
        <v>9</v>
      </c>
      <c r="K91">
        <v>9</v>
      </c>
      <c r="L91">
        <v>9</v>
      </c>
      <c r="M91">
        <v>8</v>
      </c>
      <c r="N91">
        <v>6</v>
      </c>
      <c r="O91">
        <v>7</v>
      </c>
      <c r="P91">
        <v>2</v>
      </c>
      <c r="Q91">
        <v>5</v>
      </c>
      <c r="R91">
        <v>4</v>
      </c>
      <c r="S91">
        <v>11</v>
      </c>
      <c r="T91">
        <v>6</v>
      </c>
      <c r="U91">
        <v>3</v>
      </c>
      <c r="V91">
        <v>4</v>
      </c>
      <c r="W91">
        <v>2</v>
      </c>
      <c r="X91">
        <v>1</v>
      </c>
      <c r="Y91">
        <v>1</v>
      </c>
      <c r="Z91">
        <v>1</v>
      </c>
      <c r="AA91">
        <v>1</v>
      </c>
      <c r="AB91">
        <v>2</v>
      </c>
      <c r="AC91">
        <v>2</v>
      </c>
      <c r="AD91">
        <v>3</v>
      </c>
      <c r="AE91">
        <v>0</v>
      </c>
    </row>
    <row r="92" spans="1:31" x14ac:dyDescent="0.3">
      <c r="A92" t="s">
        <v>55</v>
      </c>
      <c r="B92" t="s">
        <v>203</v>
      </c>
      <c r="C92">
        <v>182</v>
      </c>
      <c r="D92">
        <v>6</v>
      </c>
      <c r="E92">
        <v>8</v>
      </c>
      <c r="F92">
        <v>4</v>
      </c>
      <c r="G92">
        <v>8</v>
      </c>
      <c r="H92">
        <v>6</v>
      </c>
      <c r="I92">
        <v>5</v>
      </c>
      <c r="J92">
        <v>10</v>
      </c>
      <c r="K92">
        <v>6</v>
      </c>
      <c r="L92">
        <v>9</v>
      </c>
      <c r="M92">
        <v>7</v>
      </c>
      <c r="N92">
        <v>8</v>
      </c>
      <c r="O92">
        <v>7</v>
      </c>
      <c r="P92">
        <v>5</v>
      </c>
      <c r="Q92">
        <v>5</v>
      </c>
      <c r="R92">
        <v>8</v>
      </c>
      <c r="S92">
        <v>4</v>
      </c>
      <c r="T92">
        <v>4</v>
      </c>
      <c r="U92">
        <v>7</v>
      </c>
      <c r="V92">
        <v>3</v>
      </c>
      <c r="W92">
        <v>3</v>
      </c>
      <c r="X92">
        <v>1</v>
      </c>
      <c r="Y92">
        <v>5</v>
      </c>
      <c r="Z92">
        <v>1</v>
      </c>
      <c r="AA92">
        <v>5</v>
      </c>
      <c r="AB92">
        <v>1</v>
      </c>
      <c r="AC92">
        <v>2</v>
      </c>
      <c r="AD92">
        <v>1</v>
      </c>
      <c r="AE92">
        <v>0</v>
      </c>
    </row>
    <row r="93" spans="1:31" x14ac:dyDescent="0.3">
      <c r="A93" t="s">
        <v>45</v>
      </c>
      <c r="B93" t="s">
        <v>184</v>
      </c>
      <c r="C93">
        <v>182</v>
      </c>
      <c r="D93">
        <v>10</v>
      </c>
      <c r="E93">
        <v>7</v>
      </c>
      <c r="F93">
        <v>8</v>
      </c>
      <c r="G93">
        <v>10</v>
      </c>
      <c r="H93">
        <v>9</v>
      </c>
      <c r="I93">
        <v>4</v>
      </c>
      <c r="J93">
        <v>5</v>
      </c>
      <c r="K93">
        <v>7</v>
      </c>
      <c r="L93">
        <v>6</v>
      </c>
      <c r="M93">
        <v>6</v>
      </c>
      <c r="N93">
        <v>11</v>
      </c>
      <c r="O93">
        <v>7</v>
      </c>
      <c r="P93">
        <v>6</v>
      </c>
      <c r="Q93">
        <v>4</v>
      </c>
      <c r="R93">
        <v>10</v>
      </c>
      <c r="S93">
        <v>5</v>
      </c>
      <c r="T93">
        <v>3</v>
      </c>
      <c r="U93">
        <v>2</v>
      </c>
      <c r="V93">
        <v>5</v>
      </c>
      <c r="W93">
        <v>1</v>
      </c>
      <c r="X93">
        <v>3</v>
      </c>
      <c r="Y93">
        <v>3</v>
      </c>
      <c r="Z93">
        <v>1</v>
      </c>
      <c r="AA93">
        <v>5</v>
      </c>
      <c r="AB93">
        <v>3</v>
      </c>
      <c r="AC93">
        <v>4</v>
      </c>
      <c r="AD93">
        <v>3</v>
      </c>
      <c r="AE93">
        <v>0</v>
      </c>
    </row>
    <row r="94" spans="1:31" x14ac:dyDescent="0.3">
      <c r="A94" t="s">
        <v>75</v>
      </c>
      <c r="B94" t="s">
        <v>181</v>
      </c>
      <c r="C94">
        <v>181</v>
      </c>
      <c r="D94">
        <v>9</v>
      </c>
      <c r="E94">
        <v>3</v>
      </c>
      <c r="F94">
        <v>2</v>
      </c>
      <c r="G94">
        <v>11</v>
      </c>
      <c r="H94">
        <v>2</v>
      </c>
      <c r="I94">
        <v>12</v>
      </c>
      <c r="J94">
        <v>4</v>
      </c>
      <c r="K94">
        <v>4</v>
      </c>
      <c r="L94">
        <v>6</v>
      </c>
      <c r="M94">
        <v>2</v>
      </c>
      <c r="N94">
        <v>9</v>
      </c>
      <c r="O94">
        <v>5</v>
      </c>
      <c r="P94">
        <v>6</v>
      </c>
      <c r="Q94">
        <v>3</v>
      </c>
      <c r="R94">
        <v>2</v>
      </c>
      <c r="S94">
        <v>4</v>
      </c>
      <c r="T94">
        <v>7</v>
      </c>
      <c r="U94">
        <v>8</v>
      </c>
      <c r="V94">
        <v>3</v>
      </c>
      <c r="W94">
        <v>5</v>
      </c>
      <c r="X94">
        <v>3</v>
      </c>
      <c r="Y94">
        <v>4</v>
      </c>
      <c r="Z94">
        <v>2</v>
      </c>
      <c r="AA94">
        <v>3</v>
      </c>
      <c r="AB94">
        <v>4</v>
      </c>
      <c r="AC94">
        <v>7</v>
      </c>
      <c r="AD94">
        <v>2</v>
      </c>
      <c r="AE94">
        <v>0</v>
      </c>
    </row>
    <row r="95" spans="1:31" x14ac:dyDescent="0.3">
      <c r="A95" t="s">
        <v>76</v>
      </c>
      <c r="B95" t="s">
        <v>195</v>
      </c>
      <c r="C95">
        <v>177</v>
      </c>
      <c r="D95">
        <v>8</v>
      </c>
      <c r="E95">
        <v>12</v>
      </c>
      <c r="F95">
        <v>9</v>
      </c>
      <c r="G95">
        <v>7</v>
      </c>
      <c r="H95">
        <v>9</v>
      </c>
      <c r="I95">
        <v>6</v>
      </c>
      <c r="J95">
        <v>7</v>
      </c>
      <c r="K95">
        <v>6</v>
      </c>
      <c r="L95">
        <v>12</v>
      </c>
      <c r="M95">
        <v>6</v>
      </c>
      <c r="N95">
        <v>7</v>
      </c>
      <c r="O95">
        <v>7</v>
      </c>
      <c r="P95">
        <v>5</v>
      </c>
      <c r="Q95">
        <v>4</v>
      </c>
      <c r="R95">
        <v>9</v>
      </c>
      <c r="S95">
        <v>7</v>
      </c>
      <c r="T95">
        <v>3</v>
      </c>
      <c r="U95">
        <v>5</v>
      </c>
      <c r="V95">
        <v>0</v>
      </c>
      <c r="W95">
        <v>3</v>
      </c>
      <c r="X95">
        <v>3</v>
      </c>
      <c r="Y95">
        <v>3</v>
      </c>
      <c r="Z95">
        <v>1</v>
      </c>
      <c r="AA95">
        <v>4</v>
      </c>
      <c r="AB95">
        <v>1</v>
      </c>
      <c r="AC95">
        <v>2</v>
      </c>
      <c r="AD95">
        <v>1</v>
      </c>
      <c r="AE95">
        <v>0</v>
      </c>
    </row>
    <row r="96" spans="1:31" x14ac:dyDescent="0.3">
      <c r="A96" t="s">
        <v>24</v>
      </c>
      <c r="B96" t="s">
        <v>185</v>
      </c>
      <c r="C96">
        <v>173</v>
      </c>
      <c r="D96">
        <v>0</v>
      </c>
      <c r="E96">
        <v>0</v>
      </c>
      <c r="F96">
        <v>0</v>
      </c>
      <c r="G96">
        <v>1</v>
      </c>
      <c r="H96">
        <v>26</v>
      </c>
      <c r="I96">
        <v>5</v>
      </c>
      <c r="J96">
        <v>15</v>
      </c>
      <c r="K96">
        <v>7</v>
      </c>
      <c r="L96">
        <v>2</v>
      </c>
      <c r="M96">
        <v>12</v>
      </c>
      <c r="N96">
        <v>18</v>
      </c>
      <c r="O96">
        <v>10</v>
      </c>
      <c r="P96">
        <v>8</v>
      </c>
      <c r="Q96">
        <v>5</v>
      </c>
      <c r="R96">
        <v>6</v>
      </c>
      <c r="S96">
        <v>9</v>
      </c>
      <c r="T96">
        <v>7</v>
      </c>
      <c r="U96">
        <v>7</v>
      </c>
      <c r="V96">
        <v>4</v>
      </c>
      <c r="W96">
        <v>6</v>
      </c>
      <c r="X96">
        <v>3</v>
      </c>
      <c r="Y96">
        <v>1</v>
      </c>
      <c r="Z96">
        <v>2</v>
      </c>
      <c r="AA96">
        <v>5</v>
      </c>
      <c r="AB96">
        <v>3</v>
      </c>
      <c r="AC96">
        <v>4</v>
      </c>
      <c r="AD96">
        <v>7</v>
      </c>
      <c r="AE96">
        <v>0</v>
      </c>
    </row>
    <row r="97" spans="1:31" x14ac:dyDescent="0.3">
      <c r="A97" t="s">
        <v>50</v>
      </c>
      <c r="B97" t="s">
        <v>179</v>
      </c>
      <c r="C97">
        <v>171</v>
      </c>
      <c r="D97">
        <v>4</v>
      </c>
      <c r="E97">
        <v>8</v>
      </c>
      <c r="F97">
        <v>11</v>
      </c>
      <c r="G97">
        <v>5</v>
      </c>
      <c r="H97">
        <v>6</v>
      </c>
      <c r="I97">
        <v>6</v>
      </c>
      <c r="J97">
        <v>6</v>
      </c>
      <c r="K97">
        <v>6</v>
      </c>
      <c r="L97">
        <v>1</v>
      </c>
      <c r="M97">
        <v>1</v>
      </c>
      <c r="N97">
        <v>9</v>
      </c>
      <c r="O97">
        <v>5</v>
      </c>
      <c r="P97">
        <v>5</v>
      </c>
      <c r="Q97">
        <v>5</v>
      </c>
      <c r="R97">
        <v>8</v>
      </c>
      <c r="S97">
        <v>6</v>
      </c>
      <c r="T97">
        <v>6</v>
      </c>
      <c r="U97">
        <v>8</v>
      </c>
      <c r="V97">
        <v>1</v>
      </c>
      <c r="W97">
        <v>0</v>
      </c>
      <c r="X97">
        <v>4</v>
      </c>
      <c r="Y97">
        <v>4</v>
      </c>
      <c r="Z97">
        <v>1</v>
      </c>
      <c r="AA97">
        <v>4</v>
      </c>
      <c r="AB97">
        <v>4</v>
      </c>
      <c r="AC97">
        <v>4</v>
      </c>
      <c r="AD97">
        <v>1</v>
      </c>
      <c r="AE97">
        <v>0</v>
      </c>
    </row>
    <row r="98" spans="1:31" x14ac:dyDescent="0.3">
      <c r="A98" t="s">
        <v>126</v>
      </c>
      <c r="B98" t="s">
        <v>196</v>
      </c>
      <c r="C98">
        <v>170</v>
      </c>
      <c r="D98">
        <v>7</v>
      </c>
      <c r="E98">
        <v>6</v>
      </c>
      <c r="F98">
        <v>11</v>
      </c>
      <c r="G98">
        <v>5</v>
      </c>
      <c r="H98">
        <v>5</v>
      </c>
      <c r="I98">
        <v>6</v>
      </c>
      <c r="J98">
        <v>7</v>
      </c>
      <c r="K98">
        <v>1</v>
      </c>
      <c r="L98">
        <v>6</v>
      </c>
      <c r="M98">
        <v>2</v>
      </c>
      <c r="N98">
        <v>9</v>
      </c>
      <c r="O98">
        <v>7</v>
      </c>
      <c r="P98">
        <v>2</v>
      </c>
      <c r="Q98">
        <v>5</v>
      </c>
      <c r="R98">
        <v>8</v>
      </c>
      <c r="S98">
        <v>6</v>
      </c>
      <c r="T98">
        <v>5</v>
      </c>
      <c r="U98">
        <v>5</v>
      </c>
      <c r="V98">
        <v>8</v>
      </c>
      <c r="W98">
        <v>4</v>
      </c>
      <c r="X98">
        <v>0</v>
      </c>
      <c r="Y98">
        <v>0</v>
      </c>
      <c r="Z98">
        <v>3</v>
      </c>
      <c r="AA98">
        <v>2</v>
      </c>
      <c r="AB98">
        <v>2</v>
      </c>
      <c r="AC98">
        <v>1</v>
      </c>
      <c r="AD98">
        <v>1</v>
      </c>
      <c r="AE98">
        <v>0</v>
      </c>
    </row>
    <row r="99" spans="1:31" x14ac:dyDescent="0.3">
      <c r="A99" t="s">
        <v>18</v>
      </c>
      <c r="B99" t="s">
        <v>185</v>
      </c>
      <c r="C99">
        <v>170</v>
      </c>
      <c r="D99">
        <v>0</v>
      </c>
      <c r="E99">
        <v>0</v>
      </c>
      <c r="F99">
        <v>0</v>
      </c>
      <c r="G99">
        <v>1</v>
      </c>
      <c r="H99">
        <v>28</v>
      </c>
      <c r="I99">
        <v>5</v>
      </c>
      <c r="J99">
        <v>9</v>
      </c>
      <c r="K99">
        <v>5</v>
      </c>
      <c r="L99">
        <v>11</v>
      </c>
      <c r="M99">
        <v>11</v>
      </c>
      <c r="N99">
        <v>10</v>
      </c>
      <c r="O99">
        <v>4</v>
      </c>
      <c r="P99">
        <v>10</v>
      </c>
      <c r="Q99">
        <v>5</v>
      </c>
      <c r="R99">
        <v>14</v>
      </c>
      <c r="S99">
        <v>4</v>
      </c>
      <c r="T99">
        <v>10</v>
      </c>
      <c r="U99">
        <v>6</v>
      </c>
      <c r="V99">
        <v>5</v>
      </c>
      <c r="W99">
        <v>4</v>
      </c>
      <c r="X99">
        <v>10</v>
      </c>
      <c r="Y99">
        <v>2</v>
      </c>
      <c r="Z99">
        <v>4</v>
      </c>
      <c r="AA99">
        <v>2</v>
      </c>
      <c r="AB99">
        <v>2</v>
      </c>
      <c r="AC99">
        <v>6</v>
      </c>
      <c r="AD99">
        <v>2</v>
      </c>
      <c r="AE99">
        <v>0</v>
      </c>
    </row>
    <row r="100" spans="1:31" x14ac:dyDescent="0.3">
      <c r="A100" t="s">
        <v>20</v>
      </c>
      <c r="B100" t="s">
        <v>185</v>
      </c>
      <c r="C100">
        <v>170</v>
      </c>
      <c r="D100">
        <v>0</v>
      </c>
      <c r="E100">
        <v>0</v>
      </c>
      <c r="F100">
        <v>0</v>
      </c>
      <c r="G100">
        <v>1</v>
      </c>
      <c r="H100">
        <v>12</v>
      </c>
      <c r="I100">
        <v>9</v>
      </c>
      <c r="J100">
        <v>10</v>
      </c>
      <c r="K100">
        <v>12</v>
      </c>
      <c r="L100">
        <v>6</v>
      </c>
      <c r="M100">
        <v>7</v>
      </c>
      <c r="N100">
        <v>8</v>
      </c>
      <c r="O100">
        <v>8</v>
      </c>
      <c r="P100">
        <v>10</v>
      </c>
      <c r="Q100">
        <v>12</v>
      </c>
      <c r="R100">
        <v>7</v>
      </c>
      <c r="S100">
        <v>11</v>
      </c>
      <c r="T100">
        <v>9</v>
      </c>
      <c r="U100">
        <v>4</v>
      </c>
      <c r="V100">
        <v>10</v>
      </c>
      <c r="W100">
        <v>6</v>
      </c>
      <c r="X100">
        <v>0</v>
      </c>
      <c r="Y100">
        <v>1</v>
      </c>
      <c r="Z100">
        <v>5</v>
      </c>
      <c r="AA100">
        <v>3</v>
      </c>
      <c r="AB100">
        <v>3</v>
      </c>
      <c r="AC100">
        <v>7</v>
      </c>
      <c r="AD100">
        <v>8</v>
      </c>
      <c r="AE100">
        <v>1</v>
      </c>
    </row>
    <row r="101" spans="1:31" x14ac:dyDescent="0.3">
      <c r="A101" t="s">
        <v>73</v>
      </c>
      <c r="B101" t="s">
        <v>178</v>
      </c>
      <c r="C101">
        <v>167</v>
      </c>
      <c r="D101">
        <v>2</v>
      </c>
      <c r="E101">
        <v>4</v>
      </c>
      <c r="F101">
        <v>11</v>
      </c>
      <c r="G101">
        <v>7</v>
      </c>
      <c r="H101">
        <v>5</v>
      </c>
      <c r="I101">
        <v>4</v>
      </c>
      <c r="J101">
        <v>8</v>
      </c>
      <c r="K101">
        <v>4</v>
      </c>
      <c r="L101">
        <v>5</v>
      </c>
      <c r="M101">
        <v>0</v>
      </c>
      <c r="N101">
        <v>8</v>
      </c>
      <c r="O101">
        <v>4</v>
      </c>
      <c r="P101">
        <v>4</v>
      </c>
      <c r="Q101">
        <v>8</v>
      </c>
      <c r="R101">
        <v>6</v>
      </c>
      <c r="S101">
        <v>7</v>
      </c>
      <c r="T101">
        <v>5</v>
      </c>
      <c r="U101">
        <v>5</v>
      </c>
      <c r="V101">
        <v>1</v>
      </c>
      <c r="W101">
        <v>2</v>
      </c>
      <c r="X101">
        <v>2</v>
      </c>
      <c r="Y101">
        <v>6</v>
      </c>
      <c r="Z101">
        <v>2</v>
      </c>
      <c r="AA101">
        <v>5</v>
      </c>
      <c r="AB101">
        <v>3</v>
      </c>
      <c r="AC101">
        <v>6</v>
      </c>
      <c r="AD101">
        <v>1</v>
      </c>
      <c r="AE101">
        <v>0</v>
      </c>
    </row>
    <row r="102" spans="1:31" x14ac:dyDescent="0.3">
      <c r="A102" t="s">
        <v>148</v>
      </c>
      <c r="B102" t="s">
        <v>185</v>
      </c>
      <c r="C102">
        <v>164</v>
      </c>
      <c r="D102">
        <v>19</v>
      </c>
      <c r="E102">
        <v>14</v>
      </c>
      <c r="F102">
        <v>12</v>
      </c>
      <c r="G102">
        <v>13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3">
      <c r="A103" t="s">
        <v>79</v>
      </c>
      <c r="B103" t="s">
        <v>193</v>
      </c>
      <c r="C103">
        <v>162</v>
      </c>
      <c r="D103">
        <v>9</v>
      </c>
      <c r="E103">
        <v>6</v>
      </c>
      <c r="F103">
        <v>7</v>
      </c>
      <c r="G103">
        <v>7</v>
      </c>
      <c r="H103">
        <v>5</v>
      </c>
      <c r="I103">
        <v>4</v>
      </c>
      <c r="J103">
        <v>10</v>
      </c>
      <c r="K103">
        <v>5</v>
      </c>
      <c r="L103">
        <v>6</v>
      </c>
      <c r="M103">
        <v>7</v>
      </c>
      <c r="N103">
        <v>7</v>
      </c>
      <c r="O103">
        <v>2</v>
      </c>
      <c r="P103">
        <v>3</v>
      </c>
      <c r="Q103">
        <v>4</v>
      </c>
      <c r="R103">
        <v>9</v>
      </c>
      <c r="S103">
        <v>2</v>
      </c>
      <c r="T103">
        <v>6</v>
      </c>
      <c r="U103">
        <v>6</v>
      </c>
      <c r="V103">
        <v>3</v>
      </c>
      <c r="W103">
        <v>2</v>
      </c>
      <c r="X103">
        <v>2</v>
      </c>
      <c r="Y103">
        <v>2</v>
      </c>
      <c r="Z103">
        <v>1</v>
      </c>
      <c r="AA103">
        <v>1</v>
      </c>
      <c r="AB103">
        <v>2</v>
      </c>
      <c r="AC103">
        <v>6</v>
      </c>
      <c r="AD103">
        <v>2</v>
      </c>
      <c r="AE103">
        <v>0</v>
      </c>
    </row>
    <row r="104" spans="1:31" x14ac:dyDescent="0.3">
      <c r="A104" t="s">
        <v>31</v>
      </c>
      <c r="B104" t="s">
        <v>183</v>
      </c>
      <c r="C104">
        <v>152</v>
      </c>
      <c r="D104">
        <v>5</v>
      </c>
      <c r="E104">
        <v>3</v>
      </c>
      <c r="F104">
        <v>8</v>
      </c>
      <c r="G104">
        <v>6</v>
      </c>
      <c r="H104">
        <v>3</v>
      </c>
      <c r="I104">
        <v>2</v>
      </c>
      <c r="J104">
        <v>10</v>
      </c>
      <c r="K104">
        <v>4</v>
      </c>
      <c r="L104">
        <v>2</v>
      </c>
      <c r="M104">
        <v>1</v>
      </c>
      <c r="N104">
        <v>8</v>
      </c>
      <c r="O104">
        <v>7</v>
      </c>
      <c r="P104">
        <v>7</v>
      </c>
      <c r="Q104">
        <v>4</v>
      </c>
      <c r="R104">
        <v>4</v>
      </c>
      <c r="S104">
        <v>4</v>
      </c>
      <c r="T104">
        <v>3</v>
      </c>
      <c r="U104">
        <v>3</v>
      </c>
      <c r="V104">
        <v>4</v>
      </c>
      <c r="W104">
        <v>2</v>
      </c>
      <c r="X104">
        <v>3</v>
      </c>
      <c r="Y104">
        <v>1</v>
      </c>
      <c r="Z104">
        <v>4</v>
      </c>
      <c r="AA104">
        <v>2</v>
      </c>
      <c r="AB104">
        <v>2</v>
      </c>
      <c r="AC104">
        <v>2</v>
      </c>
      <c r="AD104">
        <v>0</v>
      </c>
      <c r="AE104">
        <v>0</v>
      </c>
    </row>
    <row r="105" spans="1:31" x14ac:dyDescent="0.3">
      <c r="A105" t="s">
        <v>54</v>
      </c>
      <c r="B105" t="s">
        <v>190</v>
      </c>
      <c r="C105">
        <v>148</v>
      </c>
      <c r="D105">
        <v>6</v>
      </c>
      <c r="E105">
        <v>4</v>
      </c>
      <c r="F105">
        <v>5</v>
      </c>
      <c r="G105">
        <v>5</v>
      </c>
      <c r="H105">
        <v>6</v>
      </c>
      <c r="I105">
        <v>6</v>
      </c>
      <c r="J105">
        <v>10</v>
      </c>
      <c r="K105">
        <v>5</v>
      </c>
      <c r="L105">
        <v>6</v>
      </c>
      <c r="M105">
        <v>6</v>
      </c>
      <c r="N105">
        <v>6</v>
      </c>
      <c r="O105">
        <v>9</v>
      </c>
      <c r="P105">
        <v>6</v>
      </c>
      <c r="Q105">
        <v>9</v>
      </c>
      <c r="R105">
        <v>2</v>
      </c>
      <c r="S105">
        <v>5</v>
      </c>
      <c r="T105">
        <v>2</v>
      </c>
      <c r="U105">
        <v>5</v>
      </c>
      <c r="V105">
        <v>2</v>
      </c>
      <c r="W105">
        <v>5</v>
      </c>
      <c r="X105">
        <v>2</v>
      </c>
      <c r="Y105">
        <v>4</v>
      </c>
      <c r="Z105">
        <v>4</v>
      </c>
      <c r="AA105">
        <v>3</v>
      </c>
      <c r="AB105">
        <v>2</v>
      </c>
      <c r="AC105">
        <v>4</v>
      </c>
      <c r="AD105">
        <v>3</v>
      </c>
      <c r="AE105">
        <v>0</v>
      </c>
    </row>
    <row r="106" spans="1:31" x14ac:dyDescent="0.3">
      <c r="A106" t="s">
        <v>63</v>
      </c>
      <c r="B106" t="s">
        <v>185</v>
      </c>
      <c r="C106">
        <v>147</v>
      </c>
      <c r="D106">
        <v>0</v>
      </c>
      <c r="E106">
        <v>0</v>
      </c>
      <c r="F106">
        <v>0</v>
      </c>
      <c r="G106">
        <v>2</v>
      </c>
      <c r="H106">
        <v>27</v>
      </c>
      <c r="I106">
        <v>12</v>
      </c>
      <c r="J106">
        <v>10</v>
      </c>
      <c r="K106">
        <v>6</v>
      </c>
      <c r="L106">
        <v>2</v>
      </c>
      <c r="M106">
        <v>8</v>
      </c>
      <c r="N106">
        <v>18</v>
      </c>
      <c r="O106">
        <v>1</v>
      </c>
      <c r="P106">
        <v>7</v>
      </c>
      <c r="Q106">
        <v>4</v>
      </c>
      <c r="R106">
        <v>8</v>
      </c>
      <c r="S106">
        <v>7</v>
      </c>
      <c r="T106">
        <v>9</v>
      </c>
      <c r="U106">
        <v>6</v>
      </c>
      <c r="V106">
        <v>5</v>
      </c>
      <c r="W106">
        <v>5</v>
      </c>
      <c r="X106">
        <v>0</v>
      </c>
      <c r="Y106">
        <v>1</v>
      </c>
      <c r="Z106">
        <v>2</v>
      </c>
      <c r="AA106">
        <v>3</v>
      </c>
      <c r="AB106">
        <v>2</v>
      </c>
      <c r="AC106">
        <v>1</v>
      </c>
      <c r="AD106">
        <v>0</v>
      </c>
      <c r="AE106">
        <v>1</v>
      </c>
    </row>
    <row r="107" spans="1:31" x14ac:dyDescent="0.3">
      <c r="A107" t="s">
        <v>56</v>
      </c>
      <c r="B107" t="s">
        <v>195</v>
      </c>
      <c r="C107">
        <v>145</v>
      </c>
      <c r="D107">
        <v>3</v>
      </c>
      <c r="E107">
        <v>8</v>
      </c>
      <c r="F107">
        <v>7</v>
      </c>
      <c r="G107">
        <v>5</v>
      </c>
      <c r="H107">
        <v>3</v>
      </c>
      <c r="I107">
        <v>5</v>
      </c>
      <c r="J107">
        <v>10</v>
      </c>
      <c r="K107">
        <v>5</v>
      </c>
      <c r="L107">
        <v>3</v>
      </c>
      <c r="M107">
        <v>9</v>
      </c>
      <c r="N107">
        <v>6</v>
      </c>
      <c r="O107">
        <v>5</v>
      </c>
      <c r="P107">
        <v>4</v>
      </c>
      <c r="Q107">
        <v>5</v>
      </c>
      <c r="R107">
        <v>10</v>
      </c>
      <c r="S107">
        <v>6</v>
      </c>
      <c r="T107">
        <v>8</v>
      </c>
      <c r="U107">
        <v>2</v>
      </c>
      <c r="V107">
        <v>5</v>
      </c>
      <c r="W107">
        <v>5</v>
      </c>
      <c r="X107">
        <v>4</v>
      </c>
      <c r="Y107">
        <v>3</v>
      </c>
      <c r="Z107">
        <v>3</v>
      </c>
      <c r="AA107">
        <v>3</v>
      </c>
      <c r="AB107">
        <v>2</v>
      </c>
      <c r="AC107">
        <v>1</v>
      </c>
      <c r="AD107">
        <v>0</v>
      </c>
      <c r="AE107">
        <v>0</v>
      </c>
    </row>
    <row r="108" spans="1:31" x14ac:dyDescent="0.3">
      <c r="A108" t="s">
        <v>69</v>
      </c>
      <c r="B108" t="s">
        <v>204</v>
      </c>
      <c r="C108">
        <v>139</v>
      </c>
      <c r="D108">
        <v>7</v>
      </c>
      <c r="E108">
        <v>8</v>
      </c>
      <c r="F108">
        <v>8</v>
      </c>
      <c r="G108">
        <v>4</v>
      </c>
      <c r="H108">
        <v>6</v>
      </c>
      <c r="I108">
        <v>5</v>
      </c>
      <c r="J108">
        <v>2</v>
      </c>
      <c r="K108">
        <v>2</v>
      </c>
      <c r="L108">
        <v>3</v>
      </c>
      <c r="M108">
        <v>4</v>
      </c>
      <c r="N108">
        <v>7</v>
      </c>
      <c r="O108">
        <v>4</v>
      </c>
      <c r="P108">
        <v>3</v>
      </c>
      <c r="Q108">
        <v>2</v>
      </c>
      <c r="R108">
        <v>6</v>
      </c>
      <c r="S108">
        <v>4</v>
      </c>
      <c r="T108">
        <v>8</v>
      </c>
      <c r="U108">
        <v>2</v>
      </c>
      <c r="V108">
        <v>2</v>
      </c>
      <c r="W108">
        <v>0</v>
      </c>
      <c r="X108">
        <v>4</v>
      </c>
      <c r="Y108">
        <v>1</v>
      </c>
      <c r="Z108">
        <v>2</v>
      </c>
      <c r="AA108">
        <v>0</v>
      </c>
      <c r="AB108">
        <v>1</v>
      </c>
      <c r="AC108">
        <v>1</v>
      </c>
      <c r="AD108">
        <v>1</v>
      </c>
      <c r="AE108">
        <v>0</v>
      </c>
    </row>
    <row r="109" spans="1:31" x14ac:dyDescent="0.3">
      <c r="A109" t="s">
        <v>74</v>
      </c>
      <c r="B109" t="s">
        <v>189</v>
      </c>
      <c r="C109">
        <v>139</v>
      </c>
      <c r="D109">
        <v>4</v>
      </c>
      <c r="E109">
        <v>3</v>
      </c>
      <c r="F109">
        <v>8</v>
      </c>
      <c r="G109">
        <v>5</v>
      </c>
      <c r="H109">
        <v>2</v>
      </c>
      <c r="I109">
        <v>7</v>
      </c>
      <c r="J109">
        <v>4</v>
      </c>
      <c r="K109">
        <v>4</v>
      </c>
      <c r="L109">
        <v>5</v>
      </c>
      <c r="M109">
        <v>2</v>
      </c>
      <c r="N109">
        <v>8</v>
      </c>
      <c r="O109">
        <v>5</v>
      </c>
      <c r="P109">
        <v>3</v>
      </c>
      <c r="Q109">
        <v>4</v>
      </c>
      <c r="R109">
        <v>3</v>
      </c>
      <c r="S109">
        <v>5</v>
      </c>
      <c r="T109">
        <v>2</v>
      </c>
      <c r="U109">
        <v>5</v>
      </c>
      <c r="V109">
        <v>1</v>
      </c>
      <c r="W109">
        <v>4</v>
      </c>
      <c r="X109">
        <v>3</v>
      </c>
      <c r="Y109">
        <v>3</v>
      </c>
      <c r="Z109">
        <v>3</v>
      </c>
      <c r="AA109">
        <v>4</v>
      </c>
      <c r="AB109">
        <v>2</v>
      </c>
      <c r="AC109">
        <v>3</v>
      </c>
      <c r="AD109">
        <v>1</v>
      </c>
      <c r="AE109">
        <v>0</v>
      </c>
    </row>
    <row r="110" spans="1:31" x14ac:dyDescent="0.3">
      <c r="A110" t="s">
        <v>61</v>
      </c>
      <c r="B110" t="s">
        <v>191</v>
      </c>
      <c r="C110">
        <v>139</v>
      </c>
      <c r="D110">
        <v>7</v>
      </c>
      <c r="E110">
        <v>4</v>
      </c>
      <c r="F110">
        <v>5</v>
      </c>
      <c r="G110">
        <v>10</v>
      </c>
      <c r="H110">
        <v>2</v>
      </c>
      <c r="I110">
        <v>3</v>
      </c>
      <c r="J110">
        <v>8</v>
      </c>
      <c r="K110">
        <v>5</v>
      </c>
      <c r="L110">
        <v>8</v>
      </c>
      <c r="M110">
        <v>7</v>
      </c>
      <c r="N110">
        <v>8</v>
      </c>
      <c r="O110">
        <v>4</v>
      </c>
      <c r="P110">
        <v>4</v>
      </c>
      <c r="Q110">
        <v>2</v>
      </c>
      <c r="R110">
        <v>5</v>
      </c>
      <c r="S110">
        <v>5</v>
      </c>
      <c r="T110">
        <v>2</v>
      </c>
      <c r="U110">
        <v>1</v>
      </c>
      <c r="V110">
        <v>4</v>
      </c>
      <c r="W110">
        <v>1</v>
      </c>
      <c r="X110">
        <v>0</v>
      </c>
      <c r="Y110">
        <v>0</v>
      </c>
      <c r="Z110">
        <v>1</v>
      </c>
      <c r="AA110">
        <v>2</v>
      </c>
      <c r="AB110">
        <v>4</v>
      </c>
      <c r="AC110">
        <v>3</v>
      </c>
      <c r="AD110">
        <v>0</v>
      </c>
      <c r="AE110">
        <v>0</v>
      </c>
    </row>
    <row r="111" spans="1:31" x14ac:dyDescent="0.3">
      <c r="A111" t="s">
        <v>40</v>
      </c>
      <c r="B111" t="s">
        <v>200</v>
      </c>
      <c r="C111">
        <v>136</v>
      </c>
      <c r="D111">
        <v>8</v>
      </c>
      <c r="E111">
        <v>7</v>
      </c>
      <c r="F111">
        <v>3</v>
      </c>
      <c r="G111">
        <v>5</v>
      </c>
      <c r="H111">
        <v>6</v>
      </c>
      <c r="I111">
        <v>3</v>
      </c>
      <c r="J111">
        <v>6</v>
      </c>
      <c r="K111">
        <v>5</v>
      </c>
      <c r="L111">
        <v>5</v>
      </c>
      <c r="M111">
        <v>5</v>
      </c>
      <c r="N111">
        <v>9</v>
      </c>
      <c r="O111">
        <v>5</v>
      </c>
      <c r="P111">
        <v>6</v>
      </c>
      <c r="Q111">
        <v>1</v>
      </c>
      <c r="R111">
        <v>7</v>
      </c>
      <c r="S111">
        <v>9</v>
      </c>
      <c r="T111">
        <v>3</v>
      </c>
      <c r="U111">
        <v>3</v>
      </c>
      <c r="V111">
        <v>4</v>
      </c>
      <c r="W111">
        <v>7</v>
      </c>
      <c r="X111">
        <v>3</v>
      </c>
      <c r="Y111">
        <v>3</v>
      </c>
      <c r="Z111">
        <v>2</v>
      </c>
      <c r="AA111">
        <v>2</v>
      </c>
      <c r="AB111">
        <v>0</v>
      </c>
      <c r="AC111">
        <v>3</v>
      </c>
      <c r="AD111">
        <v>4</v>
      </c>
      <c r="AE111">
        <v>0</v>
      </c>
    </row>
    <row r="112" spans="1:31" x14ac:dyDescent="0.3">
      <c r="A112" t="s">
        <v>131</v>
      </c>
      <c r="B112" t="s">
        <v>195</v>
      </c>
      <c r="C112">
        <v>132</v>
      </c>
      <c r="D112">
        <v>14</v>
      </c>
      <c r="E112">
        <v>4</v>
      </c>
      <c r="F112">
        <v>8</v>
      </c>
      <c r="G112">
        <v>2</v>
      </c>
      <c r="H112">
        <v>5</v>
      </c>
      <c r="I112">
        <v>5</v>
      </c>
      <c r="J112">
        <v>10</v>
      </c>
      <c r="K112">
        <v>3</v>
      </c>
      <c r="L112">
        <v>5</v>
      </c>
      <c r="M112">
        <v>4</v>
      </c>
      <c r="N112">
        <v>2</v>
      </c>
      <c r="O112">
        <v>3</v>
      </c>
      <c r="P112">
        <v>3</v>
      </c>
      <c r="Q112">
        <v>3</v>
      </c>
      <c r="R112">
        <v>4</v>
      </c>
      <c r="S112">
        <v>4</v>
      </c>
      <c r="T112">
        <v>3</v>
      </c>
      <c r="U112">
        <v>1</v>
      </c>
      <c r="V112">
        <v>0</v>
      </c>
      <c r="W112">
        <v>1</v>
      </c>
      <c r="X112">
        <v>2</v>
      </c>
      <c r="Y112">
        <v>2</v>
      </c>
      <c r="Z112">
        <v>2</v>
      </c>
      <c r="AA112">
        <v>1</v>
      </c>
      <c r="AB112">
        <v>1</v>
      </c>
      <c r="AC112">
        <v>0</v>
      </c>
      <c r="AD112">
        <v>0</v>
      </c>
      <c r="AE112">
        <v>0</v>
      </c>
    </row>
    <row r="113" spans="1:31" x14ac:dyDescent="0.3">
      <c r="A113" t="s">
        <v>62</v>
      </c>
      <c r="B113" t="s">
        <v>192</v>
      </c>
      <c r="C113">
        <v>132</v>
      </c>
      <c r="D113">
        <v>9</v>
      </c>
      <c r="E113">
        <v>4</v>
      </c>
      <c r="F113">
        <v>4</v>
      </c>
      <c r="G113">
        <v>9</v>
      </c>
      <c r="H113">
        <v>5</v>
      </c>
      <c r="I113">
        <v>6</v>
      </c>
      <c r="J113">
        <v>8</v>
      </c>
      <c r="K113">
        <v>4</v>
      </c>
      <c r="L113">
        <v>4</v>
      </c>
      <c r="M113">
        <v>6</v>
      </c>
      <c r="N113">
        <v>7</v>
      </c>
      <c r="O113">
        <v>4</v>
      </c>
      <c r="P113">
        <v>5</v>
      </c>
      <c r="Q113">
        <v>6</v>
      </c>
      <c r="R113">
        <v>4</v>
      </c>
      <c r="S113">
        <v>2</v>
      </c>
      <c r="T113">
        <v>2</v>
      </c>
      <c r="U113">
        <v>4</v>
      </c>
      <c r="V113">
        <v>5</v>
      </c>
      <c r="W113">
        <v>2</v>
      </c>
      <c r="X113">
        <v>3</v>
      </c>
      <c r="Y113">
        <v>2</v>
      </c>
      <c r="Z113">
        <v>3</v>
      </c>
      <c r="AA113">
        <v>1</v>
      </c>
      <c r="AB113">
        <v>3</v>
      </c>
      <c r="AC113">
        <v>2</v>
      </c>
      <c r="AD113">
        <v>4</v>
      </c>
      <c r="AE113">
        <v>0</v>
      </c>
    </row>
    <row r="114" spans="1:31" x14ac:dyDescent="0.3">
      <c r="A114" t="s">
        <v>135</v>
      </c>
      <c r="B114" t="s">
        <v>180</v>
      </c>
      <c r="C114">
        <v>129</v>
      </c>
      <c r="D114">
        <v>9</v>
      </c>
      <c r="E114">
        <v>8</v>
      </c>
      <c r="F114">
        <v>6</v>
      </c>
      <c r="G114">
        <v>3</v>
      </c>
      <c r="H114">
        <v>2</v>
      </c>
      <c r="I114">
        <v>3</v>
      </c>
      <c r="J114">
        <v>9</v>
      </c>
      <c r="K114">
        <v>3</v>
      </c>
      <c r="L114">
        <v>4</v>
      </c>
      <c r="M114">
        <v>5</v>
      </c>
      <c r="N114">
        <v>3</v>
      </c>
      <c r="O114">
        <v>2</v>
      </c>
      <c r="P114">
        <v>1</v>
      </c>
      <c r="Q114">
        <v>3</v>
      </c>
      <c r="R114">
        <v>6</v>
      </c>
      <c r="S114">
        <v>6</v>
      </c>
      <c r="T114">
        <v>1</v>
      </c>
      <c r="U114">
        <v>0</v>
      </c>
      <c r="V114">
        <v>2</v>
      </c>
      <c r="W114">
        <v>1</v>
      </c>
      <c r="X114">
        <v>1</v>
      </c>
      <c r="Y114">
        <v>1</v>
      </c>
      <c r="Z114">
        <v>1</v>
      </c>
      <c r="AA114">
        <v>2</v>
      </c>
      <c r="AB114">
        <v>0</v>
      </c>
      <c r="AC114">
        <v>0</v>
      </c>
      <c r="AD114">
        <v>1</v>
      </c>
      <c r="AE114">
        <v>0</v>
      </c>
    </row>
    <row r="115" spans="1:31" x14ac:dyDescent="0.3">
      <c r="A115" t="s">
        <v>122</v>
      </c>
      <c r="B115" t="s">
        <v>205</v>
      </c>
      <c r="C115">
        <v>129</v>
      </c>
      <c r="D115">
        <v>4</v>
      </c>
      <c r="E115">
        <v>8</v>
      </c>
      <c r="F115">
        <v>3</v>
      </c>
      <c r="G115">
        <v>6</v>
      </c>
      <c r="H115">
        <v>3</v>
      </c>
      <c r="I115">
        <v>3</v>
      </c>
      <c r="J115">
        <v>2</v>
      </c>
      <c r="K115">
        <v>4</v>
      </c>
      <c r="L115">
        <v>2</v>
      </c>
      <c r="M115">
        <v>3</v>
      </c>
      <c r="N115">
        <v>5</v>
      </c>
      <c r="O115">
        <v>2</v>
      </c>
      <c r="P115">
        <v>4</v>
      </c>
      <c r="Q115">
        <v>3</v>
      </c>
      <c r="R115">
        <v>7</v>
      </c>
      <c r="S115">
        <v>2</v>
      </c>
      <c r="T115">
        <v>4</v>
      </c>
      <c r="U115">
        <v>0</v>
      </c>
      <c r="V115">
        <v>4</v>
      </c>
      <c r="W115">
        <v>0</v>
      </c>
      <c r="X115">
        <v>1</v>
      </c>
      <c r="Y115">
        <v>4</v>
      </c>
      <c r="Z115">
        <v>1</v>
      </c>
      <c r="AA115">
        <v>1</v>
      </c>
      <c r="AB115">
        <v>3</v>
      </c>
      <c r="AC115">
        <v>3</v>
      </c>
      <c r="AD115">
        <v>1</v>
      </c>
      <c r="AE115">
        <v>0</v>
      </c>
    </row>
    <row r="116" spans="1:31" x14ac:dyDescent="0.3">
      <c r="A116" t="s">
        <v>66</v>
      </c>
      <c r="B116" t="s">
        <v>206</v>
      </c>
      <c r="C116">
        <v>124</v>
      </c>
      <c r="D116">
        <v>5</v>
      </c>
      <c r="E116">
        <v>5</v>
      </c>
      <c r="F116">
        <v>9</v>
      </c>
      <c r="G116">
        <v>6</v>
      </c>
      <c r="H116">
        <v>8</v>
      </c>
      <c r="I116">
        <v>3</v>
      </c>
      <c r="J116">
        <v>5</v>
      </c>
      <c r="K116">
        <v>2</v>
      </c>
      <c r="L116">
        <v>2</v>
      </c>
      <c r="M116">
        <v>3</v>
      </c>
      <c r="N116">
        <v>5</v>
      </c>
      <c r="O116">
        <v>4</v>
      </c>
      <c r="P116">
        <v>3</v>
      </c>
      <c r="Q116">
        <v>2</v>
      </c>
      <c r="R116">
        <v>3</v>
      </c>
      <c r="S116">
        <v>2</v>
      </c>
      <c r="T116">
        <v>8</v>
      </c>
      <c r="U116">
        <v>2</v>
      </c>
      <c r="V116">
        <v>3</v>
      </c>
      <c r="W116">
        <v>1</v>
      </c>
      <c r="X116">
        <v>0</v>
      </c>
      <c r="Y116">
        <v>1</v>
      </c>
      <c r="Z116">
        <v>3</v>
      </c>
      <c r="AA116">
        <v>0</v>
      </c>
      <c r="AB116">
        <v>3</v>
      </c>
      <c r="AC116">
        <v>2</v>
      </c>
      <c r="AD116">
        <v>1</v>
      </c>
      <c r="AE116">
        <v>0</v>
      </c>
    </row>
    <row r="117" spans="1:31" x14ac:dyDescent="0.3">
      <c r="A117" t="s">
        <v>121</v>
      </c>
      <c r="B117" t="s">
        <v>197</v>
      </c>
      <c r="C117">
        <v>124</v>
      </c>
      <c r="D117">
        <v>4</v>
      </c>
      <c r="E117">
        <v>7</v>
      </c>
      <c r="F117">
        <v>4</v>
      </c>
      <c r="G117">
        <v>4</v>
      </c>
      <c r="H117">
        <v>2</v>
      </c>
      <c r="I117">
        <v>5</v>
      </c>
      <c r="J117">
        <v>1</v>
      </c>
      <c r="K117">
        <v>4</v>
      </c>
      <c r="L117">
        <v>8</v>
      </c>
      <c r="M117">
        <v>2</v>
      </c>
      <c r="N117">
        <v>9</v>
      </c>
      <c r="O117">
        <v>6</v>
      </c>
      <c r="P117">
        <v>1</v>
      </c>
      <c r="Q117">
        <v>4</v>
      </c>
      <c r="R117">
        <v>1</v>
      </c>
      <c r="S117">
        <v>4</v>
      </c>
      <c r="T117">
        <v>1</v>
      </c>
      <c r="U117">
        <v>3</v>
      </c>
      <c r="V117">
        <v>1</v>
      </c>
      <c r="W117">
        <v>3</v>
      </c>
      <c r="X117">
        <v>0</v>
      </c>
      <c r="Y117">
        <v>2</v>
      </c>
      <c r="Z117">
        <v>1</v>
      </c>
      <c r="AA117">
        <v>4</v>
      </c>
      <c r="AB117">
        <v>1</v>
      </c>
      <c r="AC117">
        <v>2</v>
      </c>
      <c r="AD117">
        <v>0</v>
      </c>
      <c r="AE117">
        <v>0</v>
      </c>
    </row>
    <row r="118" spans="1:31" x14ac:dyDescent="0.3">
      <c r="A118" t="s">
        <v>46</v>
      </c>
      <c r="B118" t="s">
        <v>188</v>
      </c>
      <c r="C118">
        <v>124</v>
      </c>
      <c r="D118">
        <v>3</v>
      </c>
      <c r="E118">
        <v>7</v>
      </c>
      <c r="F118">
        <v>2</v>
      </c>
      <c r="G118">
        <v>2</v>
      </c>
      <c r="H118">
        <v>6</v>
      </c>
      <c r="I118">
        <v>7</v>
      </c>
      <c r="J118">
        <v>5</v>
      </c>
      <c r="K118">
        <v>4</v>
      </c>
      <c r="L118">
        <v>4</v>
      </c>
      <c r="M118">
        <v>7</v>
      </c>
      <c r="N118">
        <v>9</v>
      </c>
      <c r="O118">
        <v>5</v>
      </c>
      <c r="P118">
        <v>6</v>
      </c>
      <c r="Q118">
        <v>5</v>
      </c>
      <c r="R118">
        <v>4</v>
      </c>
      <c r="S118">
        <v>4</v>
      </c>
      <c r="T118">
        <v>4</v>
      </c>
      <c r="U118">
        <v>2</v>
      </c>
      <c r="V118">
        <v>3</v>
      </c>
      <c r="W118">
        <v>2</v>
      </c>
      <c r="X118">
        <v>1</v>
      </c>
      <c r="Y118">
        <v>2</v>
      </c>
      <c r="Z118">
        <v>2</v>
      </c>
      <c r="AA118">
        <v>3</v>
      </c>
      <c r="AB118">
        <v>2</v>
      </c>
      <c r="AC118">
        <v>5</v>
      </c>
      <c r="AD118">
        <v>1</v>
      </c>
      <c r="AE118">
        <v>0</v>
      </c>
    </row>
    <row r="119" spans="1:31" x14ac:dyDescent="0.3">
      <c r="A119" t="s">
        <v>68</v>
      </c>
      <c r="B119" t="s">
        <v>207</v>
      </c>
      <c r="C119">
        <v>112</v>
      </c>
      <c r="D119">
        <v>6</v>
      </c>
      <c r="E119">
        <v>6</v>
      </c>
      <c r="F119">
        <v>6</v>
      </c>
      <c r="G119">
        <v>4</v>
      </c>
      <c r="H119">
        <v>6</v>
      </c>
      <c r="I119">
        <v>5</v>
      </c>
      <c r="J119">
        <v>3</v>
      </c>
      <c r="K119">
        <v>3</v>
      </c>
      <c r="L119">
        <v>3</v>
      </c>
      <c r="M119">
        <v>4</v>
      </c>
      <c r="N119">
        <v>5</v>
      </c>
      <c r="O119">
        <v>2</v>
      </c>
      <c r="P119">
        <v>3</v>
      </c>
      <c r="Q119">
        <v>3</v>
      </c>
      <c r="R119">
        <v>3</v>
      </c>
      <c r="S119">
        <v>2</v>
      </c>
      <c r="T119">
        <v>5</v>
      </c>
      <c r="U119">
        <v>1</v>
      </c>
      <c r="V119">
        <v>3</v>
      </c>
      <c r="W119">
        <v>0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0</v>
      </c>
      <c r="AE119">
        <v>0</v>
      </c>
    </row>
    <row r="120" spans="1:31" x14ac:dyDescent="0.3">
      <c r="A120" t="s">
        <v>49</v>
      </c>
      <c r="B120" t="s">
        <v>179</v>
      </c>
      <c r="C120">
        <v>112</v>
      </c>
      <c r="D120">
        <v>5</v>
      </c>
      <c r="E120">
        <v>4</v>
      </c>
      <c r="F120">
        <v>7</v>
      </c>
      <c r="G120">
        <v>5</v>
      </c>
      <c r="H120">
        <v>0</v>
      </c>
      <c r="I120">
        <v>5</v>
      </c>
      <c r="J120">
        <v>3</v>
      </c>
      <c r="K120">
        <v>4</v>
      </c>
      <c r="L120">
        <v>1</v>
      </c>
      <c r="M120">
        <v>1</v>
      </c>
      <c r="N120">
        <v>4</v>
      </c>
      <c r="O120">
        <v>6</v>
      </c>
      <c r="P120">
        <v>5</v>
      </c>
      <c r="Q120">
        <v>5</v>
      </c>
      <c r="R120">
        <v>1</v>
      </c>
      <c r="S120">
        <v>0</v>
      </c>
      <c r="T120">
        <v>5</v>
      </c>
      <c r="U120">
        <v>5</v>
      </c>
      <c r="V120">
        <v>2</v>
      </c>
      <c r="W120">
        <v>3</v>
      </c>
      <c r="X120">
        <v>3</v>
      </c>
      <c r="Y120">
        <v>1</v>
      </c>
      <c r="Z120">
        <v>3</v>
      </c>
      <c r="AA120">
        <v>1</v>
      </c>
      <c r="AB120">
        <v>3</v>
      </c>
      <c r="AC120">
        <v>0</v>
      </c>
      <c r="AD120">
        <v>1</v>
      </c>
      <c r="AE120">
        <v>0</v>
      </c>
    </row>
    <row r="121" spans="1:31" x14ac:dyDescent="0.3">
      <c r="A121" t="s">
        <v>175</v>
      </c>
      <c r="B121" t="s">
        <v>194</v>
      </c>
      <c r="C121">
        <v>110</v>
      </c>
      <c r="D121">
        <v>6</v>
      </c>
      <c r="E121">
        <v>3</v>
      </c>
      <c r="F121">
        <v>3</v>
      </c>
      <c r="G121">
        <v>6</v>
      </c>
      <c r="H121">
        <v>7</v>
      </c>
      <c r="I121">
        <v>8</v>
      </c>
      <c r="J121">
        <v>5</v>
      </c>
      <c r="K121">
        <v>6</v>
      </c>
      <c r="L121">
        <v>5</v>
      </c>
      <c r="M121">
        <v>4</v>
      </c>
      <c r="N121">
        <v>2</v>
      </c>
      <c r="O121">
        <v>3</v>
      </c>
      <c r="P121">
        <v>1</v>
      </c>
      <c r="Q121">
        <v>6</v>
      </c>
      <c r="R121">
        <v>1</v>
      </c>
      <c r="S121">
        <v>5</v>
      </c>
      <c r="T121">
        <v>2</v>
      </c>
      <c r="U121">
        <v>3</v>
      </c>
      <c r="V121">
        <v>2</v>
      </c>
      <c r="W121">
        <v>2</v>
      </c>
      <c r="X121">
        <v>1</v>
      </c>
      <c r="Y121">
        <v>2</v>
      </c>
      <c r="Z121">
        <v>2</v>
      </c>
      <c r="AA121">
        <v>2</v>
      </c>
      <c r="AB121">
        <v>1</v>
      </c>
      <c r="AC121">
        <v>2</v>
      </c>
      <c r="AD121">
        <v>1</v>
      </c>
      <c r="AE121">
        <v>0</v>
      </c>
    </row>
    <row r="122" spans="1:31" x14ac:dyDescent="0.3">
      <c r="A122" t="s">
        <v>70</v>
      </c>
      <c r="B122" t="s">
        <v>208</v>
      </c>
      <c r="C122">
        <v>103</v>
      </c>
      <c r="D122">
        <v>3</v>
      </c>
      <c r="E122">
        <v>9</v>
      </c>
      <c r="F122">
        <v>5</v>
      </c>
      <c r="G122">
        <v>5</v>
      </c>
      <c r="H122">
        <v>4</v>
      </c>
      <c r="I122">
        <v>1</v>
      </c>
      <c r="J122">
        <v>3</v>
      </c>
      <c r="K122">
        <v>3</v>
      </c>
      <c r="L122">
        <v>2</v>
      </c>
      <c r="M122">
        <v>3</v>
      </c>
      <c r="N122">
        <v>4</v>
      </c>
      <c r="O122">
        <v>2</v>
      </c>
      <c r="P122">
        <v>3</v>
      </c>
      <c r="Q122">
        <v>3</v>
      </c>
      <c r="R122">
        <v>4</v>
      </c>
      <c r="S122">
        <v>2</v>
      </c>
      <c r="T122">
        <v>1</v>
      </c>
      <c r="U122">
        <v>2</v>
      </c>
      <c r="V122">
        <v>3</v>
      </c>
      <c r="W122">
        <v>1</v>
      </c>
      <c r="X122">
        <v>0</v>
      </c>
      <c r="Y122">
        <v>0</v>
      </c>
      <c r="Z122">
        <v>1</v>
      </c>
      <c r="AA122">
        <v>3</v>
      </c>
      <c r="AB122">
        <v>3</v>
      </c>
      <c r="AC122">
        <v>1</v>
      </c>
      <c r="AD122">
        <v>0</v>
      </c>
      <c r="AE122">
        <v>0</v>
      </c>
    </row>
    <row r="123" spans="1:31" x14ac:dyDescent="0.3">
      <c r="A123" t="s">
        <v>72</v>
      </c>
      <c r="B123" t="s">
        <v>178</v>
      </c>
      <c r="C123">
        <v>101</v>
      </c>
      <c r="D123">
        <v>4</v>
      </c>
      <c r="E123">
        <v>2</v>
      </c>
      <c r="F123">
        <v>5</v>
      </c>
      <c r="G123">
        <v>6</v>
      </c>
      <c r="H123">
        <v>1</v>
      </c>
      <c r="I123">
        <v>4</v>
      </c>
      <c r="J123">
        <v>2</v>
      </c>
      <c r="K123">
        <v>4</v>
      </c>
      <c r="L123">
        <v>3</v>
      </c>
      <c r="M123">
        <v>0</v>
      </c>
      <c r="N123">
        <v>3</v>
      </c>
      <c r="O123">
        <v>4</v>
      </c>
      <c r="P123">
        <v>3</v>
      </c>
      <c r="Q123">
        <v>5</v>
      </c>
      <c r="R123">
        <v>2</v>
      </c>
      <c r="S123">
        <v>1</v>
      </c>
      <c r="T123">
        <v>2</v>
      </c>
      <c r="U123">
        <v>8</v>
      </c>
      <c r="V123">
        <v>0</v>
      </c>
      <c r="W123">
        <v>3</v>
      </c>
      <c r="X123">
        <v>0</v>
      </c>
      <c r="Y123">
        <v>1</v>
      </c>
      <c r="Z123">
        <v>2</v>
      </c>
      <c r="AA123">
        <v>8</v>
      </c>
      <c r="AB123">
        <v>1</v>
      </c>
      <c r="AC123">
        <v>1</v>
      </c>
      <c r="AD123">
        <v>1</v>
      </c>
      <c r="AE123">
        <v>0</v>
      </c>
    </row>
    <row r="124" spans="1:31" x14ac:dyDescent="0.3">
      <c r="A124" t="s">
        <v>118</v>
      </c>
      <c r="B124" t="s">
        <v>193</v>
      </c>
      <c r="C124">
        <v>101</v>
      </c>
      <c r="D124">
        <v>3</v>
      </c>
      <c r="E124">
        <v>7</v>
      </c>
      <c r="F124">
        <v>1</v>
      </c>
      <c r="G124">
        <v>10</v>
      </c>
      <c r="H124">
        <v>1</v>
      </c>
      <c r="I124">
        <v>2</v>
      </c>
      <c r="J124">
        <v>8</v>
      </c>
      <c r="K124">
        <v>5</v>
      </c>
      <c r="L124">
        <v>4</v>
      </c>
      <c r="M124">
        <v>2</v>
      </c>
      <c r="N124">
        <v>4</v>
      </c>
      <c r="O124">
        <v>3</v>
      </c>
      <c r="P124">
        <v>3</v>
      </c>
      <c r="Q124">
        <v>1</v>
      </c>
      <c r="R124">
        <v>4</v>
      </c>
      <c r="S124">
        <v>3</v>
      </c>
      <c r="T124">
        <v>8</v>
      </c>
      <c r="U124">
        <v>2</v>
      </c>
      <c r="V124">
        <v>4</v>
      </c>
      <c r="W124">
        <v>2</v>
      </c>
      <c r="X124">
        <v>1</v>
      </c>
      <c r="Y124">
        <v>1</v>
      </c>
      <c r="Z124">
        <v>1</v>
      </c>
      <c r="AA124">
        <v>0</v>
      </c>
      <c r="AB124">
        <v>1</v>
      </c>
      <c r="AC124">
        <v>3</v>
      </c>
      <c r="AD124">
        <v>5</v>
      </c>
      <c r="AE124">
        <v>0</v>
      </c>
    </row>
    <row r="125" spans="1:31" x14ac:dyDescent="0.3">
      <c r="A125" t="s">
        <v>77</v>
      </c>
      <c r="B125" t="s">
        <v>182</v>
      </c>
      <c r="C125">
        <v>100</v>
      </c>
      <c r="D125">
        <v>3</v>
      </c>
      <c r="E125">
        <v>6</v>
      </c>
      <c r="F125">
        <v>4</v>
      </c>
      <c r="G125">
        <v>5</v>
      </c>
      <c r="H125">
        <v>1</v>
      </c>
      <c r="I125">
        <v>5</v>
      </c>
      <c r="J125">
        <v>5</v>
      </c>
      <c r="K125">
        <v>1</v>
      </c>
      <c r="L125">
        <v>0</v>
      </c>
      <c r="M125">
        <v>5</v>
      </c>
      <c r="N125">
        <v>3</v>
      </c>
      <c r="O125">
        <v>3</v>
      </c>
      <c r="P125">
        <v>2</v>
      </c>
      <c r="Q125">
        <v>5</v>
      </c>
      <c r="R125">
        <v>4</v>
      </c>
      <c r="S125">
        <v>4</v>
      </c>
      <c r="T125">
        <v>1</v>
      </c>
      <c r="U125">
        <v>4</v>
      </c>
      <c r="V125">
        <v>3</v>
      </c>
      <c r="W125">
        <v>3</v>
      </c>
      <c r="X125">
        <v>1</v>
      </c>
      <c r="Y125">
        <v>3</v>
      </c>
      <c r="Z125">
        <v>3</v>
      </c>
      <c r="AA125">
        <v>4</v>
      </c>
      <c r="AB125">
        <v>2</v>
      </c>
      <c r="AC125">
        <v>2</v>
      </c>
      <c r="AD125">
        <v>1</v>
      </c>
      <c r="AE125">
        <v>0</v>
      </c>
    </row>
    <row r="126" spans="1:31" x14ac:dyDescent="0.3">
      <c r="A126" t="s">
        <v>124</v>
      </c>
      <c r="B126" t="s">
        <v>209</v>
      </c>
      <c r="C126">
        <v>100</v>
      </c>
      <c r="D126">
        <v>4</v>
      </c>
      <c r="E126">
        <v>5</v>
      </c>
      <c r="F126">
        <v>3</v>
      </c>
      <c r="G126">
        <v>6</v>
      </c>
      <c r="H126">
        <v>4</v>
      </c>
      <c r="I126">
        <v>1</v>
      </c>
      <c r="J126">
        <v>3</v>
      </c>
      <c r="K126">
        <v>2</v>
      </c>
      <c r="L126">
        <v>2</v>
      </c>
      <c r="M126">
        <v>2</v>
      </c>
      <c r="N126">
        <v>6</v>
      </c>
      <c r="O126">
        <v>0</v>
      </c>
      <c r="P126">
        <v>2</v>
      </c>
      <c r="Q126">
        <v>1</v>
      </c>
      <c r="R126">
        <v>5</v>
      </c>
      <c r="S126">
        <v>3</v>
      </c>
      <c r="T126">
        <v>3</v>
      </c>
      <c r="U126">
        <v>0</v>
      </c>
      <c r="V126">
        <v>4</v>
      </c>
      <c r="W126">
        <v>1</v>
      </c>
      <c r="X126">
        <v>0</v>
      </c>
      <c r="Y126">
        <v>1</v>
      </c>
      <c r="Z126">
        <v>1</v>
      </c>
      <c r="AA126">
        <v>2</v>
      </c>
      <c r="AB126">
        <v>2</v>
      </c>
      <c r="AC126">
        <v>2</v>
      </c>
      <c r="AD126">
        <v>0</v>
      </c>
      <c r="AE126">
        <v>0</v>
      </c>
    </row>
    <row r="127" spans="1:31" x14ac:dyDescent="0.3">
      <c r="A127" t="s">
        <v>41</v>
      </c>
      <c r="B127" t="s">
        <v>186</v>
      </c>
      <c r="C127">
        <v>96</v>
      </c>
      <c r="D127">
        <v>5</v>
      </c>
      <c r="E127">
        <v>6</v>
      </c>
      <c r="F127">
        <v>2</v>
      </c>
      <c r="G127">
        <v>4</v>
      </c>
      <c r="H127">
        <v>1</v>
      </c>
      <c r="I127">
        <v>1</v>
      </c>
      <c r="J127">
        <v>2</v>
      </c>
      <c r="K127">
        <v>3</v>
      </c>
      <c r="L127">
        <v>1</v>
      </c>
      <c r="M127">
        <v>3</v>
      </c>
      <c r="N127">
        <v>4</v>
      </c>
      <c r="O127">
        <v>2</v>
      </c>
      <c r="P127">
        <v>5</v>
      </c>
      <c r="Q127">
        <v>3</v>
      </c>
      <c r="R127">
        <v>6</v>
      </c>
      <c r="S127">
        <v>3</v>
      </c>
      <c r="T127">
        <v>7</v>
      </c>
      <c r="U127">
        <v>5</v>
      </c>
      <c r="V127">
        <v>1</v>
      </c>
      <c r="W127">
        <v>6</v>
      </c>
      <c r="X127">
        <v>1</v>
      </c>
      <c r="Y127">
        <v>4</v>
      </c>
      <c r="Z127">
        <v>1</v>
      </c>
      <c r="AA127">
        <v>2</v>
      </c>
      <c r="AB127">
        <v>1</v>
      </c>
      <c r="AC127">
        <v>2</v>
      </c>
      <c r="AD127">
        <v>2</v>
      </c>
      <c r="AE127">
        <v>0</v>
      </c>
    </row>
    <row r="128" spans="1:31" x14ac:dyDescent="0.3">
      <c r="A128" t="s">
        <v>117</v>
      </c>
      <c r="B128" t="s">
        <v>198</v>
      </c>
      <c r="C128">
        <v>96</v>
      </c>
      <c r="D128">
        <v>4</v>
      </c>
      <c r="E128">
        <v>7</v>
      </c>
      <c r="F128">
        <v>9</v>
      </c>
      <c r="G128">
        <v>1</v>
      </c>
      <c r="H128">
        <v>8</v>
      </c>
      <c r="I128">
        <v>1</v>
      </c>
      <c r="J128">
        <v>4</v>
      </c>
      <c r="K128">
        <v>2</v>
      </c>
      <c r="L128">
        <v>5</v>
      </c>
      <c r="M128">
        <v>3</v>
      </c>
      <c r="N128">
        <v>3</v>
      </c>
      <c r="O128">
        <v>4</v>
      </c>
      <c r="P128">
        <v>4</v>
      </c>
      <c r="Q128">
        <v>4</v>
      </c>
      <c r="R128">
        <v>3</v>
      </c>
      <c r="S128">
        <v>4</v>
      </c>
      <c r="T128">
        <v>3</v>
      </c>
      <c r="U128">
        <v>3</v>
      </c>
      <c r="V128">
        <v>1</v>
      </c>
      <c r="W128">
        <v>5</v>
      </c>
      <c r="X128">
        <v>2</v>
      </c>
      <c r="Y128">
        <v>3</v>
      </c>
      <c r="Z128">
        <v>2</v>
      </c>
      <c r="AA128">
        <v>0</v>
      </c>
      <c r="AB128">
        <v>1</v>
      </c>
      <c r="AC128">
        <v>1</v>
      </c>
      <c r="AD128">
        <v>0</v>
      </c>
      <c r="AE128">
        <v>0</v>
      </c>
    </row>
    <row r="129" spans="1:31" x14ac:dyDescent="0.3">
      <c r="A129" t="s">
        <v>37</v>
      </c>
      <c r="B129" t="s">
        <v>184</v>
      </c>
      <c r="C129">
        <v>95</v>
      </c>
      <c r="D129">
        <v>7</v>
      </c>
      <c r="E129">
        <v>5</v>
      </c>
      <c r="F129">
        <v>4</v>
      </c>
      <c r="G129">
        <v>7</v>
      </c>
      <c r="H129">
        <v>6</v>
      </c>
      <c r="I129">
        <v>4</v>
      </c>
      <c r="J129">
        <v>2</v>
      </c>
      <c r="K129">
        <v>3</v>
      </c>
      <c r="L129">
        <v>3</v>
      </c>
      <c r="M129">
        <v>2</v>
      </c>
      <c r="N129">
        <v>6</v>
      </c>
      <c r="O129">
        <v>2</v>
      </c>
      <c r="P129">
        <v>6</v>
      </c>
      <c r="Q129">
        <v>3</v>
      </c>
      <c r="R129">
        <v>3</v>
      </c>
      <c r="S129">
        <v>5</v>
      </c>
      <c r="T129">
        <v>1</v>
      </c>
      <c r="U129">
        <v>1</v>
      </c>
      <c r="V129">
        <v>2</v>
      </c>
      <c r="W129">
        <v>0</v>
      </c>
      <c r="X129">
        <v>1</v>
      </c>
      <c r="Y129">
        <v>2</v>
      </c>
      <c r="Z129">
        <v>0</v>
      </c>
      <c r="AA129">
        <v>3</v>
      </c>
      <c r="AB129">
        <v>4</v>
      </c>
      <c r="AC129">
        <v>0</v>
      </c>
      <c r="AD129">
        <v>2</v>
      </c>
      <c r="AE129">
        <v>0</v>
      </c>
    </row>
    <row r="130" spans="1:31" x14ac:dyDescent="0.3">
      <c r="A130" t="s">
        <v>134</v>
      </c>
      <c r="B130" t="s">
        <v>210</v>
      </c>
      <c r="C130">
        <v>93</v>
      </c>
      <c r="D130">
        <v>6</v>
      </c>
      <c r="E130">
        <v>7</v>
      </c>
      <c r="F130">
        <v>1</v>
      </c>
      <c r="G130">
        <v>3</v>
      </c>
      <c r="H130">
        <v>5</v>
      </c>
      <c r="I130">
        <v>1</v>
      </c>
      <c r="J130">
        <v>6</v>
      </c>
      <c r="K130">
        <v>4</v>
      </c>
      <c r="L130">
        <v>3</v>
      </c>
      <c r="M130">
        <v>2</v>
      </c>
      <c r="N130">
        <v>1</v>
      </c>
      <c r="O130">
        <v>4</v>
      </c>
      <c r="P130">
        <v>0</v>
      </c>
      <c r="Q130">
        <v>6</v>
      </c>
      <c r="R130">
        <v>1</v>
      </c>
      <c r="S130">
        <v>3</v>
      </c>
      <c r="T130">
        <v>0</v>
      </c>
      <c r="U130">
        <v>3</v>
      </c>
      <c r="V130">
        <v>1</v>
      </c>
      <c r="W130">
        <v>4</v>
      </c>
      <c r="X130">
        <v>2</v>
      </c>
      <c r="Y130">
        <v>1</v>
      </c>
      <c r="Z130">
        <v>2</v>
      </c>
      <c r="AA130">
        <v>2</v>
      </c>
      <c r="AB130">
        <v>1</v>
      </c>
      <c r="AC130">
        <v>1</v>
      </c>
      <c r="AD130">
        <v>0</v>
      </c>
      <c r="AE130">
        <v>0</v>
      </c>
    </row>
    <row r="131" spans="1:31" x14ac:dyDescent="0.3">
      <c r="A131" t="s">
        <v>67</v>
      </c>
      <c r="B131" t="s">
        <v>211</v>
      </c>
      <c r="C131">
        <v>92</v>
      </c>
      <c r="D131">
        <v>5</v>
      </c>
      <c r="E131">
        <v>4</v>
      </c>
      <c r="F131">
        <v>7</v>
      </c>
      <c r="G131">
        <v>3</v>
      </c>
      <c r="H131">
        <v>4</v>
      </c>
      <c r="I131">
        <v>4</v>
      </c>
      <c r="J131">
        <v>2</v>
      </c>
      <c r="K131">
        <v>3</v>
      </c>
      <c r="L131">
        <v>1</v>
      </c>
      <c r="M131">
        <v>2</v>
      </c>
      <c r="N131">
        <v>5</v>
      </c>
      <c r="O131">
        <v>3</v>
      </c>
      <c r="P131">
        <v>4</v>
      </c>
      <c r="Q131">
        <v>1</v>
      </c>
      <c r="R131">
        <v>3</v>
      </c>
      <c r="S131">
        <v>2</v>
      </c>
      <c r="T131">
        <v>5</v>
      </c>
      <c r="U131">
        <v>1</v>
      </c>
      <c r="V131">
        <v>2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1</v>
      </c>
      <c r="AC131">
        <v>1</v>
      </c>
      <c r="AD131">
        <v>0</v>
      </c>
      <c r="AE131">
        <v>0</v>
      </c>
    </row>
    <row r="132" spans="1:31" x14ac:dyDescent="0.3">
      <c r="A132" t="s">
        <v>64</v>
      </c>
      <c r="B132" t="s">
        <v>212</v>
      </c>
      <c r="C132">
        <v>91</v>
      </c>
      <c r="D132">
        <v>3</v>
      </c>
      <c r="E132">
        <v>4</v>
      </c>
      <c r="F132">
        <v>3</v>
      </c>
      <c r="G132">
        <v>5</v>
      </c>
      <c r="H132">
        <v>3</v>
      </c>
      <c r="I132">
        <v>1</v>
      </c>
      <c r="J132">
        <v>3</v>
      </c>
      <c r="K132">
        <v>2</v>
      </c>
      <c r="L132">
        <v>3</v>
      </c>
      <c r="M132">
        <v>2</v>
      </c>
      <c r="N132">
        <v>5</v>
      </c>
      <c r="O132">
        <v>0</v>
      </c>
      <c r="P132">
        <v>4</v>
      </c>
      <c r="Q132">
        <v>2</v>
      </c>
      <c r="R132">
        <v>4</v>
      </c>
      <c r="S132">
        <v>3</v>
      </c>
      <c r="T132">
        <v>3</v>
      </c>
      <c r="U132">
        <v>1</v>
      </c>
      <c r="V132">
        <v>4</v>
      </c>
      <c r="W132">
        <v>0</v>
      </c>
      <c r="X132">
        <v>0</v>
      </c>
      <c r="Y132">
        <v>0</v>
      </c>
      <c r="Z132">
        <v>1</v>
      </c>
      <c r="AA132">
        <v>2</v>
      </c>
      <c r="AB132">
        <v>1</v>
      </c>
      <c r="AC132">
        <v>1</v>
      </c>
      <c r="AD132">
        <v>0</v>
      </c>
      <c r="AE132">
        <v>0</v>
      </c>
    </row>
    <row r="133" spans="1:31" x14ac:dyDescent="0.3">
      <c r="A133" t="s">
        <v>53</v>
      </c>
      <c r="B133" t="s">
        <v>190</v>
      </c>
      <c r="C133">
        <v>90</v>
      </c>
      <c r="D133">
        <v>3</v>
      </c>
      <c r="E133">
        <v>2</v>
      </c>
      <c r="F133">
        <v>5</v>
      </c>
      <c r="G133">
        <v>4</v>
      </c>
      <c r="H133">
        <v>3</v>
      </c>
      <c r="I133">
        <v>6</v>
      </c>
      <c r="J133">
        <v>5</v>
      </c>
      <c r="K133">
        <v>3</v>
      </c>
      <c r="L133">
        <v>4</v>
      </c>
      <c r="M133">
        <v>4</v>
      </c>
      <c r="N133">
        <v>5</v>
      </c>
      <c r="O133">
        <v>7</v>
      </c>
      <c r="P133">
        <v>5</v>
      </c>
      <c r="Q133">
        <v>5</v>
      </c>
      <c r="R133">
        <v>1</v>
      </c>
      <c r="S133">
        <v>2</v>
      </c>
      <c r="T133">
        <v>2</v>
      </c>
      <c r="U133">
        <v>3</v>
      </c>
      <c r="V133">
        <v>1</v>
      </c>
      <c r="W133">
        <v>3</v>
      </c>
      <c r="X133">
        <v>1</v>
      </c>
      <c r="Y133">
        <v>0</v>
      </c>
      <c r="Z133">
        <v>1</v>
      </c>
      <c r="AA133">
        <v>2</v>
      </c>
      <c r="AB133">
        <v>1</v>
      </c>
      <c r="AC133">
        <v>1</v>
      </c>
      <c r="AD133">
        <v>3</v>
      </c>
      <c r="AE133">
        <v>0</v>
      </c>
    </row>
    <row r="134" spans="1:31" x14ac:dyDescent="0.3">
      <c r="A134" t="s">
        <v>52</v>
      </c>
      <c r="B134" t="s">
        <v>183</v>
      </c>
      <c r="C134">
        <v>86</v>
      </c>
      <c r="D134">
        <v>3</v>
      </c>
      <c r="E134">
        <v>2</v>
      </c>
      <c r="F134">
        <v>6</v>
      </c>
      <c r="G134">
        <v>4</v>
      </c>
      <c r="H134">
        <v>2</v>
      </c>
      <c r="I134">
        <v>2</v>
      </c>
      <c r="J134">
        <v>2</v>
      </c>
      <c r="K134">
        <v>3</v>
      </c>
      <c r="L134">
        <v>2</v>
      </c>
      <c r="M134">
        <v>2</v>
      </c>
      <c r="N134">
        <v>4</v>
      </c>
      <c r="O134">
        <v>6</v>
      </c>
      <c r="P134">
        <v>5</v>
      </c>
      <c r="Q134">
        <v>1</v>
      </c>
      <c r="R134">
        <v>2</v>
      </c>
      <c r="S134">
        <v>3</v>
      </c>
      <c r="T134">
        <v>4</v>
      </c>
      <c r="U134">
        <v>0</v>
      </c>
      <c r="V134">
        <v>1</v>
      </c>
      <c r="W134">
        <v>1</v>
      </c>
      <c r="X134">
        <v>5</v>
      </c>
      <c r="Y134">
        <v>0</v>
      </c>
      <c r="Z134">
        <v>1</v>
      </c>
      <c r="AA134">
        <v>2</v>
      </c>
      <c r="AB134">
        <v>2</v>
      </c>
      <c r="AC134">
        <v>0</v>
      </c>
      <c r="AD134">
        <v>0</v>
      </c>
      <c r="AE134">
        <v>0</v>
      </c>
    </row>
    <row r="135" spans="1:31" x14ac:dyDescent="0.3">
      <c r="A135" t="s">
        <v>71</v>
      </c>
      <c r="B135" t="s">
        <v>188</v>
      </c>
      <c r="C135">
        <v>85</v>
      </c>
      <c r="D135">
        <v>2</v>
      </c>
      <c r="E135">
        <v>4</v>
      </c>
      <c r="F135">
        <v>3</v>
      </c>
      <c r="G135">
        <v>1</v>
      </c>
      <c r="H135">
        <v>4</v>
      </c>
      <c r="I135">
        <v>2</v>
      </c>
      <c r="J135">
        <v>7</v>
      </c>
      <c r="K135">
        <v>2</v>
      </c>
      <c r="L135">
        <v>3</v>
      </c>
      <c r="M135">
        <v>2</v>
      </c>
      <c r="N135">
        <v>8</v>
      </c>
      <c r="O135">
        <v>4</v>
      </c>
      <c r="P135">
        <v>4</v>
      </c>
      <c r="Q135">
        <v>2</v>
      </c>
      <c r="R135">
        <v>3</v>
      </c>
      <c r="S135">
        <v>1</v>
      </c>
      <c r="T135">
        <v>3</v>
      </c>
      <c r="U135">
        <v>3</v>
      </c>
      <c r="V135">
        <v>4</v>
      </c>
      <c r="W135">
        <v>1</v>
      </c>
      <c r="X135">
        <v>0</v>
      </c>
      <c r="Y135">
        <v>4</v>
      </c>
      <c r="Z135">
        <v>1</v>
      </c>
      <c r="AA135">
        <v>0</v>
      </c>
      <c r="AB135">
        <v>0</v>
      </c>
      <c r="AC135">
        <v>5</v>
      </c>
      <c r="AD135">
        <v>1</v>
      </c>
      <c r="AE135">
        <v>0</v>
      </c>
    </row>
    <row r="136" spans="1:31" x14ac:dyDescent="0.3">
      <c r="A136" t="s">
        <v>120</v>
      </c>
      <c r="B136" t="s">
        <v>185</v>
      </c>
      <c r="C136">
        <v>85</v>
      </c>
      <c r="D136">
        <v>0</v>
      </c>
      <c r="E136">
        <v>0</v>
      </c>
      <c r="F136">
        <v>0</v>
      </c>
      <c r="G136">
        <v>0</v>
      </c>
      <c r="H136">
        <v>17</v>
      </c>
      <c r="I136">
        <v>6</v>
      </c>
      <c r="J136">
        <v>14</v>
      </c>
      <c r="K136">
        <v>3</v>
      </c>
      <c r="L136">
        <v>2</v>
      </c>
      <c r="M136">
        <v>9</v>
      </c>
      <c r="N136">
        <v>8</v>
      </c>
      <c r="O136">
        <v>3</v>
      </c>
      <c r="P136">
        <v>2</v>
      </c>
      <c r="Q136">
        <v>5</v>
      </c>
      <c r="R136">
        <v>3</v>
      </c>
      <c r="S136">
        <v>2</v>
      </c>
      <c r="T136">
        <v>1</v>
      </c>
      <c r="U136">
        <v>3</v>
      </c>
      <c r="V136">
        <v>1</v>
      </c>
      <c r="W136">
        <v>1</v>
      </c>
      <c r="X136">
        <v>0</v>
      </c>
      <c r="Y136">
        <v>1</v>
      </c>
      <c r="Z136">
        <v>0</v>
      </c>
      <c r="AA136">
        <v>2</v>
      </c>
      <c r="AB136">
        <v>0</v>
      </c>
      <c r="AC136">
        <v>0</v>
      </c>
      <c r="AD136">
        <v>2</v>
      </c>
      <c r="AE136">
        <v>0</v>
      </c>
    </row>
    <row r="137" spans="1:31" x14ac:dyDescent="0.3">
      <c r="A137" t="s">
        <v>123</v>
      </c>
      <c r="B137" t="s">
        <v>213</v>
      </c>
      <c r="C137">
        <v>84</v>
      </c>
      <c r="D137">
        <v>1</v>
      </c>
      <c r="E137">
        <v>3</v>
      </c>
      <c r="F137">
        <v>2</v>
      </c>
      <c r="G137">
        <v>2</v>
      </c>
      <c r="H137">
        <v>2</v>
      </c>
      <c r="I137">
        <v>1</v>
      </c>
      <c r="J137">
        <v>10</v>
      </c>
      <c r="K137">
        <v>2</v>
      </c>
      <c r="L137">
        <v>3</v>
      </c>
      <c r="M137">
        <v>0</v>
      </c>
      <c r="N137">
        <v>7</v>
      </c>
      <c r="O137">
        <v>5</v>
      </c>
      <c r="P137">
        <v>1</v>
      </c>
      <c r="Q137">
        <v>8</v>
      </c>
      <c r="R137">
        <v>2</v>
      </c>
      <c r="S137">
        <v>2</v>
      </c>
      <c r="T137">
        <v>1</v>
      </c>
      <c r="U137">
        <v>2</v>
      </c>
      <c r="V137">
        <v>1</v>
      </c>
      <c r="W137">
        <v>1</v>
      </c>
      <c r="X137">
        <v>6</v>
      </c>
      <c r="Y137">
        <v>1</v>
      </c>
      <c r="Z137">
        <v>1</v>
      </c>
      <c r="AA137">
        <v>3</v>
      </c>
      <c r="AB137">
        <v>4</v>
      </c>
      <c r="AC137">
        <v>2</v>
      </c>
      <c r="AD137">
        <v>1</v>
      </c>
      <c r="AE137">
        <v>0</v>
      </c>
    </row>
    <row r="138" spans="1:31" x14ac:dyDescent="0.3">
      <c r="A138" t="s">
        <v>59</v>
      </c>
      <c r="B138" t="s">
        <v>214</v>
      </c>
      <c r="C138">
        <v>82</v>
      </c>
      <c r="D138">
        <v>2</v>
      </c>
      <c r="E138">
        <v>1</v>
      </c>
      <c r="F138">
        <v>2</v>
      </c>
      <c r="G138">
        <v>1</v>
      </c>
      <c r="H138">
        <v>4</v>
      </c>
      <c r="I138">
        <v>2</v>
      </c>
      <c r="J138">
        <v>2</v>
      </c>
      <c r="K138">
        <v>3</v>
      </c>
      <c r="L138">
        <v>2</v>
      </c>
      <c r="M138">
        <v>3</v>
      </c>
      <c r="N138">
        <v>4</v>
      </c>
      <c r="O138">
        <v>5</v>
      </c>
      <c r="P138">
        <v>4</v>
      </c>
      <c r="Q138">
        <v>2</v>
      </c>
      <c r="R138">
        <v>2</v>
      </c>
      <c r="S138">
        <v>2</v>
      </c>
      <c r="T138">
        <v>7</v>
      </c>
      <c r="U138">
        <v>2</v>
      </c>
      <c r="V138">
        <v>2</v>
      </c>
      <c r="W138">
        <v>1</v>
      </c>
      <c r="X138">
        <v>7</v>
      </c>
      <c r="Y138">
        <v>2</v>
      </c>
      <c r="Z138">
        <v>1</v>
      </c>
      <c r="AA138">
        <v>4</v>
      </c>
      <c r="AB138">
        <v>4</v>
      </c>
      <c r="AC138">
        <v>3</v>
      </c>
      <c r="AD138">
        <v>6</v>
      </c>
      <c r="AE138">
        <v>0</v>
      </c>
    </row>
    <row r="139" spans="1:31" x14ac:dyDescent="0.3">
      <c r="A139" t="s">
        <v>57</v>
      </c>
      <c r="B139" t="s">
        <v>200</v>
      </c>
      <c r="C139">
        <v>82</v>
      </c>
      <c r="D139">
        <v>4</v>
      </c>
      <c r="E139">
        <v>7</v>
      </c>
      <c r="F139">
        <v>2</v>
      </c>
      <c r="G139">
        <v>5</v>
      </c>
      <c r="H139">
        <v>1</v>
      </c>
      <c r="I139">
        <v>5</v>
      </c>
      <c r="J139">
        <v>7</v>
      </c>
      <c r="K139">
        <v>0</v>
      </c>
      <c r="L139">
        <v>2</v>
      </c>
      <c r="M139">
        <v>3</v>
      </c>
      <c r="N139">
        <v>4</v>
      </c>
      <c r="O139">
        <v>4</v>
      </c>
      <c r="P139">
        <v>5</v>
      </c>
      <c r="Q139">
        <v>1</v>
      </c>
      <c r="R139">
        <v>3</v>
      </c>
      <c r="S139">
        <v>4</v>
      </c>
      <c r="T139">
        <v>4</v>
      </c>
      <c r="U139">
        <v>1</v>
      </c>
      <c r="V139">
        <v>1</v>
      </c>
      <c r="W139">
        <v>2</v>
      </c>
      <c r="X139">
        <v>2</v>
      </c>
      <c r="Y139">
        <v>1</v>
      </c>
      <c r="Z139">
        <v>0</v>
      </c>
      <c r="AA139">
        <v>2</v>
      </c>
      <c r="AB139">
        <v>0</v>
      </c>
      <c r="AC139">
        <v>1</v>
      </c>
      <c r="AD139">
        <v>2</v>
      </c>
      <c r="AE139">
        <v>0</v>
      </c>
    </row>
    <row r="140" spans="1:31" x14ac:dyDescent="0.3">
      <c r="A140" t="s">
        <v>65</v>
      </c>
      <c r="B140" t="s">
        <v>215</v>
      </c>
      <c r="C140">
        <v>81</v>
      </c>
      <c r="D140">
        <v>3</v>
      </c>
      <c r="E140">
        <v>4</v>
      </c>
      <c r="F140">
        <v>4</v>
      </c>
      <c r="G140">
        <v>4</v>
      </c>
      <c r="H140">
        <v>6</v>
      </c>
      <c r="I140">
        <v>2</v>
      </c>
      <c r="J140">
        <v>2</v>
      </c>
      <c r="K140">
        <v>3</v>
      </c>
      <c r="L140">
        <v>1</v>
      </c>
      <c r="M140">
        <v>2</v>
      </c>
      <c r="N140">
        <v>3</v>
      </c>
      <c r="O140">
        <v>1</v>
      </c>
      <c r="P140">
        <v>4</v>
      </c>
      <c r="Q140">
        <v>1</v>
      </c>
      <c r="R140">
        <v>1</v>
      </c>
      <c r="S140">
        <v>2</v>
      </c>
      <c r="T140">
        <v>4</v>
      </c>
      <c r="U140">
        <v>0</v>
      </c>
      <c r="V140">
        <v>2</v>
      </c>
      <c r="W140">
        <v>0</v>
      </c>
      <c r="X140">
        <v>0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0</v>
      </c>
      <c r="AE140">
        <v>0</v>
      </c>
    </row>
    <row r="141" spans="1:31" x14ac:dyDescent="0.3">
      <c r="A141" t="s">
        <v>39</v>
      </c>
      <c r="B141" t="s">
        <v>195</v>
      </c>
      <c r="C141">
        <v>80</v>
      </c>
      <c r="D141">
        <v>2</v>
      </c>
      <c r="E141">
        <v>2</v>
      </c>
      <c r="F141">
        <v>4</v>
      </c>
      <c r="G141">
        <v>4</v>
      </c>
      <c r="H141">
        <v>2</v>
      </c>
      <c r="I141">
        <v>3</v>
      </c>
      <c r="J141">
        <v>3</v>
      </c>
      <c r="K141">
        <v>3</v>
      </c>
      <c r="L141">
        <v>5</v>
      </c>
      <c r="M141">
        <v>1</v>
      </c>
      <c r="N141">
        <v>2</v>
      </c>
      <c r="O141">
        <v>3</v>
      </c>
      <c r="P141">
        <v>4</v>
      </c>
      <c r="Q141">
        <v>4</v>
      </c>
      <c r="R141">
        <v>0</v>
      </c>
      <c r="S141">
        <v>7</v>
      </c>
      <c r="T141">
        <v>2</v>
      </c>
      <c r="U141">
        <v>3</v>
      </c>
      <c r="V141">
        <v>3</v>
      </c>
      <c r="W141">
        <v>2</v>
      </c>
      <c r="X141">
        <v>3</v>
      </c>
      <c r="Y141">
        <v>2</v>
      </c>
      <c r="Z141">
        <v>2</v>
      </c>
      <c r="AA141">
        <v>2</v>
      </c>
      <c r="AB141">
        <v>1</v>
      </c>
      <c r="AC141">
        <v>2</v>
      </c>
      <c r="AD141">
        <v>1</v>
      </c>
      <c r="AE141">
        <v>0</v>
      </c>
    </row>
    <row r="142" spans="1:31" x14ac:dyDescent="0.3">
      <c r="A142" t="s">
        <v>127</v>
      </c>
      <c r="B142" t="s">
        <v>197</v>
      </c>
      <c r="C142">
        <v>80</v>
      </c>
      <c r="D142">
        <v>3</v>
      </c>
      <c r="E142">
        <v>7</v>
      </c>
      <c r="F142">
        <v>4</v>
      </c>
      <c r="G142">
        <v>2</v>
      </c>
      <c r="H142">
        <v>1</v>
      </c>
      <c r="I142">
        <v>3</v>
      </c>
      <c r="J142">
        <v>0</v>
      </c>
      <c r="K142">
        <v>3</v>
      </c>
      <c r="L142">
        <v>4</v>
      </c>
      <c r="M142">
        <v>2</v>
      </c>
      <c r="N142">
        <v>4</v>
      </c>
      <c r="O142">
        <v>3</v>
      </c>
      <c r="P142">
        <v>3</v>
      </c>
      <c r="Q142">
        <v>5</v>
      </c>
      <c r="R142">
        <v>1</v>
      </c>
      <c r="S142">
        <v>2</v>
      </c>
      <c r="T142">
        <v>2</v>
      </c>
      <c r="U142">
        <v>0</v>
      </c>
      <c r="V142">
        <v>0</v>
      </c>
      <c r="W142">
        <v>1</v>
      </c>
      <c r="X142">
        <v>0</v>
      </c>
      <c r="Y142">
        <v>1</v>
      </c>
      <c r="Z142">
        <v>1</v>
      </c>
      <c r="AA142">
        <v>2</v>
      </c>
      <c r="AB142">
        <v>0</v>
      </c>
      <c r="AC142">
        <v>1</v>
      </c>
      <c r="AD142">
        <v>0</v>
      </c>
      <c r="AE142">
        <v>0</v>
      </c>
    </row>
    <row r="143" spans="1:31" x14ac:dyDescent="0.3">
      <c r="A143" t="s">
        <v>176</v>
      </c>
      <c r="B143" t="s">
        <v>185</v>
      </c>
      <c r="C143">
        <v>80</v>
      </c>
      <c r="D143">
        <v>0</v>
      </c>
      <c r="E143">
        <v>0</v>
      </c>
      <c r="F143">
        <v>0</v>
      </c>
      <c r="G143">
        <v>2</v>
      </c>
      <c r="H143">
        <v>26</v>
      </c>
      <c r="I143">
        <v>6</v>
      </c>
      <c r="J143">
        <v>24</v>
      </c>
      <c r="K143">
        <v>1</v>
      </c>
      <c r="L143">
        <v>3</v>
      </c>
      <c r="M143">
        <v>5</v>
      </c>
      <c r="N143">
        <v>1</v>
      </c>
      <c r="O143">
        <v>0</v>
      </c>
      <c r="P143">
        <v>2</v>
      </c>
      <c r="Q143">
        <v>0</v>
      </c>
      <c r="R143">
        <v>1</v>
      </c>
      <c r="S143">
        <v>1</v>
      </c>
      <c r="T143">
        <v>1</v>
      </c>
      <c r="U143">
        <v>2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2</v>
      </c>
      <c r="AB143">
        <v>1</v>
      </c>
      <c r="AC143">
        <v>0</v>
      </c>
      <c r="AD143">
        <v>0</v>
      </c>
      <c r="AE143">
        <v>0</v>
      </c>
    </row>
    <row r="147" spans="1:32" x14ac:dyDescent="0.3">
      <c r="D147" s="8">
        <f>D153/D2</f>
        <v>41.904761904761905</v>
      </c>
      <c r="E147" s="8">
        <f t="shared" ref="E147:AE147" si="4">E153/E2</f>
        <v>61.847389558232933</v>
      </c>
      <c r="F147" s="8">
        <f t="shared" si="4"/>
        <v>18.394648829431439</v>
      </c>
      <c r="G147" s="8">
        <f t="shared" si="4"/>
        <v>37.446808510638299</v>
      </c>
      <c r="H147" s="8">
        <f t="shared" si="4"/>
        <v>8.6274509803921564</v>
      </c>
      <c r="I147" s="8">
        <f t="shared" si="4"/>
        <v>19.031141868512112</v>
      </c>
      <c r="J147" s="8">
        <f t="shared" si="4"/>
        <v>18.952446588559614</v>
      </c>
      <c r="K147" s="8">
        <f t="shared" si="4"/>
        <v>56.81818181818182</v>
      </c>
      <c r="L147" s="8">
        <f t="shared" si="4"/>
        <v>19.549763033175356</v>
      </c>
      <c r="M147" s="8">
        <f t="shared" si="4"/>
        <v>32.89473684210526</v>
      </c>
      <c r="N147" s="8">
        <f t="shared" si="4"/>
        <v>28.683181225554108</v>
      </c>
      <c r="O147" s="8">
        <f t="shared" si="4"/>
        <v>13.888888888888889</v>
      </c>
      <c r="P147" s="8">
        <f t="shared" si="4"/>
        <v>17.684887459807072</v>
      </c>
      <c r="Q147" s="8">
        <f t="shared" si="4"/>
        <v>18.353726362625139</v>
      </c>
      <c r="R147" s="8">
        <f t="shared" si="4"/>
        <v>22.758620689655171</v>
      </c>
      <c r="S147" s="8">
        <f t="shared" si="4"/>
        <v>43.052837573385517</v>
      </c>
      <c r="T147" s="8">
        <f t="shared" si="4"/>
        <v>43.137254901960787</v>
      </c>
      <c r="U147" s="8">
        <f t="shared" si="4"/>
        <v>32.480314960629919</v>
      </c>
      <c r="V147" s="8">
        <f t="shared" si="4"/>
        <v>14.666666666666666</v>
      </c>
      <c r="W147" s="8">
        <f t="shared" si="4"/>
        <v>0</v>
      </c>
      <c r="X147" s="8">
        <f t="shared" si="4"/>
        <v>21.31782945736434</v>
      </c>
      <c r="Y147" s="8">
        <f t="shared" si="4"/>
        <v>51.401869158878505</v>
      </c>
      <c r="Z147" s="8">
        <f t="shared" si="4"/>
        <v>50</v>
      </c>
      <c r="AA147" s="8">
        <f t="shared" si="4"/>
        <v>35.830618892508141</v>
      </c>
      <c r="AB147" s="8">
        <f t="shared" si="4"/>
        <v>17.027863777089784</v>
      </c>
      <c r="AC147" s="8">
        <f t="shared" si="4"/>
        <v>15.580736543909348</v>
      </c>
      <c r="AD147" s="8">
        <f t="shared" si="4"/>
        <v>0</v>
      </c>
      <c r="AE147" s="8">
        <f t="shared" si="4"/>
        <v>0</v>
      </c>
    </row>
    <row r="148" spans="1:32" x14ac:dyDescent="0.3">
      <c r="A148" t="s">
        <v>152</v>
      </c>
      <c r="B148" t="s">
        <v>2</v>
      </c>
      <c r="C148" t="s">
        <v>138</v>
      </c>
      <c r="D148" s="5">
        <v>45859</v>
      </c>
      <c r="E148" s="5">
        <v>45860</v>
      </c>
      <c r="F148" s="5">
        <v>45861</v>
      </c>
      <c r="G148" s="5">
        <v>45862</v>
      </c>
      <c r="H148" s="5">
        <v>45863</v>
      </c>
      <c r="I148" s="5">
        <v>45864</v>
      </c>
      <c r="J148" s="5">
        <v>45865</v>
      </c>
      <c r="K148" s="5">
        <v>45866</v>
      </c>
      <c r="L148" s="5">
        <v>45867</v>
      </c>
      <c r="M148" s="5">
        <v>45868</v>
      </c>
      <c r="N148" s="5">
        <v>45869</v>
      </c>
      <c r="O148" s="5">
        <v>45870</v>
      </c>
      <c r="P148" s="5">
        <v>45871</v>
      </c>
      <c r="Q148" s="5">
        <v>45872</v>
      </c>
      <c r="R148" s="5">
        <v>45873</v>
      </c>
      <c r="S148" s="5">
        <v>45874</v>
      </c>
      <c r="T148" s="5">
        <v>45875</v>
      </c>
      <c r="U148" s="5">
        <v>45876</v>
      </c>
      <c r="V148" s="5">
        <v>45877</v>
      </c>
      <c r="W148" s="5">
        <v>45878</v>
      </c>
      <c r="X148" s="5">
        <v>45879</v>
      </c>
      <c r="Y148" s="5">
        <v>45880</v>
      </c>
      <c r="Z148" s="5">
        <v>45881</v>
      </c>
      <c r="AA148" s="5">
        <v>45882</v>
      </c>
      <c r="AB148" s="5">
        <v>45883</v>
      </c>
      <c r="AC148" s="5">
        <v>45884</v>
      </c>
      <c r="AD148" s="5">
        <v>45885</v>
      </c>
      <c r="AE148" s="5">
        <v>45886</v>
      </c>
      <c r="AF148" s="5">
        <v>45887</v>
      </c>
    </row>
    <row r="149" spans="1:32" x14ac:dyDescent="0.3">
      <c r="A149" t="s">
        <v>216</v>
      </c>
      <c r="B149" t="str">
        <f>IFERROR(VLOOKUP(LEFT(A149, FIND("__", A149) + 1), [1]Sheet2!I$1:J$71, 2, FALSE), "구독권")</f>
        <v>구독권</v>
      </c>
      <c r="C149" s="4">
        <v>54277318</v>
      </c>
      <c r="D149" s="4">
        <v>3388000</v>
      </c>
      <c r="E149" s="4">
        <v>3472700</v>
      </c>
      <c r="F149" s="4">
        <v>3257118</v>
      </c>
      <c r="G149" s="4">
        <v>3280200</v>
      </c>
      <c r="H149" s="4">
        <v>3264800</v>
      </c>
      <c r="I149" s="4">
        <v>4096400</v>
      </c>
      <c r="J149" s="4">
        <v>4050200</v>
      </c>
      <c r="K149" s="4">
        <v>2541000</v>
      </c>
      <c r="L149" s="4">
        <v>2387000</v>
      </c>
      <c r="M149" s="4">
        <v>2063600</v>
      </c>
      <c r="N149" s="4">
        <v>1786400</v>
      </c>
      <c r="O149" s="4">
        <v>2063600</v>
      </c>
      <c r="P149" s="4">
        <v>2464000</v>
      </c>
      <c r="Q149" s="4">
        <v>2464000</v>
      </c>
      <c r="R149" s="4">
        <v>1917300</v>
      </c>
      <c r="S149" s="4">
        <v>1478400</v>
      </c>
      <c r="T149" s="4">
        <v>1378300</v>
      </c>
      <c r="U149" s="4">
        <v>1262800</v>
      </c>
      <c r="V149" s="4">
        <v>1185800</v>
      </c>
      <c r="W149" s="4">
        <v>770000</v>
      </c>
      <c r="X149" s="4">
        <v>631400</v>
      </c>
      <c r="Y149" s="4">
        <v>523600</v>
      </c>
      <c r="Z149" s="4">
        <v>770000</v>
      </c>
      <c r="AA149" s="4">
        <v>708400</v>
      </c>
      <c r="AB149" s="4">
        <v>739200</v>
      </c>
      <c r="AC149" s="4">
        <v>777700</v>
      </c>
      <c r="AD149" s="4">
        <v>739200</v>
      </c>
      <c r="AE149" s="4">
        <v>816200</v>
      </c>
      <c r="AF149" s="4">
        <v>0</v>
      </c>
    </row>
    <row r="150" spans="1:32" x14ac:dyDescent="0.3">
      <c r="A150" t="s">
        <v>24</v>
      </c>
      <c r="B150" t="str">
        <f>IFERROR(VLOOKUP(LEFT(A150, FIND("__", A150) + 1), [1]Sheet2!I$1:J$71, 2, FALSE), "구독권")</f>
        <v>구독권</v>
      </c>
      <c r="C150" s="4">
        <v>951500</v>
      </c>
      <c r="D150" s="4">
        <v>0</v>
      </c>
      <c r="E150" s="4">
        <v>0</v>
      </c>
      <c r="F150" s="4">
        <v>0</v>
      </c>
      <c r="G150" s="4">
        <v>0</v>
      </c>
      <c r="H150" s="4">
        <v>5500</v>
      </c>
      <c r="I150" s="4">
        <v>143000</v>
      </c>
      <c r="J150" s="4">
        <v>27500</v>
      </c>
      <c r="K150" s="4">
        <v>82500</v>
      </c>
      <c r="L150" s="4">
        <v>38500</v>
      </c>
      <c r="M150" s="4">
        <v>11000</v>
      </c>
      <c r="N150" s="4">
        <v>66000</v>
      </c>
      <c r="O150" s="4">
        <v>99000</v>
      </c>
      <c r="P150" s="4">
        <v>55000</v>
      </c>
      <c r="Q150" s="4">
        <v>44000</v>
      </c>
      <c r="R150" s="4">
        <v>27500</v>
      </c>
      <c r="S150" s="4">
        <v>33000</v>
      </c>
      <c r="T150" s="4">
        <v>49500</v>
      </c>
      <c r="U150" s="4">
        <v>38500</v>
      </c>
      <c r="V150" s="4">
        <v>38500</v>
      </c>
      <c r="W150" s="4">
        <v>22000</v>
      </c>
      <c r="X150" s="4">
        <v>33000</v>
      </c>
      <c r="Y150" s="4">
        <v>16500</v>
      </c>
      <c r="Z150" s="4">
        <v>5500</v>
      </c>
      <c r="AA150" s="4">
        <v>11000</v>
      </c>
      <c r="AB150" s="4">
        <v>27500</v>
      </c>
      <c r="AC150" s="4">
        <v>16500</v>
      </c>
      <c r="AD150" s="4">
        <v>22000</v>
      </c>
      <c r="AE150" s="4">
        <v>38500</v>
      </c>
      <c r="AF150" s="4">
        <v>0</v>
      </c>
    </row>
    <row r="151" spans="1:32" x14ac:dyDescent="0.3">
      <c r="A151" t="s">
        <v>3</v>
      </c>
      <c r="B151" t="str">
        <f>IFERROR(VLOOKUP(LEFT(A151, FIND("__", A151) + 1), [1]Sheet2!I$1:J$71, 2, FALSE), "구독권")</f>
        <v>구독권</v>
      </c>
      <c r="C151" s="4">
        <v>934560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91080</v>
      </c>
      <c r="J151" s="4">
        <v>79200</v>
      </c>
      <c r="K151" s="4">
        <v>43560</v>
      </c>
      <c r="L151" s="4">
        <v>45540</v>
      </c>
      <c r="M151" s="4">
        <v>37620</v>
      </c>
      <c r="N151" s="4">
        <v>33660</v>
      </c>
      <c r="O151" s="4">
        <v>51480</v>
      </c>
      <c r="P151" s="4">
        <v>53460</v>
      </c>
      <c r="Q151" s="4">
        <v>81180</v>
      </c>
      <c r="R151" s="4">
        <v>63360</v>
      </c>
      <c r="S151" s="4">
        <v>49500</v>
      </c>
      <c r="T151" s="4">
        <v>43560</v>
      </c>
      <c r="U151" s="4">
        <v>27720</v>
      </c>
      <c r="V151" s="4">
        <v>29700</v>
      </c>
      <c r="W151" s="4">
        <v>29700</v>
      </c>
      <c r="X151" s="4">
        <v>33660</v>
      </c>
      <c r="Y151" s="4">
        <v>15840</v>
      </c>
      <c r="Z151" s="4">
        <v>19800</v>
      </c>
      <c r="AA151" s="4">
        <v>17820</v>
      </c>
      <c r="AB151" s="4">
        <v>21780</v>
      </c>
      <c r="AC151" s="4">
        <v>35640</v>
      </c>
      <c r="AD151" s="4">
        <v>19800</v>
      </c>
      <c r="AE151" s="4">
        <v>7920</v>
      </c>
      <c r="AF151" s="4">
        <v>1980</v>
      </c>
    </row>
    <row r="152" spans="1:32" x14ac:dyDescent="0.3">
      <c r="A152" t="s">
        <v>25</v>
      </c>
      <c r="B152" t="str">
        <f>IFERROR(VLOOKUP(LEFT(A152, FIND("__", A152) + 1), [1]Sheet2!I$1:J$71, 2, FALSE), "구독권")</f>
        <v>구독권</v>
      </c>
      <c r="C152" s="4">
        <v>666600</v>
      </c>
      <c r="D152" s="4">
        <v>0</v>
      </c>
      <c r="E152" s="4">
        <v>0</v>
      </c>
      <c r="F152" s="4">
        <v>0</v>
      </c>
      <c r="G152" s="4">
        <v>0</v>
      </c>
      <c r="H152" s="4">
        <v>3300</v>
      </c>
      <c r="I152" s="4">
        <v>85800</v>
      </c>
      <c r="J152" s="4">
        <v>39600</v>
      </c>
      <c r="K152" s="4">
        <v>42900</v>
      </c>
      <c r="L152" s="4">
        <v>49500</v>
      </c>
      <c r="M152" s="4">
        <v>13200</v>
      </c>
      <c r="N152" s="4">
        <v>49500</v>
      </c>
      <c r="O152" s="4">
        <v>62700</v>
      </c>
      <c r="P152" s="4">
        <v>16500</v>
      </c>
      <c r="Q152" s="4">
        <v>23100</v>
      </c>
      <c r="R152" s="4">
        <v>23100</v>
      </c>
      <c r="S152" s="4">
        <v>42900</v>
      </c>
      <c r="T152" s="4">
        <v>23100</v>
      </c>
      <c r="U152" s="4">
        <v>33000</v>
      </c>
      <c r="V152" s="4">
        <v>29700</v>
      </c>
      <c r="W152" s="4">
        <v>9900</v>
      </c>
      <c r="X152" s="4">
        <v>13200</v>
      </c>
      <c r="Y152" s="4">
        <v>13200</v>
      </c>
      <c r="Z152" s="4">
        <v>6600</v>
      </c>
      <c r="AA152" s="4">
        <v>9900</v>
      </c>
      <c r="AB152" s="4">
        <v>13200</v>
      </c>
      <c r="AC152" s="4">
        <v>33000</v>
      </c>
      <c r="AD152" s="4">
        <v>16500</v>
      </c>
      <c r="AE152" s="4">
        <v>13200</v>
      </c>
      <c r="AF152" s="4">
        <v>0</v>
      </c>
    </row>
    <row r="153" spans="1:32" x14ac:dyDescent="0.3">
      <c r="A153" t="s">
        <v>131</v>
      </c>
      <c r="B153" t="str">
        <f>IFERROR(VLOOKUP(LEFT(A153, FIND("__", A153) + 1), [1]Sheet2!I$1:J$71, 2, FALSE), "구독권")</f>
        <v>돌발스테이지</v>
      </c>
      <c r="C153" s="4">
        <v>572000</v>
      </c>
      <c r="D153" s="4">
        <v>66000</v>
      </c>
      <c r="E153" s="4">
        <v>77000</v>
      </c>
      <c r="F153" s="4">
        <v>22000</v>
      </c>
      <c r="G153" s="4">
        <v>44000</v>
      </c>
      <c r="H153" s="4">
        <v>11000</v>
      </c>
      <c r="I153" s="4">
        <v>27500</v>
      </c>
      <c r="J153" s="4">
        <v>27500</v>
      </c>
      <c r="K153" s="4">
        <v>55000</v>
      </c>
      <c r="L153" s="4">
        <v>16500</v>
      </c>
      <c r="M153" s="4">
        <v>27500</v>
      </c>
      <c r="N153" s="4">
        <v>22000</v>
      </c>
      <c r="O153" s="4">
        <v>11000</v>
      </c>
      <c r="P153" s="4">
        <v>16500</v>
      </c>
      <c r="Q153" s="4">
        <v>16500</v>
      </c>
      <c r="R153" s="4">
        <v>16500</v>
      </c>
      <c r="S153" s="4">
        <v>22000</v>
      </c>
      <c r="T153" s="4">
        <v>22000</v>
      </c>
      <c r="U153" s="4">
        <v>16500</v>
      </c>
      <c r="V153" s="4">
        <v>5500</v>
      </c>
      <c r="W153" s="4">
        <v>0</v>
      </c>
      <c r="X153" s="4">
        <v>5500</v>
      </c>
      <c r="Y153" s="4">
        <v>11000</v>
      </c>
      <c r="Z153" s="4">
        <v>11000</v>
      </c>
      <c r="AA153" s="4">
        <v>11000</v>
      </c>
      <c r="AB153" s="4">
        <v>5500</v>
      </c>
      <c r="AC153" s="4">
        <v>5500</v>
      </c>
      <c r="AD153" s="4">
        <v>0</v>
      </c>
      <c r="AE153" s="4">
        <v>0</v>
      </c>
      <c r="AF153" s="4">
        <v>0</v>
      </c>
    </row>
    <row r="154" spans="1:32" x14ac:dyDescent="0.3">
      <c r="A154" t="s">
        <v>18</v>
      </c>
      <c r="B154" t="str">
        <f>IFERROR(VLOOKUP(LEFT(A154, FIND("__", A154) + 1), [1]Sheet2!I$1:J$71, 2, FALSE), "구독권")</f>
        <v>구독권</v>
      </c>
      <c r="C154" s="4">
        <v>564300</v>
      </c>
      <c r="D154" s="4">
        <v>0</v>
      </c>
      <c r="E154" s="4">
        <v>0</v>
      </c>
      <c r="F154" s="4">
        <v>0</v>
      </c>
      <c r="G154" s="4">
        <v>0</v>
      </c>
      <c r="H154" s="4">
        <v>3300</v>
      </c>
      <c r="I154" s="4">
        <v>92400</v>
      </c>
      <c r="J154" s="4">
        <v>16500</v>
      </c>
      <c r="K154" s="4">
        <v>29700</v>
      </c>
      <c r="L154" s="4">
        <v>16500</v>
      </c>
      <c r="M154" s="4">
        <v>36300</v>
      </c>
      <c r="N154" s="4">
        <v>36300</v>
      </c>
      <c r="O154" s="4">
        <v>33000</v>
      </c>
      <c r="P154" s="4">
        <v>13200</v>
      </c>
      <c r="Q154" s="4">
        <v>33000</v>
      </c>
      <c r="R154" s="4">
        <v>16500</v>
      </c>
      <c r="S154" s="4">
        <v>46200</v>
      </c>
      <c r="T154" s="4">
        <v>13200</v>
      </c>
      <c r="U154" s="4">
        <v>33000</v>
      </c>
      <c r="V154" s="4">
        <v>19800</v>
      </c>
      <c r="W154" s="4">
        <v>16500</v>
      </c>
      <c r="X154" s="4">
        <v>13200</v>
      </c>
      <c r="Y154" s="4">
        <v>33000</v>
      </c>
      <c r="Z154" s="4">
        <v>6600</v>
      </c>
      <c r="AA154" s="4">
        <v>13200</v>
      </c>
      <c r="AB154" s="4">
        <v>6600</v>
      </c>
      <c r="AC154" s="4">
        <v>6600</v>
      </c>
      <c r="AD154" s="4">
        <v>19800</v>
      </c>
      <c r="AE154" s="4">
        <v>6600</v>
      </c>
      <c r="AF154" s="4">
        <v>3300</v>
      </c>
    </row>
    <row r="155" spans="1:32" x14ac:dyDescent="0.3">
      <c r="A155" t="s">
        <v>81</v>
      </c>
      <c r="B155" t="str">
        <f>IFERROR(VLOOKUP(LEFT(A155, FIND("__", A155) + 1), [1]Sheet2!I$1:J$71, 2, FALSE), "구독권")</f>
        <v>돌발스테이지</v>
      </c>
      <c r="C155" s="4">
        <v>485100</v>
      </c>
      <c r="D155" s="4">
        <v>39600</v>
      </c>
      <c r="E155" s="4">
        <v>49500</v>
      </c>
      <c r="F155" s="4">
        <v>33000</v>
      </c>
      <c r="G155" s="4">
        <v>42900</v>
      </c>
      <c r="H155" s="4">
        <v>16500</v>
      </c>
      <c r="I155" s="4">
        <v>13200</v>
      </c>
      <c r="J155" s="4">
        <v>33000</v>
      </c>
      <c r="K155" s="4">
        <v>26400</v>
      </c>
      <c r="L155" s="4">
        <v>19800</v>
      </c>
      <c r="M155" s="4">
        <v>9900</v>
      </c>
      <c r="N155" s="4">
        <v>16500</v>
      </c>
      <c r="O155" s="4">
        <v>16500</v>
      </c>
      <c r="P155" s="4">
        <v>16500</v>
      </c>
      <c r="Q155" s="4">
        <v>13200</v>
      </c>
      <c r="R155" s="4">
        <v>6600</v>
      </c>
      <c r="S155" s="4">
        <v>26400</v>
      </c>
      <c r="T155" s="4">
        <v>23100</v>
      </c>
      <c r="U155" s="4">
        <v>16500</v>
      </c>
      <c r="V155" s="4">
        <v>13200</v>
      </c>
      <c r="W155" s="4">
        <v>0</v>
      </c>
      <c r="X155" s="4">
        <v>9900</v>
      </c>
      <c r="Y155" s="4">
        <v>6600</v>
      </c>
      <c r="Z155" s="4">
        <v>13200</v>
      </c>
      <c r="AA155" s="4">
        <v>9900</v>
      </c>
      <c r="AB155" s="4">
        <v>3300</v>
      </c>
      <c r="AC155" s="4">
        <v>0</v>
      </c>
      <c r="AD155" s="4">
        <v>3300</v>
      </c>
      <c r="AE155" s="4">
        <v>6600</v>
      </c>
      <c r="AF155" s="4">
        <v>0</v>
      </c>
    </row>
    <row r="156" spans="1:32" x14ac:dyDescent="0.3">
      <c r="A156" t="s">
        <v>120</v>
      </c>
      <c r="B156" t="str">
        <f>IFERROR(VLOOKUP(LEFT(A156, FIND("__", A156) + 1), [1]Sheet2!I$1:J$71, 2, FALSE), "구독권")</f>
        <v>구독권</v>
      </c>
      <c r="C156" s="4">
        <v>467500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93500</v>
      </c>
      <c r="J156" s="4">
        <v>33000</v>
      </c>
      <c r="K156" s="4">
        <v>77000</v>
      </c>
      <c r="L156" s="4">
        <v>16500</v>
      </c>
      <c r="M156" s="4">
        <v>11000</v>
      </c>
      <c r="N156" s="4">
        <v>49500</v>
      </c>
      <c r="O156" s="4">
        <v>44000</v>
      </c>
      <c r="P156" s="4">
        <v>16500</v>
      </c>
      <c r="Q156" s="4">
        <v>11000</v>
      </c>
      <c r="R156" s="4">
        <v>27500</v>
      </c>
      <c r="S156" s="4">
        <v>16500</v>
      </c>
      <c r="T156" s="4">
        <v>11000</v>
      </c>
      <c r="U156" s="4">
        <v>5500</v>
      </c>
      <c r="V156" s="4">
        <v>16500</v>
      </c>
      <c r="W156" s="4">
        <v>5500</v>
      </c>
      <c r="X156" s="4">
        <v>5500</v>
      </c>
      <c r="Y156" s="4">
        <v>0</v>
      </c>
      <c r="Z156" s="4">
        <v>5500</v>
      </c>
      <c r="AA156" s="4">
        <v>0</v>
      </c>
      <c r="AB156" s="4">
        <v>11000</v>
      </c>
      <c r="AC156" s="4">
        <v>0</v>
      </c>
      <c r="AD156" s="4">
        <v>0</v>
      </c>
      <c r="AE156" s="4">
        <v>11000</v>
      </c>
      <c r="AF156" s="4">
        <v>0</v>
      </c>
    </row>
    <row r="157" spans="1:32" x14ac:dyDescent="0.3">
      <c r="A157" t="s">
        <v>176</v>
      </c>
      <c r="B157" t="str">
        <f>IFERROR(VLOOKUP(LEFT(A157, FIND("__", A157) + 1), [1]Sheet2!I$1:J$71, 2, FALSE), "구독권")</f>
        <v>구독권</v>
      </c>
      <c r="C157" s="4">
        <v>442500</v>
      </c>
      <c r="D157" s="4">
        <v>0</v>
      </c>
      <c r="E157" s="4">
        <v>0</v>
      </c>
      <c r="F157" s="4">
        <v>0</v>
      </c>
      <c r="G157" s="4">
        <v>0</v>
      </c>
      <c r="H157" s="4">
        <v>11800</v>
      </c>
      <c r="I157" s="4">
        <v>153400</v>
      </c>
      <c r="J157" s="4">
        <v>35400</v>
      </c>
      <c r="K157" s="4">
        <v>112100</v>
      </c>
      <c r="L157" s="4">
        <v>5900</v>
      </c>
      <c r="M157" s="4">
        <v>17700</v>
      </c>
      <c r="N157" s="4">
        <v>29500</v>
      </c>
      <c r="O157" s="4">
        <v>5900</v>
      </c>
      <c r="P157" s="4">
        <v>0</v>
      </c>
      <c r="Q157" s="4">
        <v>11800</v>
      </c>
      <c r="R157" s="4">
        <v>0</v>
      </c>
      <c r="S157" s="4">
        <v>5900</v>
      </c>
      <c r="T157" s="4">
        <v>5900</v>
      </c>
      <c r="U157" s="4">
        <v>5900</v>
      </c>
      <c r="V157" s="4">
        <v>11800</v>
      </c>
      <c r="W157" s="4">
        <v>0</v>
      </c>
      <c r="X157" s="4">
        <v>5900</v>
      </c>
      <c r="Y157" s="4">
        <v>0</v>
      </c>
      <c r="Z157" s="4">
        <v>0</v>
      </c>
      <c r="AA157" s="4">
        <v>5900</v>
      </c>
      <c r="AB157" s="4">
        <v>11800</v>
      </c>
      <c r="AC157" s="4">
        <v>5900</v>
      </c>
      <c r="AD157" s="4">
        <v>0</v>
      </c>
      <c r="AE157" s="4">
        <v>0</v>
      </c>
      <c r="AF157" s="4">
        <v>0</v>
      </c>
    </row>
    <row r="158" spans="1:32" x14ac:dyDescent="0.3">
      <c r="A158" t="s">
        <v>4</v>
      </c>
      <c r="B158" t="str">
        <f>IFERROR(VLOOKUP(LEFT(A158, FIND("__", A158) + 1), [1]Sheet2!I$1:J$71, 2, FALSE), "구독권")</f>
        <v>구독권</v>
      </c>
      <c r="C158" s="4">
        <v>401940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40040</v>
      </c>
      <c r="J158" s="4">
        <v>39270</v>
      </c>
      <c r="K158" s="4">
        <v>27720</v>
      </c>
      <c r="L158" s="4">
        <v>24640</v>
      </c>
      <c r="M158" s="4">
        <v>30800</v>
      </c>
      <c r="N158" s="4">
        <v>16170</v>
      </c>
      <c r="O158" s="4">
        <v>20020</v>
      </c>
      <c r="P158" s="4">
        <v>19250</v>
      </c>
      <c r="Q158" s="4">
        <v>20790</v>
      </c>
      <c r="R158" s="4">
        <v>21560</v>
      </c>
      <c r="S158" s="4">
        <v>16940</v>
      </c>
      <c r="T158" s="4">
        <v>16940</v>
      </c>
      <c r="U158" s="4">
        <v>17710</v>
      </c>
      <c r="V158" s="4">
        <v>13090</v>
      </c>
      <c r="W158" s="4">
        <v>10780</v>
      </c>
      <c r="X158" s="4">
        <v>8470</v>
      </c>
      <c r="Y158" s="4">
        <v>4620</v>
      </c>
      <c r="Z158" s="4">
        <v>6930</v>
      </c>
      <c r="AA158" s="4">
        <v>8470</v>
      </c>
      <c r="AB158" s="4">
        <v>10010</v>
      </c>
      <c r="AC158" s="4">
        <v>12320</v>
      </c>
      <c r="AD158" s="4">
        <v>6160</v>
      </c>
      <c r="AE158" s="4">
        <v>5390</v>
      </c>
      <c r="AF158" s="4">
        <v>3850</v>
      </c>
    </row>
    <row r="159" spans="1:32" x14ac:dyDescent="0.3">
      <c r="A159" t="s">
        <v>149</v>
      </c>
      <c r="B159" t="str">
        <f>IFERROR(VLOOKUP(LEFT(A159, FIND("__", A159) + 1), [1]Sheet2!I$1:J$71, 2, FALSE), "구독권")</f>
        <v>구독권</v>
      </c>
      <c r="C159" s="4">
        <v>401940</v>
      </c>
      <c r="D159" s="4">
        <v>79200</v>
      </c>
      <c r="E159" s="4">
        <v>106920</v>
      </c>
      <c r="F159" s="4">
        <v>87120</v>
      </c>
      <c r="G159" s="4">
        <v>53460</v>
      </c>
      <c r="H159" s="4">
        <v>73260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1980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</row>
    <row r="160" spans="1:32" x14ac:dyDescent="0.3">
      <c r="A160" t="s">
        <v>135</v>
      </c>
      <c r="B160" t="str">
        <f>IFERROR(VLOOKUP(LEFT(A160, FIND("__", A160) + 1), [1]Sheet2!I$1:J$71, 2, FALSE), "구독권")</f>
        <v>돌발초월</v>
      </c>
      <c r="C160" s="4">
        <v>310200</v>
      </c>
      <c r="D160" s="4">
        <v>36300</v>
      </c>
      <c r="E160" s="4">
        <v>29700</v>
      </c>
      <c r="F160" s="4">
        <v>26400</v>
      </c>
      <c r="G160" s="4">
        <v>19800</v>
      </c>
      <c r="H160" s="4">
        <v>9900</v>
      </c>
      <c r="I160" s="4">
        <v>6600</v>
      </c>
      <c r="J160" s="4">
        <v>9900</v>
      </c>
      <c r="K160" s="4">
        <v>29700</v>
      </c>
      <c r="L160" s="4">
        <v>9900</v>
      </c>
      <c r="M160" s="4">
        <v>13200</v>
      </c>
      <c r="N160" s="4">
        <v>16500</v>
      </c>
      <c r="O160" s="4">
        <v>9900</v>
      </c>
      <c r="P160" s="4">
        <v>6600</v>
      </c>
      <c r="Q160" s="4">
        <v>3300</v>
      </c>
      <c r="R160" s="4">
        <v>9900</v>
      </c>
      <c r="S160" s="4">
        <v>19800</v>
      </c>
      <c r="T160" s="4">
        <v>19800</v>
      </c>
      <c r="U160" s="4">
        <v>3300</v>
      </c>
      <c r="V160" s="4">
        <v>0</v>
      </c>
      <c r="W160" s="4">
        <v>6600</v>
      </c>
      <c r="X160" s="4">
        <v>3300</v>
      </c>
      <c r="Y160" s="4">
        <v>3300</v>
      </c>
      <c r="Z160" s="4">
        <v>3300</v>
      </c>
      <c r="AA160" s="4">
        <v>3300</v>
      </c>
      <c r="AB160" s="4">
        <v>6600</v>
      </c>
      <c r="AC160" s="4">
        <v>0</v>
      </c>
      <c r="AD160" s="4">
        <v>0</v>
      </c>
      <c r="AE160" s="4">
        <v>3300</v>
      </c>
      <c r="AF160" s="4">
        <v>0</v>
      </c>
    </row>
    <row r="161" spans="1:32" x14ac:dyDescent="0.3">
      <c r="A161" t="s">
        <v>35</v>
      </c>
      <c r="B161" t="str">
        <f>IFERROR(VLOOKUP(LEFT(A161, FIND("__", A161) + 1), [1]Sheet2!I$1:J$71, 2, FALSE), "구독권")</f>
        <v>돌발고려</v>
      </c>
      <c r="C161" s="4">
        <v>300300</v>
      </c>
      <c r="D161" s="4">
        <v>15400</v>
      </c>
      <c r="E161" s="4">
        <v>20900</v>
      </c>
      <c r="F161" s="4">
        <v>28600</v>
      </c>
      <c r="G161" s="4">
        <v>22000</v>
      </c>
      <c r="H161" s="4">
        <v>14300</v>
      </c>
      <c r="I161" s="4">
        <v>11000</v>
      </c>
      <c r="J161" s="4">
        <v>13200</v>
      </c>
      <c r="K161" s="4">
        <v>17600</v>
      </c>
      <c r="L161" s="4">
        <v>9900</v>
      </c>
      <c r="M161" s="4">
        <v>8800</v>
      </c>
      <c r="N161" s="4">
        <v>9900</v>
      </c>
      <c r="O161" s="4">
        <v>8800</v>
      </c>
      <c r="P161" s="4">
        <v>7700</v>
      </c>
      <c r="Q161" s="4">
        <v>12100</v>
      </c>
      <c r="R161" s="4">
        <v>6600</v>
      </c>
      <c r="S161" s="4">
        <v>9900</v>
      </c>
      <c r="T161" s="4">
        <v>15400</v>
      </c>
      <c r="U161" s="4">
        <v>9900</v>
      </c>
      <c r="V161" s="4">
        <v>11000</v>
      </c>
      <c r="W161" s="4">
        <v>6600</v>
      </c>
      <c r="X161" s="4">
        <v>6600</v>
      </c>
      <c r="Y161" s="4">
        <v>4400</v>
      </c>
      <c r="Z161" s="4">
        <v>5500</v>
      </c>
      <c r="AA161" s="4">
        <v>5500</v>
      </c>
      <c r="AB161" s="4">
        <v>4400</v>
      </c>
      <c r="AC161" s="4">
        <v>4400</v>
      </c>
      <c r="AD161" s="4">
        <v>3300</v>
      </c>
      <c r="AE161" s="4">
        <v>6600</v>
      </c>
      <c r="AF161" s="4">
        <v>0</v>
      </c>
    </row>
    <row r="162" spans="1:32" x14ac:dyDescent="0.3">
      <c r="A162" t="s">
        <v>49</v>
      </c>
      <c r="B162" t="str">
        <f>IFERROR(VLOOKUP(LEFT(A162, FIND("__", A162) + 1), [1]Sheet2!I$1:J$71, 2, FALSE), "구독권")</f>
        <v>계정한정소환고려</v>
      </c>
      <c r="C162" s="4">
        <v>297000</v>
      </c>
      <c r="D162" s="4">
        <v>23100</v>
      </c>
      <c r="E162" s="4">
        <v>16500</v>
      </c>
      <c r="F162" s="4">
        <v>13200</v>
      </c>
      <c r="G162" s="4">
        <v>23100</v>
      </c>
      <c r="H162" s="4">
        <v>16500</v>
      </c>
      <c r="I162" s="4">
        <v>0</v>
      </c>
      <c r="J162" s="4">
        <v>16500</v>
      </c>
      <c r="K162" s="4">
        <v>9900</v>
      </c>
      <c r="L162" s="4">
        <v>13200</v>
      </c>
      <c r="M162" s="4">
        <v>3300</v>
      </c>
      <c r="N162" s="4">
        <v>3300</v>
      </c>
      <c r="O162" s="4">
        <v>13200</v>
      </c>
      <c r="P162" s="4">
        <v>19800</v>
      </c>
      <c r="Q162" s="4">
        <v>16500</v>
      </c>
      <c r="R162" s="4">
        <v>16500</v>
      </c>
      <c r="S162" s="4">
        <v>3300</v>
      </c>
      <c r="T162" s="4">
        <v>0</v>
      </c>
      <c r="U162" s="4">
        <v>16500</v>
      </c>
      <c r="V162" s="4">
        <v>16500</v>
      </c>
      <c r="W162" s="4">
        <v>6600</v>
      </c>
      <c r="X162" s="4">
        <v>9900</v>
      </c>
      <c r="Y162" s="4">
        <v>9900</v>
      </c>
      <c r="Z162" s="4">
        <v>3300</v>
      </c>
      <c r="AA162" s="4">
        <v>9900</v>
      </c>
      <c r="AB162" s="4">
        <v>3300</v>
      </c>
      <c r="AC162" s="4">
        <v>9900</v>
      </c>
      <c r="AD162" s="4">
        <v>0</v>
      </c>
      <c r="AE162" s="4">
        <v>3300</v>
      </c>
      <c r="AF162" s="4">
        <v>0</v>
      </c>
    </row>
    <row r="163" spans="1:32" x14ac:dyDescent="0.3">
      <c r="A163" t="s">
        <v>151</v>
      </c>
      <c r="B163" t="str">
        <f>IFERROR(VLOOKUP(LEFT(A163, FIND("__", A163) + 1), [1]Sheet2!I$1:J$71, 2, FALSE), "구독권")</f>
        <v>계정한정소환조선</v>
      </c>
      <c r="C163" s="4">
        <v>286000</v>
      </c>
      <c r="D163" s="4">
        <v>16500</v>
      </c>
      <c r="E163" s="4">
        <v>33000</v>
      </c>
      <c r="F163" s="4">
        <v>11000</v>
      </c>
      <c r="G163" s="4">
        <v>5500</v>
      </c>
      <c r="H163" s="4">
        <v>27500</v>
      </c>
      <c r="I163" s="4">
        <v>5500</v>
      </c>
      <c r="J163" s="4">
        <v>11000</v>
      </c>
      <c r="K163" s="4">
        <v>5500</v>
      </c>
      <c r="L163" s="4">
        <v>11000</v>
      </c>
      <c r="M163" s="4">
        <v>11000</v>
      </c>
      <c r="N163" s="4">
        <v>0</v>
      </c>
      <c r="O163" s="4">
        <v>5500</v>
      </c>
      <c r="P163" s="4">
        <v>11000</v>
      </c>
      <c r="Q163" s="4">
        <v>5500</v>
      </c>
      <c r="R163" s="4">
        <v>0</v>
      </c>
      <c r="S163" s="4">
        <v>11000</v>
      </c>
      <c r="T163" s="4">
        <v>0</v>
      </c>
      <c r="U163" s="4">
        <v>16500</v>
      </c>
      <c r="V163" s="4">
        <v>11000</v>
      </c>
      <c r="W163" s="4">
        <v>11000</v>
      </c>
      <c r="X163" s="4">
        <v>5500</v>
      </c>
      <c r="Y163" s="4">
        <v>16500</v>
      </c>
      <c r="Z163" s="4">
        <v>16500</v>
      </c>
      <c r="AA163" s="4">
        <v>0</v>
      </c>
      <c r="AB163" s="4">
        <v>27500</v>
      </c>
      <c r="AC163" s="4">
        <v>11000</v>
      </c>
      <c r="AD163" s="4">
        <v>0</v>
      </c>
      <c r="AE163" s="4">
        <v>0</v>
      </c>
      <c r="AF163" s="4">
        <v>0</v>
      </c>
    </row>
    <row r="164" spans="1:32" x14ac:dyDescent="0.3">
      <c r="A164" t="s">
        <v>41</v>
      </c>
      <c r="B164" t="str">
        <f>IFERROR(VLOOKUP(LEFT(A164, FIND("__", A164) + 1), [1]Sheet2!I$1:J$71, 2, FALSE), "구독권")</f>
        <v>돌발조선</v>
      </c>
      <c r="C164" s="4">
        <v>280500</v>
      </c>
      <c r="D164" s="4">
        <v>6600</v>
      </c>
      <c r="E164" s="4">
        <v>16500</v>
      </c>
      <c r="F164" s="4">
        <v>19800</v>
      </c>
      <c r="G164" s="4">
        <v>6600</v>
      </c>
      <c r="H164" s="4">
        <v>13200</v>
      </c>
      <c r="I164" s="4">
        <v>3300</v>
      </c>
      <c r="J164" s="4">
        <v>3300</v>
      </c>
      <c r="K164" s="4">
        <v>6600</v>
      </c>
      <c r="L164" s="4">
        <v>9900</v>
      </c>
      <c r="M164" s="4">
        <v>3300</v>
      </c>
      <c r="N164" s="4">
        <v>9900</v>
      </c>
      <c r="O164" s="4">
        <v>13200</v>
      </c>
      <c r="P164" s="4">
        <v>6600</v>
      </c>
      <c r="Q164" s="4">
        <v>16500</v>
      </c>
      <c r="R164" s="4">
        <v>9900</v>
      </c>
      <c r="S164" s="4">
        <v>19800</v>
      </c>
      <c r="T164" s="4">
        <v>9900</v>
      </c>
      <c r="U164" s="4">
        <v>23100</v>
      </c>
      <c r="V164" s="4">
        <v>16500</v>
      </c>
      <c r="W164" s="4">
        <v>3300</v>
      </c>
      <c r="X164" s="4">
        <v>19800</v>
      </c>
      <c r="Y164" s="4">
        <v>3300</v>
      </c>
      <c r="Z164" s="4">
        <v>13200</v>
      </c>
      <c r="AA164" s="4">
        <v>3300</v>
      </c>
      <c r="AB164" s="4">
        <v>6600</v>
      </c>
      <c r="AC164" s="4">
        <v>3300</v>
      </c>
      <c r="AD164" s="4">
        <v>6600</v>
      </c>
      <c r="AE164" s="4">
        <v>6600</v>
      </c>
      <c r="AF164" s="4">
        <v>0</v>
      </c>
    </row>
    <row r="165" spans="1:32" x14ac:dyDescent="0.3">
      <c r="A165" t="s">
        <v>132</v>
      </c>
      <c r="B165" t="str">
        <f>IFERROR(VLOOKUP(LEFT(A165, FIND("__", A165) + 1), [1]Sheet2!I$1:J$71, 2, FALSE), "구독권")</f>
        <v>돌발초월</v>
      </c>
      <c r="C165" s="4">
        <v>280500</v>
      </c>
      <c r="D165" s="4">
        <v>16500</v>
      </c>
      <c r="E165" s="4">
        <v>22000</v>
      </c>
      <c r="F165" s="4">
        <v>27500</v>
      </c>
      <c r="G165" s="4">
        <v>16500</v>
      </c>
      <c r="H165" s="4">
        <v>16500</v>
      </c>
      <c r="I165" s="4">
        <v>5500</v>
      </c>
      <c r="J165" s="4">
        <v>11000</v>
      </c>
      <c r="K165" s="4">
        <v>11000</v>
      </c>
      <c r="L165" s="4">
        <v>5500</v>
      </c>
      <c r="M165" s="4">
        <v>11000</v>
      </c>
      <c r="N165" s="4">
        <v>5500</v>
      </c>
      <c r="O165" s="4">
        <v>16500</v>
      </c>
      <c r="P165" s="4">
        <v>11000</v>
      </c>
      <c r="Q165" s="4">
        <v>11000</v>
      </c>
      <c r="R165" s="4">
        <v>11000</v>
      </c>
      <c r="S165" s="4">
        <v>11000</v>
      </c>
      <c r="T165" s="4">
        <v>22000</v>
      </c>
      <c r="U165" s="4">
        <v>22000</v>
      </c>
      <c r="V165" s="4">
        <v>11000</v>
      </c>
      <c r="W165" s="4">
        <v>0</v>
      </c>
      <c r="X165" s="4">
        <v>5500</v>
      </c>
      <c r="Y165" s="4">
        <v>5500</v>
      </c>
      <c r="Z165" s="4">
        <v>5500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</row>
    <row r="166" spans="1:32" x14ac:dyDescent="0.3">
      <c r="A166" t="s">
        <v>128</v>
      </c>
      <c r="B166" t="str">
        <f>IFERROR(VLOOKUP(LEFT(A166, FIND("__", A166) + 1), [1]Sheet2!I$1:J$71, 2, FALSE), "구독권")</f>
        <v>계정한정소환가속</v>
      </c>
      <c r="C166" s="4">
        <v>280500</v>
      </c>
      <c r="D166" s="4">
        <v>5500</v>
      </c>
      <c r="E166" s="4">
        <v>0</v>
      </c>
      <c r="F166" s="4">
        <v>27500</v>
      </c>
      <c r="G166" s="4">
        <v>11000</v>
      </c>
      <c r="H166" s="4">
        <v>11000</v>
      </c>
      <c r="I166" s="4">
        <v>16500</v>
      </c>
      <c r="J166" s="4">
        <v>16500</v>
      </c>
      <c r="K166" s="4">
        <v>11000</v>
      </c>
      <c r="L166" s="4">
        <v>5500</v>
      </c>
      <c r="M166" s="4">
        <v>5500</v>
      </c>
      <c r="N166" s="4">
        <v>16500</v>
      </c>
      <c r="O166" s="4">
        <v>11000</v>
      </c>
      <c r="P166" s="4">
        <v>22000</v>
      </c>
      <c r="Q166" s="4">
        <v>5500</v>
      </c>
      <c r="R166" s="4">
        <v>5500</v>
      </c>
      <c r="S166" s="4">
        <v>16500</v>
      </c>
      <c r="T166" s="4">
        <v>5500</v>
      </c>
      <c r="U166" s="4">
        <v>22000</v>
      </c>
      <c r="V166" s="4">
        <v>5500</v>
      </c>
      <c r="W166" s="4">
        <v>0</v>
      </c>
      <c r="X166" s="4">
        <v>11000</v>
      </c>
      <c r="Y166" s="4">
        <v>11000</v>
      </c>
      <c r="Z166" s="4">
        <v>5500</v>
      </c>
      <c r="AA166" s="4">
        <v>0</v>
      </c>
      <c r="AB166" s="4">
        <v>11000</v>
      </c>
      <c r="AC166" s="4">
        <v>5500</v>
      </c>
      <c r="AD166" s="4">
        <v>5500</v>
      </c>
      <c r="AE166" s="4">
        <v>11000</v>
      </c>
      <c r="AF166" s="4">
        <v>0</v>
      </c>
    </row>
    <row r="167" spans="1:32" x14ac:dyDescent="0.3">
      <c r="A167" t="s">
        <v>77</v>
      </c>
      <c r="B167" t="str">
        <f>IFERROR(VLOOKUP(LEFT(A167, FIND("__", A167) + 1), [1]Sheet2!I$1:J$71, 2, FALSE), "구독권")</f>
        <v>돌발고려</v>
      </c>
      <c r="C167" s="4">
        <v>277200</v>
      </c>
      <c r="D167" s="4">
        <v>3300</v>
      </c>
      <c r="E167" s="4">
        <v>9900</v>
      </c>
      <c r="F167" s="4">
        <v>19800</v>
      </c>
      <c r="G167" s="4">
        <v>13200</v>
      </c>
      <c r="H167" s="4">
        <v>16500</v>
      </c>
      <c r="I167" s="4">
        <v>3300</v>
      </c>
      <c r="J167" s="4">
        <v>16500</v>
      </c>
      <c r="K167" s="4">
        <v>16500</v>
      </c>
      <c r="L167" s="4">
        <v>3300</v>
      </c>
      <c r="M167" s="4">
        <v>0</v>
      </c>
      <c r="N167" s="4">
        <v>16500</v>
      </c>
      <c r="O167" s="4">
        <v>9900</v>
      </c>
      <c r="P167" s="4">
        <v>9900</v>
      </c>
      <c r="Q167" s="4">
        <v>6600</v>
      </c>
      <c r="R167" s="4">
        <v>16500</v>
      </c>
      <c r="S167" s="4">
        <v>13200</v>
      </c>
      <c r="T167" s="4">
        <v>13200</v>
      </c>
      <c r="U167" s="4">
        <v>3300</v>
      </c>
      <c r="V167" s="4">
        <v>13200</v>
      </c>
      <c r="W167" s="4">
        <v>9900</v>
      </c>
      <c r="X167" s="4">
        <v>9900</v>
      </c>
      <c r="Y167" s="4">
        <v>3300</v>
      </c>
      <c r="Z167" s="4">
        <v>9900</v>
      </c>
      <c r="AA167" s="4">
        <v>9900</v>
      </c>
      <c r="AB167" s="4">
        <v>13200</v>
      </c>
      <c r="AC167" s="4">
        <v>6600</v>
      </c>
      <c r="AD167" s="4">
        <v>6600</v>
      </c>
      <c r="AE167" s="4">
        <v>3300</v>
      </c>
      <c r="AF167" s="4">
        <v>0</v>
      </c>
    </row>
    <row r="168" spans="1:32" x14ac:dyDescent="0.3">
      <c r="A168" t="s">
        <v>34</v>
      </c>
      <c r="B168" t="str">
        <f>IFERROR(VLOOKUP(LEFT(A168, FIND("__", A168) + 1), [1]Sheet2!I$1:J$71, 2, FALSE), "구독권")</f>
        <v>돌발스테이지</v>
      </c>
      <c r="C168" s="4">
        <v>271700</v>
      </c>
      <c r="D168" s="4">
        <v>27500</v>
      </c>
      <c r="E168" s="4">
        <v>20900</v>
      </c>
      <c r="F168" s="4">
        <v>22000</v>
      </c>
      <c r="G168" s="4">
        <v>14300</v>
      </c>
      <c r="H168" s="4">
        <v>17600</v>
      </c>
      <c r="I168" s="4">
        <v>7700</v>
      </c>
      <c r="J168" s="4">
        <v>16500</v>
      </c>
      <c r="K168" s="4">
        <v>9900</v>
      </c>
      <c r="L168" s="4">
        <v>2200</v>
      </c>
      <c r="M168" s="4">
        <v>14300</v>
      </c>
      <c r="N168" s="4">
        <v>8800</v>
      </c>
      <c r="O168" s="4">
        <v>16500</v>
      </c>
      <c r="P168" s="4">
        <v>7700</v>
      </c>
      <c r="Q168" s="4">
        <v>8800</v>
      </c>
      <c r="R168" s="4">
        <v>7700</v>
      </c>
      <c r="S168" s="4">
        <v>11000</v>
      </c>
      <c r="T168" s="4">
        <v>8800</v>
      </c>
      <c r="U168" s="4">
        <v>8800</v>
      </c>
      <c r="V168" s="4">
        <v>6600</v>
      </c>
      <c r="W168" s="4">
        <v>5500</v>
      </c>
      <c r="X168" s="4">
        <v>4400</v>
      </c>
      <c r="Y168" s="4">
        <v>4400</v>
      </c>
      <c r="Z168" s="4">
        <v>2200</v>
      </c>
      <c r="AA168" s="4">
        <v>3300</v>
      </c>
      <c r="AB168" s="4">
        <v>3300</v>
      </c>
      <c r="AC168" s="4">
        <v>3300</v>
      </c>
      <c r="AD168" s="4">
        <v>4400</v>
      </c>
      <c r="AE168" s="4">
        <v>3300</v>
      </c>
      <c r="AF168" s="4">
        <v>0</v>
      </c>
    </row>
    <row r="169" spans="1:32" x14ac:dyDescent="0.3">
      <c r="A169" t="s">
        <v>72</v>
      </c>
      <c r="B169" t="str">
        <f>IFERROR(VLOOKUP(LEFT(A169, FIND("__", A169) + 1), [1]Sheet2!I$1:J$71, 2, FALSE), "구독권")</f>
        <v>계정한정소환조선</v>
      </c>
      <c r="C169" s="4">
        <v>264000</v>
      </c>
      <c r="D169" s="4">
        <v>13200</v>
      </c>
      <c r="E169" s="4">
        <v>13200</v>
      </c>
      <c r="F169" s="4">
        <v>6600</v>
      </c>
      <c r="G169" s="4">
        <v>16500</v>
      </c>
      <c r="H169" s="4">
        <v>19800</v>
      </c>
      <c r="I169" s="4">
        <v>3300</v>
      </c>
      <c r="J169" s="4">
        <v>13200</v>
      </c>
      <c r="K169" s="4">
        <v>6600</v>
      </c>
      <c r="L169" s="4">
        <v>13200</v>
      </c>
      <c r="M169" s="4">
        <v>9900</v>
      </c>
      <c r="N169" s="4">
        <v>0</v>
      </c>
      <c r="O169" s="4">
        <v>9900</v>
      </c>
      <c r="P169" s="4">
        <v>13200</v>
      </c>
      <c r="Q169" s="4">
        <v>9900</v>
      </c>
      <c r="R169" s="4">
        <v>16500</v>
      </c>
      <c r="S169" s="4">
        <v>6600</v>
      </c>
      <c r="T169" s="4">
        <v>3300</v>
      </c>
      <c r="U169" s="4">
        <v>6600</v>
      </c>
      <c r="V169" s="4">
        <v>26400</v>
      </c>
      <c r="W169" s="4">
        <v>0</v>
      </c>
      <c r="X169" s="4">
        <v>9900</v>
      </c>
      <c r="Y169" s="4">
        <v>0</v>
      </c>
      <c r="Z169" s="4">
        <v>3300</v>
      </c>
      <c r="AA169" s="4">
        <v>6600</v>
      </c>
      <c r="AB169" s="4">
        <v>26400</v>
      </c>
      <c r="AC169" s="4">
        <v>3300</v>
      </c>
      <c r="AD169" s="4">
        <v>3300</v>
      </c>
      <c r="AE169" s="4">
        <v>3300</v>
      </c>
      <c r="AF169" s="4">
        <v>0</v>
      </c>
    </row>
    <row r="170" spans="1:32" x14ac:dyDescent="0.3">
      <c r="A170" t="s">
        <v>71</v>
      </c>
      <c r="B170" t="str">
        <f>IFERROR(VLOOKUP(LEFT(A170, FIND("__", A170) + 1), [1]Sheet2!I$1:J$71, 2, FALSE), "구독권")</f>
        <v>계정한정소환가속</v>
      </c>
      <c r="C170" s="4">
        <v>260700</v>
      </c>
      <c r="D170" s="4">
        <v>16500</v>
      </c>
      <c r="E170" s="4">
        <v>6600</v>
      </c>
      <c r="F170" s="4">
        <v>13200</v>
      </c>
      <c r="G170" s="4">
        <v>9900</v>
      </c>
      <c r="H170" s="4">
        <v>3300</v>
      </c>
      <c r="I170" s="4">
        <v>13200</v>
      </c>
      <c r="J170" s="4">
        <v>6600</v>
      </c>
      <c r="K170" s="4">
        <v>23100</v>
      </c>
      <c r="L170" s="4">
        <v>6600</v>
      </c>
      <c r="M170" s="4">
        <v>9900</v>
      </c>
      <c r="N170" s="4">
        <v>6600</v>
      </c>
      <c r="O170" s="4">
        <v>26400</v>
      </c>
      <c r="P170" s="4">
        <v>13200</v>
      </c>
      <c r="Q170" s="4">
        <v>13200</v>
      </c>
      <c r="R170" s="4">
        <v>6600</v>
      </c>
      <c r="S170" s="4">
        <v>9900</v>
      </c>
      <c r="T170" s="4">
        <v>3300</v>
      </c>
      <c r="U170" s="4">
        <v>9900</v>
      </c>
      <c r="V170" s="4">
        <v>9900</v>
      </c>
      <c r="W170" s="4">
        <v>13200</v>
      </c>
      <c r="X170" s="4">
        <v>3300</v>
      </c>
      <c r="Y170" s="4">
        <v>0</v>
      </c>
      <c r="Z170" s="4">
        <v>13200</v>
      </c>
      <c r="AA170" s="4">
        <v>3300</v>
      </c>
      <c r="AB170" s="4">
        <v>0</v>
      </c>
      <c r="AC170" s="4">
        <v>0</v>
      </c>
      <c r="AD170" s="4">
        <v>16500</v>
      </c>
      <c r="AE170" s="4">
        <v>3300</v>
      </c>
      <c r="AF170" s="4">
        <v>0</v>
      </c>
    </row>
    <row r="171" spans="1:32" x14ac:dyDescent="0.3">
      <c r="A171" t="s">
        <v>82</v>
      </c>
      <c r="B171" t="str">
        <f>IFERROR(VLOOKUP(LEFT(A171, FIND("__", A171) + 1), [1]Sheet2!I$1:J$71, 2, FALSE), "구독권")</f>
        <v>돌발연구</v>
      </c>
      <c r="C171" s="4">
        <v>258500</v>
      </c>
      <c r="D171" s="4">
        <v>11000</v>
      </c>
      <c r="E171" s="4">
        <v>5500</v>
      </c>
      <c r="F171" s="4">
        <v>0</v>
      </c>
      <c r="G171" s="4">
        <v>16500</v>
      </c>
      <c r="H171" s="4">
        <v>11000</v>
      </c>
      <c r="I171" s="4">
        <v>38500</v>
      </c>
      <c r="J171" s="4">
        <v>11000</v>
      </c>
      <c r="K171" s="4">
        <v>22000</v>
      </c>
      <c r="L171" s="4">
        <v>0</v>
      </c>
      <c r="M171" s="4">
        <v>5500</v>
      </c>
      <c r="N171" s="4">
        <v>5500</v>
      </c>
      <c r="O171" s="4">
        <v>27500</v>
      </c>
      <c r="P171" s="4">
        <v>5500</v>
      </c>
      <c r="Q171" s="4">
        <v>5500</v>
      </c>
      <c r="R171" s="4">
        <v>16500</v>
      </c>
      <c r="S171" s="4">
        <v>11000</v>
      </c>
      <c r="T171" s="4">
        <v>5500</v>
      </c>
      <c r="U171" s="4">
        <v>11000</v>
      </c>
      <c r="V171" s="4">
        <v>16500</v>
      </c>
      <c r="W171" s="4">
        <v>5500</v>
      </c>
      <c r="X171" s="4">
        <v>5500</v>
      </c>
      <c r="Y171" s="4">
        <v>0</v>
      </c>
      <c r="Z171" s="4">
        <v>5500</v>
      </c>
      <c r="AA171" s="4">
        <v>0</v>
      </c>
      <c r="AB171" s="4">
        <v>5500</v>
      </c>
      <c r="AC171" s="4">
        <v>5500</v>
      </c>
      <c r="AD171" s="4">
        <v>0</v>
      </c>
      <c r="AE171" s="4">
        <v>0</v>
      </c>
      <c r="AF171" s="4">
        <v>5500</v>
      </c>
    </row>
    <row r="172" spans="1:32" x14ac:dyDescent="0.3">
      <c r="A172" t="s">
        <v>42</v>
      </c>
      <c r="B172" t="str">
        <f>IFERROR(VLOOKUP(LEFT(A172, FIND("__", A172) + 1), [1]Sheet2!I$1:J$71, 2, FALSE), "구독권")</f>
        <v>돌발조선</v>
      </c>
      <c r="C172" s="4">
        <v>251900</v>
      </c>
      <c r="D172" s="4">
        <v>17600</v>
      </c>
      <c r="E172" s="4">
        <v>13200</v>
      </c>
      <c r="F172" s="4">
        <v>12100</v>
      </c>
      <c r="G172" s="4">
        <v>12100</v>
      </c>
      <c r="H172" s="4">
        <v>8800</v>
      </c>
      <c r="I172" s="4">
        <v>8800</v>
      </c>
      <c r="J172" s="4">
        <v>9900</v>
      </c>
      <c r="K172" s="4">
        <v>14300</v>
      </c>
      <c r="L172" s="4">
        <v>8800</v>
      </c>
      <c r="M172" s="4">
        <v>11000</v>
      </c>
      <c r="N172" s="4">
        <v>9900</v>
      </c>
      <c r="O172" s="4">
        <v>11000</v>
      </c>
      <c r="P172" s="4">
        <v>9900</v>
      </c>
      <c r="Q172" s="4">
        <v>11000</v>
      </c>
      <c r="R172" s="4">
        <v>5500</v>
      </c>
      <c r="S172" s="4">
        <v>11000</v>
      </c>
      <c r="T172" s="4">
        <v>11000</v>
      </c>
      <c r="U172" s="4">
        <v>11000</v>
      </c>
      <c r="V172" s="4">
        <v>11000</v>
      </c>
      <c r="W172" s="4">
        <v>7700</v>
      </c>
      <c r="X172" s="4">
        <v>6600</v>
      </c>
      <c r="Y172" s="4">
        <v>5500</v>
      </c>
      <c r="Z172" s="4">
        <v>2200</v>
      </c>
      <c r="AA172" s="4">
        <v>2200</v>
      </c>
      <c r="AB172" s="4">
        <v>4400</v>
      </c>
      <c r="AC172" s="4">
        <v>7700</v>
      </c>
      <c r="AD172" s="4">
        <v>3300</v>
      </c>
      <c r="AE172" s="4">
        <v>4400</v>
      </c>
      <c r="AF172" s="4">
        <v>0</v>
      </c>
    </row>
    <row r="173" spans="1:32" x14ac:dyDescent="0.3">
      <c r="A173" t="s">
        <v>80</v>
      </c>
      <c r="B173" t="str">
        <f>IFERROR(VLOOKUP(LEFT(A173, FIND("__", A173) + 1), [1]Sheet2!I$1:J$71, 2, FALSE), "구독권")</f>
        <v>돌발스테이지</v>
      </c>
      <c r="C173" s="4">
        <v>247500</v>
      </c>
      <c r="D173" s="4">
        <v>11000</v>
      </c>
      <c r="E173" s="4">
        <v>11000</v>
      </c>
      <c r="F173" s="4">
        <v>11000</v>
      </c>
      <c r="G173" s="4">
        <v>0</v>
      </c>
      <c r="H173" s="4">
        <v>5500</v>
      </c>
      <c r="I173" s="4">
        <v>22000</v>
      </c>
      <c r="J173" s="4">
        <v>11000</v>
      </c>
      <c r="K173" s="4">
        <v>5500</v>
      </c>
      <c r="L173" s="4">
        <v>0</v>
      </c>
      <c r="M173" s="4">
        <v>5500</v>
      </c>
      <c r="N173" s="4">
        <v>5500</v>
      </c>
      <c r="O173" s="4">
        <v>22000</v>
      </c>
      <c r="P173" s="4">
        <v>11000</v>
      </c>
      <c r="Q173" s="4">
        <v>5500</v>
      </c>
      <c r="R173" s="4">
        <v>0</v>
      </c>
      <c r="S173" s="4">
        <v>5500</v>
      </c>
      <c r="T173" s="4">
        <v>16500</v>
      </c>
      <c r="U173" s="4">
        <v>16500</v>
      </c>
      <c r="V173" s="4">
        <v>5500</v>
      </c>
      <c r="W173" s="4">
        <v>11000</v>
      </c>
      <c r="X173" s="4">
        <v>16500</v>
      </c>
      <c r="Y173" s="4">
        <v>16500</v>
      </c>
      <c r="Z173" s="4">
        <v>5500</v>
      </c>
      <c r="AA173" s="4">
        <v>5500</v>
      </c>
      <c r="AB173" s="4">
        <v>11000</v>
      </c>
      <c r="AC173" s="4">
        <v>5500</v>
      </c>
      <c r="AD173" s="4">
        <v>0</v>
      </c>
      <c r="AE173" s="4">
        <v>5500</v>
      </c>
      <c r="AF173" s="4">
        <v>0</v>
      </c>
    </row>
    <row r="174" spans="1:32" x14ac:dyDescent="0.3">
      <c r="A174" t="s">
        <v>57</v>
      </c>
      <c r="B174" t="str">
        <f>IFERROR(VLOOKUP(LEFT(A174, FIND("__", A174) + 1), [1]Sheet2!I$1:J$71, 2, FALSE), "구독권")</f>
        <v>돌발연구</v>
      </c>
      <c r="C174" s="4">
        <v>244200</v>
      </c>
      <c r="D174" s="4">
        <v>3300</v>
      </c>
      <c r="E174" s="4">
        <v>13200</v>
      </c>
      <c r="F174" s="4">
        <v>23100</v>
      </c>
      <c r="G174" s="4">
        <v>6600</v>
      </c>
      <c r="H174" s="4">
        <v>16500</v>
      </c>
      <c r="I174" s="4">
        <v>3300</v>
      </c>
      <c r="J174" s="4">
        <v>16500</v>
      </c>
      <c r="K174" s="4">
        <v>23100</v>
      </c>
      <c r="L174" s="4">
        <v>0</v>
      </c>
      <c r="M174" s="4">
        <v>6600</v>
      </c>
      <c r="N174" s="4">
        <v>9900</v>
      </c>
      <c r="O174" s="4">
        <v>13200</v>
      </c>
      <c r="P174" s="4">
        <v>13200</v>
      </c>
      <c r="Q174" s="4">
        <v>16500</v>
      </c>
      <c r="R174" s="4">
        <v>3300</v>
      </c>
      <c r="S174" s="4">
        <v>9900</v>
      </c>
      <c r="T174" s="4">
        <v>13200</v>
      </c>
      <c r="U174" s="4">
        <v>13200</v>
      </c>
      <c r="V174" s="4">
        <v>3300</v>
      </c>
      <c r="W174" s="4">
        <v>3300</v>
      </c>
      <c r="X174" s="4">
        <v>6600</v>
      </c>
      <c r="Y174" s="4">
        <v>6600</v>
      </c>
      <c r="Z174" s="4">
        <v>3300</v>
      </c>
      <c r="AA174" s="4">
        <v>0</v>
      </c>
      <c r="AB174" s="4">
        <v>6600</v>
      </c>
      <c r="AC174" s="4">
        <v>0</v>
      </c>
      <c r="AD174" s="4">
        <v>3300</v>
      </c>
      <c r="AE174" s="4">
        <v>6600</v>
      </c>
      <c r="AF174" s="4">
        <v>0</v>
      </c>
    </row>
    <row r="175" spans="1:32" x14ac:dyDescent="0.3">
      <c r="A175" t="s">
        <v>146</v>
      </c>
      <c r="B175" t="str">
        <f>IFERROR(VLOOKUP(LEFT(A175, FIND("__", A175) + 1), [1]Sheet2!I$1:J$71, 2, FALSE), "구독권")</f>
        <v>계정한정소환고려</v>
      </c>
      <c r="C175" s="4">
        <v>242000</v>
      </c>
      <c r="D175" s="4">
        <v>16500</v>
      </c>
      <c r="E175" s="4">
        <v>27500</v>
      </c>
      <c r="F175" s="4">
        <v>16500</v>
      </c>
      <c r="G175" s="4">
        <v>5500</v>
      </c>
      <c r="H175" s="4">
        <v>16500</v>
      </c>
      <c r="I175" s="4">
        <v>5500</v>
      </c>
      <c r="J175" s="4">
        <v>5500</v>
      </c>
      <c r="K175" s="4">
        <v>16500</v>
      </c>
      <c r="L175" s="4">
        <v>11000</v>
      </c>
      <c r="M175" s="4">
        <v>5500</v>
      </c>
      <c r="N175" s="4">
        <v>11000</v>
      </c>
      <c r="O175" s="4">
        <v>16500</v>
      </c>
      <c r="P175" s="4">
        <v>5500</v>
      </c>
      <c r="Q175" s="4">
        <v>0</v>
      </c>
      <c r="R175" s="4">
        <v>5500</v>
      </c>
      <c r="S175" s="4">
        <v>11000</v>
      </c>
      <c r="T175" s="4">
        <v>0</v>
      </c>
      <c r="U175" s="4">
        <v>11000</v>
      </c>
      <c r="V175" s="4">
        <v>16500</v>
      </c>
      <c r="W175" s="4">
        <v>11000</v>
      </c>
      <c r="X175" s="4">
        <v>0</v>
      </c>
      <c r="Y175" s="4">
        <v>5500</v>
      </c>
      <c r="Z175" s="4">
        <v>0</v>
      </c>
      <c r="AA175" s="4">
        <v>0</v>
      </c>
      <c r="AB175" s="4">
        <v>5500</v>
      </c>
      <c r="AC175" s="4">
        <v>5500</v>
      </c>
      <c r="AD175" s="4">
        <v>11000</v>
      </c>
      <c r="AE175" s="4">
        <v>0</v>
      </c>
      <c r="AF175" s="4">
        <v>0</v>
      </c>
    </row>
    <row r="176" spans="1:32" x14ac:dyDescent="0.3">
      <c r="A176" t="s">
        <v>39</v>
      </c>
      <c r="B176" t="str">
        <f>IFERROR(VLOOKUP(LEFT(A176, FIND("__", A176) + 1), [1]Sheet2!I$1:J$71, 2, FALSE), "구독권")</f>
        <v>돌발스테이지</v>
      </c>
      <c r="C176" s="4">
        <v>240900</v>
      </c>
      <c r="D176" s="4">
        <v>3300</v>
      </c>
      <c r="E176" s="4">
        <v>6600</v>
      </c>
      <c r="F176" s="4">
        <v>6600</v>
      </c>
      <c r="G176" s="4">
        <v>13200</v>
      </c>
      <c r="H176" s="4">
        <v>13200</v>
      </c>
      <c r="I176" s="4">
        <v>6600</v>
      </c>
      <c r="J176" s="4">
        <v>9900</v>
      </c>
      <c r="K176" s="4">
        <v>9900</v>
      </c>
      <c r="L176" s="4">
        <v>9900</v>
      </c>
      <c r="M176" s="4">
        <v>16500</v>
      </c>
      <c r="N176" s="4">
        <v>3300</v>
      </c>
      <c r="O176" s="4">
        <v>6600</v>
      </c>
      <c r="P176" s="4">
        <v>9900</v>
      </c>
      <c r="Q176" s="4">
        <v>13200</v>
      </c>
      <c r="R176" s="4">
        <v>13200</v>
      </c>
      <c r="S176" s="4">
        <v>0</v>
      </c>
      <c r="T176" s="4">
        <v>23100</v>
      </c>
      <c r="U176" s="4">
        <v>6600</v>
      </c>
      <c r="V176" s="4">
        <v>9900</v>
      </c>
      <c r="W176" s="4">
        <v>9900</v>
      </c>
      <c r="X176" s="4">
        <v>6600</v>
      </c>
      <c r="Y176" s="4">
        <v>9900</v>
      </c>
      <c r="Z176" s="4">
        <v>6600</v>
      </c>
      <c r="AA176" s="4">
        <v>6600</v>
      </c>
      <c r="AB176" s="4">
        <v>6600</v>
      </c>
      <c r="AC176" s="4">
        <v>3300</v>
      </c>
      <c r="AD176" s="4">
        <v>6600</v>
      </c>
      <c r="AE176" s="4">
        <v>3300</v>
      </c>
      <c r="AF176" s="4">
        <v>0</v>
      </c>
    </row>
    <row r="177" spans="1:32" x14ac:dyDescent="0.3">
      <c r="A177" t="s">
        <v>26</v>
      </c>
      <c r="B177" t="str">
        <f>IFERROR(VLOOKUP(LEFT(A177, FIND("__", A177) + 1), [1]Sheet2!I$1:J$71, 2, FALSE), "구독권")</f>
        <v>구독권</v>
      </c>
      <c r="C177" s="4">
        <v>236500</v>
      </c>
      <c r="D177" s="4">
        <v>0</v>
      </c>
      <c r="E177" s="4">
        <v>0</v>
      </c>
      <c r="F177" s="4">
        <v>0</v>
      </c>
      <c r="G177" s="4">
        <v>0</v>
      </c>
      <c r="H177" s="4">
        <v>2200</v>
      </c>
      <c r="I177" s="4">
        <v>38500</v>
      </c>
      <c r="J177" s="4">
        <v>20900</v>
      </c>
      <c r="K177" s="4">
        <v>15400</v>
      </c>
      <c r="L177" s="4">
        <v>12100</v>
      </c>
      <c r="M177" s="4">
        <v>7700</v>
      </c>
      <c r="N177" s="4">
        <v>16500</v>
      </c>
      <c r="O177" s="4">
        <v>17600</v>
      </c>
      <c r="P177" s="4">
        <v>6600</v>
      </c>
      <c r="Q177" s="4">
        <v>13200</v>
      </c>
      <c r="R177" s="4">
        <v>5500</v>
      </c>
      <c r="S177" s="4">
        <v>12100</v>
      </c>
      <c r="T177" s="4">
        <v>9900</v>
      </c>
      <c r="U177" s="4">
        <v>11000</v>
      </c>
      <c r="V177" s="4">
        <v>5500</v>
      </c>
      <c r="W177" s="4">
        <v>6600</v>
      </c>
      <c r="X177" s="4">
        <v>2200</v>
      </c>
      <c r="Y177" s="4">
        <v>7700</v>
      </c>
      <c r="Z177" s="4">
        <v>2200</v>
      </c>
      <c r="AA177" s="4">
        <v>8800</v>
      </c>
      <c r="AB177" s="4">
        <v>2200</v>
      </c>
      <c r="AC177" s="4">
        <v>5500</v>
      </c>
      <c r="AD177" s="4">
        <v>4400</v>
      </c>
      <c r="AE177" s="4">
        <v>1100</v>
      </c>
      <c r="AF177" s="4">
        <v>1100</v>
      </c>
    </row>
    <row r="178" spans="1:32" x14ac:dyDescent="0.3">
      <c r="A178" t="s">
        <v>217</v>
      </c>
      <c r="B178" t="str">
        <f>IFERROR(VLOOKUP(LEFT(A178, FIND("__", A178) + 1), [1]Sheet2!I$1:J$71, 2, FALSE), "구독권")</f>
        <v>돌발스테이지</v>
      </c>
      <c r="C178" s="4">
        <v>231000</v>
      </c>
      <c r="D178" s="4">
        <v>11000</v>
      </c>
      <c r="E178" s="4">
        <v>0</v>
      </c>
      <c r="F178" s="4">
        <v>0</v>
      </c>
      <c r="G178" s="4">
        <v>11000</v>
      </c>
      <c r="H178" s="4">
        <v>22000</v>
      </c>
      <c r="I178" s="4">
        <v>11000</v>
      </c>
      <c r="J178" s="4">
        <v>22000</v>
      </c>
      <c r="K178" s="4">
        <v>33000</v>
      </c>
      <c r="L178" s="4">
        <v>11000</v>
      </c>
      <c r="M178" s="4">
        <v>0</v>
      </c>
      <c r="N178" s="4">
        <v>11000</v>
      </c>
      <c r="O178" s="4">
        <v>22000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11000</v>
      </c>
      <c r="V178" s="4">
        <v>11000</v>
      </c>
      <c r="W178" s="4">
        <v>11000</v>
      </c>
      <c r="X178" s="4">
        <v>11000</v>
      </c>
      <c r="Y178" s="4">
        <v>11000</v>
      </c>
      <c r="Z178" s="4">
        <v>0</v>
      </c>
      <c r="AA178" s="4">
        <v>11000</v>
      </c>
      <c r="AB178" s="4">
        <v>0</v>
      </c>
      <c r="AC178" s="4">
        <v>11000</v>
      </c>
      <c r="AD178" s="4">
        <v>0</v>
      </c>
      <c r="AE178" s="4">
        <v>0</v>
      </c>
      <c r="AF178" s="4">
        <v>0</v>
      </c>
    </row>
    <row r="179" spans="1:32" x14ac:dyDescent="0.3">
      <c r="A179" t="s">
        <v>52</v>
      </c>
      <c r="B179" t="str">
        <f>IFERROR(VLOOKUP(LEFT(A179, FIND("__", A179) + 1), [1]Sheet2!I$1:J$71, 2, FALSE), "구독권")</f>
        <v>계정한정소환무기</v>
      </c>
      <c r="C179" s="4">
        <v>224400</v>
      </c>
      <c r="D179" s="4">
        <v>9900</v>
      </c>
      <c r="E179" s="4">
        <v>9900</v>
      </c>
      <c r="F179" s="4">
        <v>6600</v>
      </c>
      <c r="G179" s="4">
        <v>19800</v>
      </c>
      <c r="H179" s="4">
        <v>13200</v>
      </c>
      <c r="I179" s="4">
        <v>6600</v>
      </c>
      <c r="J179" s="4">
        <v>6600</v>
      </c>
      <c r="K179" s="4">
        <v>6600</v>
      </c>
      <c r="L179" s="4">
        <v>9900</v>
      </c>
      <c r="M179" s="4">
        <v>6600</v>
      </c>
      <c r="N179" s="4">
        <v>6600</v>
      </c>
      <c r="O179" s="4">
        <v>13200</v>
      </c>
      <c r="P179" s="4">
        <v>19800</v>
      </c>
      <c r="Q179" s="4">
        <v>16500</v>
      </c>
      <c r="R179" s="4">
        <v>3300</v>
      </c>
      <c r="S179" s="4">
        <v>6600</v>
      </c>
      <c r="T179" s="4">
        <v>9900</v>
      </c>
      <c r="U179" s="4">
        <v>13200</v>
      </c>
      <c r="V179" s="4">
        <v>0</v>
      </c>
      <c r="W179" s="4">
        <v>3300</v>
      </c>
      <c r="X179" s="4">
        <v>3300</v>
      </c>
      <c r="Y179" s="4">
        <v>16500</v>
      </c>
      <c r="Z179" s="4">
        <v>0</v>
      </c>
      <c r="AA179" s="4">
        <v>3300</v>
      </c>
      <c r="AB179" s="4">
        <v>6600</v>
      </c>
      <c r="AC179" s="4">
        <v>6600</v>
      </c>
      <c r="AD179" s="4">
        <v>0</v>
      </c>
      <c r="AE179" s="4">
        <v>0</v>
      </c>
      <c r="AF179" s="4">
        <v>0</v>
      </c>
    </row>
    <row r="180" spans="1:32" x14ac:dyDescent="0.3">
      <c r="A180" t="s">
        <v>23</v>
      </c>
      <c r="B180" t="str">
        <f>IFERROR(VLOOKUP(LEFT(A180, FIND("__", A180) + 1), [1]Sheet2!I$1:J$71, 2, FALSE), "구독권")</f>
        <v>사냥패스1</v>
      </c>
      <c r="C180" s="4">
        <v>218900</v>
      </c>
      <c r="D180" s="4">
        <v>11550</v>
      </c>
      <c r="E180" s="4">
        <v>11550</v>
      </c>
      <c r="F180" s="4">
        <v>10450</v>
      </c>
      <c r="G180" s="4">
        <v>10450</v>
      </c>
      <c r="H180" s="4">
        <v>14850</v>
      </c>
      <c r="I180" s="4">
        <v>13750</v>
      </c>
      <c r="J180" s="4">
        <v>9900</v>
      </c>
      <c r="K180" s="4">
        <v>4400</v>
      </c>
      <c r="L180" s="4">
        <v>14300</v>
      </c>
      <c r="M180" s="4">
        <v>8250</v>
      </c>
      <c r="N180" s="4">
        <v>7150</v>
      </c>
      <c r="O180" s="4">
        <v>10450</v>
      </c>
      <c r="P180" s="4">
        <v>10450</v>
      </c>
      <c r="Q180" s="4">
        <v>7700</v>
      </c>
      <c r="R180" s="4">
        <v>11550</v>
      </c>
      <c r="S180" s="4">
        <v>11000</v>
      </c>
      <c r="T180" s="4">
        <v>5500</v>
      </c>
      <c r="U180" s="4">
        <v>3850</v>
      </c>
      <c r="V180" s="4">
        <v>7700</v>
      </c>
      <c r="W180" s="4">
        <v>6600</v>
      </c>
      <c r="X180" s="4">
        <v>2750</v>
      </c>
      <c r="Y180" s="4">
        <v>4400</v>
      </c>
      <c r="Z180" s="4">
        <v>3850</v>
      </c>
      <c r="AA180" s="4">
        <v>4400</v>
      </c>
      <c r="AB180" s="4">
        <v>1650</v>
      </c>
      <c r="AC180" s="4">
        <v>3300</v>
      </c>
      <c r="AD180" s="4">
        <v>4400</v>
      </c>
      <c r="AE180" s="4">
        <v>1650</v>
      </c>
      <c r="AF180" s="4">
        <v>1100</v>
      </c>
    </row>
    <row r="181" spans="1:32" x14ac:dyDescent="0.3">
      <c r="A181" t="s">
        <v>133</v>
      </c>
      <c r="B181" t="str">
        <f>IFERROR(VLOOKUP(LEFT(A181, FIND("__", A181) + 1), [1]Sheet2!I$1:J$71, 2, FALSE), "구독권")</f>
        <v>계정한정소환무기</v>
      </c>
      <c r="C181" s="4">
        <v>209000</v>
      </c>
      <c r="D181" s="4">
        <v>5500</v>
      </c>
      <c r="E181" s="4">
        <v>0</v>
      </c>
      <c r="F181" s="4">
        <v>5500</v>
      </c>
      <c r="G181" s="4">
        <v>16500</v>
      </c>
      <c r="H181" s="4">
        <v>11000</v>
      </c>
      <c r="I181" s="4">
        <v>0</v>
      </c>
      <c r="J181" s="4">
        <v>5500</v>
      </c>
      <c r="K181" s="4">
        <v>16500</v>
      </c>
      <c r="L181" s="4">
        <v>5500</v>
      </c>
      <c r="M181" s="4">
        <v>5500</v>
      </c>
      <c r="N181" s="4">
        <v>16500</v>
      </c>
      <c r="O181" s="4">
        <v>5500</v>
      </c>
      <c r="P181" s="4">
        <v>27500</v>
      </c>
      <c r="Q181" s="4">
        <v>0</v>
      </c>
      <c r="R181" s="4">
        <v>5500</v>
      </c>
      <c r="S181" s="4">
        <v>0</v>
      </c>
      <c r="T181" s="4">
        <v>11000</v>
      </c>
      <c r="U181" s="4">
        <v>11000</v>
      </c>
      <c r="V181" s="4">
        <v>0</v>
      </c>
      <c r="W181" s="4">
        <v>0</v>
      </c>
      <c r="X181" s="4">
        <v>11000</v>
      </c>
      <c r="Y181" s="4">
        <v>11000</v>
      </c>
      <c r="Z181" s="4">
        <v>5500</v>
      </c>
      <c r="AA181" s="4">
        <v>5500</v>
      </c>
      <c r="AB181" s="4">
        <v>5500</v>
      </c>
      <c r="AC181" s="4">
        <v>22000</v>
      </c>
      <c r="AD181" s="4">
        <v>0</v>
      </c>
      <c r="AE181" s="4">
        <v>0</v>
      </c>
      <c r="AF181" s="4">
        <v>0</v>
      </c>
    </row>
    <row r="182" spans="1:32" x14ac:dyDescent="0.3">
      <c r="A182" t="s">
        <v>19</v>
      </c>
      <c r="B182" t="str">
        <f>IFERROR(VLOOKUP(LEFT(A182, FIND("__", A182) + 1), [1]Sheet2!I$1:J$71, 2, FALSE), "구독권")</f>
        <v>돌발고려</v>
      </c>
      <c r="C182" s="4">
        <v>202950</v>
      </c>
      <c r="D182" s="4">
        <v>15400</v>
      </c>
      <c r="E182" s="4">
        <v>18150</v>
      </c>
      <c r="F182" s="4">
        <v>17050</v>
      </c>
      <c r="G182" s="4">
        <v>10450</v>
      </c>
      <c r="H182" s="4">
        <v>7700</v>
      </c>
      <c r="I182" s="4">
        <v>9900</v>
      </c>
      <c r="J182" s="4">
        <v>14300</v>
      </c>
      <c r="K182" s="4">
        <v>7700</v>
      </c>
      <c r="L182" s="4">
        <v>6600</v>
      </c>
      <c r="M182" s="4">
        <v>8250</v>
      </c>
      <c r="N182" s="4">
        <v>4400</v>
      </c>
      <c r="O182" s="4">
        <v>7700</v>
      </c>
      <c r="P182" s="4">
        <v>5500</v>
      </c>
      <c r="Q182" s="4">
        <v>6050</v>
      </c>
      <c r="R182" s="4">
        <v>9900</v>
      </c>
      <c r="S182" s="4">
        <v>9900</v>
      </c>
      <c r="T182" s="4">
        <v>8250</v>
      </c>
      <c r="U182" s="4">
        <v>9350</v>
      </c>
      <c r="V182" s="4">
        <v>3850</v>
      </c>
      <c r="W182" s="4">
        <v>3300</v>
      </c>
      <c r="X182" s="4">
        <v>3850</v>
      </c>
      <c r="Y182" s="4">
        <v>550</v>
      </c>
      <c r="Z182" s="4">
        <v>1650</v>
      </c>
      <c r="AA182" s="4">
        <v>3300</v>
      </c>
      <c r="AB182" s="4">
        <v>1100</v>
      </c>
      <c r="AC182" s="4">
        <v>3300</v>
      </c>
      <c r="AD182" s="4">
        <v>2200</v>
      </c>
      <c r="AE182" s="4">
        <v>2750</v>
      </c>
      <c r="AF182" s="4">
        <v>550</v>
      </c>
    </row>
    <row r="183" spans="1:32" x14ac:dyDescent="0.3">
      <c r="A183" t="s">
        <v>129</v>
      </c>
      <c r="B183" t="str">
        <f>IFERROR(VLOOKUP(LEFT(A183, FIND("__", A183) + 1), [1]Sheet2!I$1:J$71, 2, FALSE), "구독권")</f>
        <v xml:space="preserve">주간가속 </v>
      </c>
      <c r="C183" s="4">
        <v>181500</v>
      </c>
      <c r="D183" s="4">
        <v>11000</v>
      </c>
      <c r="E183" s="4">
        <v>0</v>
      </c>
      <c r="F183" s="4">
        <v>0</v>
      </c>
      <c r="G183" s="4">
        <v>11000</v>
      </c>
      <c r="H183" s="4">
        <v>5500</v>
      </c>
      <c r="I183" s="4">
        <v>5500</v>
      </c>
      <c r="J183" s="4">
        <v>11000</v>
      </c>
      <c r="K183" s="4">
        <v>22000</v>
      </c>
      <c r="L183" s="4">
        <v>22000</v>
      </c>
      <c r="M183" s="4">
        <v>11000</v>
      </c>
      <c r="N183" s="4">
        <v>0</v>
      </c>
      <c r="O183" s="4">
        <v>5500</v>
      </c>
      <c r="P183" s="4">
        <v>16500</v>
      </c>
      <c r="Q183" s="4">
        <v>0</v>
      </c>
      <c r="R183" s="4">
        <v>33000</v>
      </c>
      <c r="S183" s="4">
        <v>5500</v>
      </c>
      <c r="T183" s="4">
        <v>5500</v>
      </c>
      <c r="U183" s="4">
        <v>5500</v>
      </c>
      <c r="V183" s="4">
        <v>0</v>
      </c>
      <c r="W183" s="4">
        <v>0</v>
      </c>
      <c r="X183" s="4">
        <v>0</v>
      </c>
      <c r="Y183" s="4">
        <v>5500</v>
      </c>
      <c r="Z183" s="4">
        <v>0</v>
      </c>
      <c r="AA183" s="4">
        <v>0</v>
      </c>
      <c r="AB183" s="4">
        <v>5500</v>
      </c>
      <c r="AC183" s="4">
        <v>0</v>
      </c>
      <c r="AD183" s="4">
        <v>0</v>
      </c>
      <c r="AE183" s="4">
        <v>0</v>
      </c>
      <c r="AF183" s="4">
        <v>0</v>
      </c>
    </row>
    <row r="184" spans="1:32" x14ac:dyDescent="0.3">
      <c r="A184" t="s">
        <v>43</v>
      </c>
      <c r="B184" t="str">
        <f>IFERROR(VLOOKUP(LEFT(A184, FIND("__", A184) + 1), [1]Sheet2!I$1:J$71, 2, FALSE), "구독권")</f>
        <v>돌발조선</v>
      </c>
      <c r="C184" s="4">
        <v>179850</v>
      </c>
      <c r="D184" s="4">
        <v>13200</v>
      </c>
      <c r="E184" s="4">
        <v>14300</v>
      </c>
      <c r="F184" s="4">
        <v>16500</v>
      </c>
      <c r="G184" s="4">
        <v>11000</v>
      </c>
      <c r="H184" s="4">
        <v>8800</v>
      </c>
      <c r="I184" s="4">
        <v>9350</v>
      </c>
      <c r="J184" s="4">
        <v>5500</v>
      </c>
      <c r="K184" s="4">
        <v>5500</v>
      </c>
      <c r="L184" s="4">
        <v>6050</v>
      </c>
      <c r="M184" s="4">
        <v>8250</v>
      </c>
      <c r="N184" s="4">
        <v>4400</v>
      </c>
      <c r="O184" s="4">
        <v>7150</v>
      </c>
      <c r="P184" s="4">
        <v>8800</v>
      </c>
      <c r="Q184" s="4">
        <v>4950</v>
      </c>
      <c r="R184" s="4">
        <v>4950</v>
      </c>
      <c r="S184" s="4">
        <v>8250</v>
      </c>
      <c r="T184" s="4">
        <v>8800</v>
      </c>
      <c r="U184" s="4">
        <v>7700</v>
      </c>
      <c r="V184" s="4">
        <v>4950</v>
      </c>
      <c r="W184" s="4">
        <v>1650</v>
      </c>
      <c r="X184" s="4">
        <v>3850</v>
      </c>
      <c r="Y184" s="4">
        <v>550</v>
      </c>
      <c r="Z184" s="4">
        <v>3850</v>
      </c>
      <c r="AA184" s="4">
        <v>3300</v>
      </c>
      <c r="AB184" s="4">
        <v>1650</v>
      </c>
      <c r="AC184" s="4">
        <v>2200</v>
      </c>
      <c r="AD184" s="4">
        <v>550</v>
      </c>
      <c r="AE184" s="4">
        <v>3850</v>
      </c>
      <c r="AF184" s="4">
        <v>0</v>
      </c>
    </row>
    <row r="185" spans="1:32" x14ac:dyDescent="0.3">
      <c r="A185" t="s">
        <v>29</v>
      </c>
      <c r="B185" t="str">
        <f>IFERROR(VLOOKUP(LEFT(A185, FIND("__", A185) + 1), [1]Sheet2!I$1:J$71, 2, FALSE), "구독권")</f>
        <v>돌발무기</v>
      </c>
      <c r="C185" s="4">
        <v>177650</v>
      </c>
      <c r="D185" s="4">
        <v>8250</v>
      </c>
      <c r="E185" s="4">
        <v>15400</v>
      </c>
      <c r="F185" s="4">
        <v>10450</v>
      </c>
      <c r="G185" s="4">
        <v>12100</v>
      </c>
      <c r="H185" s="4">
        <v>4400</v>
      </c>
      <c r="I185" s="4">
        <v>11000</v>
      </c>
      <c r="J185" s="4">
        <v>7700</v>
      </c>
      <c r="K185" s="4">
        <v>8250</v>
      </c>
      <c r="L185" s="4">
        <v>4400</v>
      </c>
      <c r="M185" s="4">
        <v>7150</v>
      </c>
      <c r="N185" s="4">
        <v>6600</v>
      </c>
      <c r="O185" s="4">
        <v>7150</v>
      </c>
      <c r="P185" s="4">
        <v>7150</v>
      </c>
      <c r="Q185" s="4">
        <v>6050</v>
      </c>
      <c r="R185" s="4">
        <v>6050</v>
      </c>
      <c r="S185" s="4">
        <v>8800</v>
      </c>
      <c r="T185" s="4">
        <v>6050</v>
      </c>
      <c r="U185" s="4">
        <v>6050</v>
      </c>
      <c r="V185" s="4">
        <v>5500</v>
      </c>
      <c r="W185" s="4">
        <v>4950</v>
      </c>
      <c r="X185" s="4">
        <v>3300</v>
      </c>
      <c r="Y185" s="4">
        <v>1100</v>
      </c>
      <c r="Z185" s="4">
        <v>2750</v>
      </c>
      <c r="AA185" s="4">
        <v>2200</v>
      </c>
      <c r="AB185" s="4">
        <v>4400</v>
      </c>
      <c r="AC185" s="4">
        <v>2750</v>
      </c>
      <c r="AD185" s="4">
        <v>3850</v>
      </c>
      <c r="AE185" s="4">
        <v>3850</v>
      </c>
      <c r="AF185" s="4">
        <v>0</v>
      </c>
    </row>
    <row r="186" spans="1:32" x14ac:dyDescent="0.3">
      <c r="A186" t="s">
        <v>30</v>
      </c>
      <c r="B186" t="str">
        <f>IFERROR(VLOOKUP(LEFT(A186, FIND("__", A186) + 1), [1]Sheet2!I$1:J$71, 2, FALSE), "구독권")</f>
        <v>레벨패스1</v>
      </c>
      <c r="C186" s="4">
        <v>176550</v>
      </c>
      <c r="D186" s="4">
        <v>9900</v>
      </c>
      <c r="E186" s="4">
        <v>9900</v>
      </c>
      <c r="F186" s="4">
        <v>9350</v>
      </c>
      <c r="G186" s="4">
        <v>8250</v>
      </c>
      <c r="H186" s="4">
        <v>12100</v>
      </c>
      <c r="I186" s="4">
        <v>10450</v>
      </c>
      <c r="J186" s="4">
        <v>8800</v>
      </c>
      <c r="K186" s="4">
        <v>6600</v>
      </c>
      <c r="L186" s="4">
        <v>9900</v>
      </c>
      <c r="M186" s="4">
        <v>3850</v>
      </c>
      <c r="N186" s="4">
        <v>4950</v>
      </c>
      <c r="O186" s="4">
        <v>7700</v>
      </c>
      <c r="P186" s="4">
        <v>9900</v>
      </c>
      <c r="Q186" s="4">
        <v>6050</v>
      </c>
      <c r="R186" s="4">
        <v>8250</v>
      </c>
      <c r="S186" s="4">
        <v>6600</v>
      </c>
      <c r="T186" s="4">
        <v>6600</v>
      </c>
      <c r="U186" s="4">
        <v>3300</v>
      </c>
      <c r="V186" s="4">
        <v>4400</v>
      </c>
      <c r="W186" s="4">
        <v>4400</v>
      </c>
      <c r="X186" s="4">
        <v>3300</v>
      </c>
      <c r="Y186" s="4">
        <v>3300</v>
      </c>
      <c r="Z186" s="4">
        <v>2750</v>
      </c>
      <c r="AA186" s="4">
        <v>3850</v>
      </c>
      <c r="AB186" s="4">
        <v>1100</v>
      </c>
      <c r="AC186" s="4">
        <v>3850</v>
      </c>
      <c r="AD186" s="4">
        <v>3850</v>
      </c>
      <c r="AE186" s="4">
        <v>2200</v>
      </c>
      <c r="AF186" s="4">
        <v>1100</v>
      </c>
    </row>
    <row r="187" spans="1:32" x14ac:dyDescent="0.3">
      <c r="A187" t="s">
        <v>13</v>
      </c>
      <c r="B187" t="str">
        <f>IFERROR(VLOOKUP(LEFT(A187, FIND("__", A187) + 1), [1]Sheet2!I$1:J$71, 2, FALSE), "구독권")</f>
        <v>구독권</v>
      </c>
      <c r="C187" s="4">
        <v>174900</v>
      </c>
      <c r="D187" s="4">
        <v>0</v>
      </c>
      <c r="E187" s="4">
        <v>0</v>
      </c>
      <c r="F187" s="4">
        <v>0</v>
      </c>
      <c r="G187" s="4">
        <v>0</v>
      </c>
      <c r="H187" s="4">
        <v>2200</v>
      </c>
      <c r="I187" s="4">
        <v>31900</v>
      </c>
      <c r="J187" s="4">
        <v>16500</v>
      </c>
      <c r="K187" s="4">
        <v>9900</v>
      </c>
      <c r="L187" s="4">
        <v>8250</v>
      </c>
      <c r="M187" s="4">
        <v>9350</v>
      </c>
      <c r="N187" s="4">
        <v>10450</v>
      </c>
      <c r="O187" s="4">
        <v>13750</v>
      </c>
      <c r="P187" s="4">
        <v>6600</v>
      </c>
      <c r="Q187" s="4">
        <v>8800</v>
      </c>
      <c r="R187" s="4">
        <v>3300</v>
      </c>
      <c r="S187" s="4">
        <v>9350</v>
      </c>
      <c r="T187" s="4">
        <v>7150</v>
      </c>
      <c r="U187" s="4">
        <v>3850</v>
      </c>
      <c r="V187" s="4">
        <v>3850</v>
      </c>
      <c r="W187" s="4">
        <v>3850</v>
      </c>
      <c r="X187" s="4">
        <v>3850</v>
      </c>
      <c r="Y187" s="4">
        <v>4400</v>
      </c>
      <c r="Z187" s="4">
        <v>1650</v>
      </c>
      <c r="AA187" s="4">
        <v>2750</v>
      </c>
      <c r="AB187" s="4">
        <v>4400</v>
      </c>
      <c r="AC187" s="4">
        <v>4400</v>
      </c>
      <c r="AD187" s="4">
        <v>3300</v>
      </c>
      <c r="AE187" s="4">
        <v>1100</v>
      </c>
      <c r="AF187" s="4">
        <v>0</v>
      </c>
    </row>
    <row r="188" spans="1:32" x14ac:dyDescent="0.3">
      <c r="A188" t="s">
        <v>17</v>
      </c>
      <c r="B188" t="str">
        <f>IFERROR(VLOOKUP(LEFT(A188, FIND("__", A188) + 1), [1]Sheet2!I$1:J$71, 2, FALSE), "구독권")</f>
        <v>스테이지패스1</v>
      </c>
      <c r="C188" s="4">
        <v>171050</v>
      </c>
      <c r="D188" s="4">
        <v>8250</v>
      </c>
      <c r="E188" s="4">
        <v>9900</v>
      </c>
      <c r="F188" s="4">
        <v>8800</v>
      </c>
      <c r="G188" s="4">
        <v>10450</v>
      </c>
      <c r="H188" s="4">
        <v>7700</v>
      </c>
      <c r="I188" s="4">
        <v>10450</v>
      </c>
      <c r="J188" s="4">
        <v>7700</v>
      </c>
      <c r="K188" s="4">
        <v>3850</v>
      </c>
      <c r="L188" s="4">
        <v>10450</v>
      </c>
      <c r="M188" s="4">
        <v>9350</v>
      </c>
      <c r="N188" s="4">
        <v>5500</v>
      </c>
      <c r="O188" s="4">
        <v>6050</v>
      </c>
      <c r="P188" s="4">
        <v>8800</v>
      </c>
      <c r="Q188" s="4">
        <v>7700</v>
      </c>
      <c r="R188" s="4">
        <v>6600</v>
      </c>
      <c r="S188" s="4">
        <v>7150</v>
      </c>
      <c r="T188" s="4">
        <v>6600</v>
      </c>
      <c r="U188" s="4">
        <v>3850</v>
      </c>
      <c r="V188" s="4">
        <v>6050</v>
      </c>
      <c r="W188" s="4">
        <v>3300</v>
      </c>
      <c r="X188" s="4">
        <v>2200</v>
      </c>
      <c r="Y188" s="4">
        <v>2750</v>
      </c>
      <c r="Z188" s="4">
        <v>1650</v>
      </c>
      <c r="AA188" s="4">
        <v>3850</v>
      </c>
      <c r="AB188" s="4">
        <v>1100</v>
      </c>
      <c r="AC188" s="4">
        <v>4400</v>
      </c>
      <c r="AD188" s="4">
        <v>2750</v>
      </c>
      <c r="AE188" s="4">
        <v>2750</v>
      </c>
      <c r="AF188" s="4">
        <v>1100</v>
      </c>
    </row>
    <row r="189" spans="1:32" x14ac:dyDescent="0.3">
      <c r="A189" t="s">
        <v>36</v>
      </c>
      <c r="B189" t="str">
        <f>IFERROR(VLOOKUP(LEFT(A189, FIND("__", A189) + 1), [1]Sheet2!I$1:J$71, 2, FALSE), "구독권")</f>
        <v>육성패스1</v>
      </c>
      <c r="C189" s="4">
        <v>165550</v>
      </c>
      <c r="D189" s="4">
        <v>8250</v>
      </c>
      <c r="E189" s="4">
        <v>9350</v>
      </c>
      <c r="F189" s="4">
        <v>11550</v>
      </c>
      <c r="G189" s="4">
        <v>8250</v>
      </c>
      <c r="H189" s="4">
        <v>8250</v>
      </c>
      <c r="I189" s="4">
        <v>12100</v>
      </c>
      <c r="J189" s="4">
        <v>6600</v>
      </c>
      <c r="K189" s="4">
        <v>6600</v>
      </c>
      <c r="L189" s="4">
        <v>6600</v>
      </c>
      <c r="M189" s="4">
        <v>6600</v>
      </c>
      <c r="N189" s="4">
        <v>7700</v>
      </c>
      <c r="O189" s="4">
        <v>5500</v>
      </c>
      <c r="P189" s="4">
        <v>7150</v>
      </c>
      <c r="Q189" s="4">
        <v>5500</v>
      </c>
      <c r="R189" s="4">
        <v>5500</v>
      </c>
      <c r="S189" s="4">
        <v>6600</v>
      </c>
      <c r="T189" s="4">
        <v>4950</v>
      </c>
      <c r="U189" s="4">
        <v>6050</v>
      </c>
      <c r="V189" s="4">
        <v>6050</v>
      </c>
      <c r="W189" s="4">
        <v>2750</v>
      </c>
      <c r="X189" s="4">
        <v>3300</v>
      </c>
      <c r="Y189" s="4">
        <v>3300</v>
      </c>
      <c r="Z189" s="4">
        <v>1650</v>
      </c>
      <c r="AA189" s="4">
        <v>2200</v>
      </c>
      <c r="AB189" s="4">
        <v>2750</v>
      </c>
      <c r="AC189" s="4">
        <v>3300</v>
      </c>
      <c r="AD189" s="4">
        <v>4400</v>
      </c>
      <c r="AE189" s="4">
        <v>1650</v>
      </c>
      <c r="AF189" s="4">
        <v>1100</v>
      </c>
    </row>
    <row r="190" spans="1:32" x14ac:dyDescent="0.3">
      <c r="A190" t="s">
        <v>173</v>
      </c>
      <c r="B190" t="str">
        <f>IFERROR(VLOOKUP(LEFT(A190, FIND("__", A190) + 1), [1]Sheet2!I$1:J$71, 2, FALSE), "구독권")</f>
        <v>구독권</v>
      </c>
      <c r="C190" s="4">
        <v>163240</v>
      </c>
      <c r="D190" s="4">
        <v>33880</v>
      </c>
      <c r="E190" s="4">
        <v>36960</v>
      </c>
      <c r="F190" s="4">
        <v>28490</v>
      </c>
      <c r="G190" s="4">
        <v>28490</v>
      </c>
      <c r="H190" s="4">
        <v>33880</v>
      </c>
      <c r="I190" s="4">
        <v>1540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</row>
    <row r="191" spans="1:32" x14ac:dyDescent="0.3">
      <c r="A191" t="s">
        <v>63</v>
      </c>
      <c r="B191" t="str">
        <f>IFERROR(VLOOKUP(LEFT(A191, FIND("__", A191) + 1), [1]Sheet2!I$1:J$71, 2, FALSE), "구독권")</f>
        <v>구독권</v>
      </c>
      <c r="C191" s="4">
        <v>161700</v>
      </c>
      <c r="D191" s="4">
        <v>0</v>
      </c>
      <c r="E191" s="4">
        <v>0</v>
      </c>
      <c r="F191" s="4">
        <v>0</v>
      </c>
      <c r="G191" s="4">
        <v>0</v>
      </c>
      <c r="H191" s="4">
        <v>2200</v>
      </c>
      <c r="I191" s="4">
        <v>29700</v>
      </c>
      <c r="J191" s="4">
        <v>13200</v>
      </c>
      <c r="K191" s="4">
        <v>11000</v>
      </c>
      <c r="L191" s="4">
        <v>6600</v>
      </c>
      <c r="M191" s="4">
        <v>2200</v>
      </c>
      <c r="N191" s="4">
        <v>8800</v>
      </c>
      <c r="O191" s="4">
        <v>19800</v>
      </c>
      <c r="P191" s="4">
        <v>1100</v>
      </c>
      <c r="Q191" s="4">
        <v>7700</v>
      </c>
      <c r="R191" s="4">
        <v>4400</v>
      </c>
      <c r="S191" s="4">
        <v>8800</v>
      </c>
      <c r="T191" s="4">
        <v>7700</v>
      </c>
      <c r="U191" s="4">
        <v>9900</v>
      </c>
      <c r="V191" s="4">
        <v>6600</v>
      </c>
      <c r="W191" s="4">
        <v>5500</v>
      </c>
      <c r="X191" s="4">
        <v>5500</v>
      </c>
      <c r="Y191" s="4">
        <v>0</v>
      </c>
      <c r="Z191" s="4">
        <v>1100</v>
      </c>
      <c r="AA191" s="4">
        <v>2200</v>
      </c>
      <c r="AB191" s="4">
        <v>3300</v>
      </c>
      <c r="AC191" s="4">
        <v>2200</v>
      </c>
      <c r="AD191" s="4">
        <v>1100</v>
      </c>
      <c r="AE191" s="4">
        <v>0</v>
      </c>
      <c r="AF191" s="4">
        <v>1100</v>
      </c>
    </row>
    <row r="192" spans="1:32" x14ac:dyDescent="0.3">
      <c r="A192" t="s">
        <v>75</v>
      </c>
      <c r="B192" t="str">
        <f>IFERROR(VLOOKUP(LEFT(A192, FIND("__", A192) + 1), [1]Sheet2!I$1:J$71, 2, FALSE), "구독권")</f>
        <v>돌발무기</v>
      </c>
      <c r="C192" s="4">
        <v>156200</v>
      </c>
      <c r="D192" s="4">
        <v>11000</v>
      </c>
      <c r="E192" s="4">
        <v>9900</v>
      </c>
      <c r="F192" s="4">
        <v>3300</v>
      </c>
      <c r="G192" s="4">
        <v>2200</v>
      </c>
      <c r="H192" s="4">
        <v>12100</v>
      </c>
      <c r="I192" s="4">
        <v>2200</v>
      </c>
      <c r="J192" s="4">
        <v>13200</v>
      </c>
      <c r="K192" s="4">
        <v>4400</v>
      </c>
      <c r="L192" s="4">
        <v>4400</v>
      </c>
      <c r="M192" s="4">
        <v>6600</v>
      </c>
      <c r="N192" s="4">
        <v>2200</v>
      </c>
      <c r="O192" s="4">
        <v>9900</v>
      </c>
      <c r="P192" s="4">
        <v>5500</v>
      </c>
      <c r="Q192" s="4">
        <v>6600</v>
      </c>
      <c r="R192" s="4">
        <v>3300</v>
      </c>
      <c r="S192" s="4">
        <v>2200</v>
      </c>
      <c r="T192" s="4">
        <v>4400</v>
      </c>
      <c r="U192" s="4">
        <v>7700</v>
      </c>
      <c r="V192" s="4">
        <v>8800</v>
      </c>
      <c r="W192" s="4">
        <v>3300</v>
      </c>
      <c r="X192" s="4">
        <v>5500</v>
      </c>
      <c r="Y192" s="4">
        <v>3300</v>
      </c>
      <c r="Z192" s="4">
        <v>4400</v>
      </c>
      <c r="AA192" s="4">
        <v>2200</v>
      </c>
      <c r="AB192" s="4">
        <v>3300</v>
      </c>
      <c r="AC192" s="4">
        <v>4400</v>
      </c>
      <c r="AD192" s="4">
        <v>7700</v>
      </c>
      <c r="AE192" s="4">
        <v>2200</v>
      </c>
      <c r="AF192" s="4">
        <v>0</v>
      </c>
    </row>
    <row r="193" spans="1:32" x14ac:dyDescent="0.3">
      <c r="A193" t="s">
        <v>78</v>
      </c>
      <c r="B193" t="str">
        <f>IFERROR(VLOOKUP(LEFT(A193, FIND("__", A193) + 1), [1]Sheet2!I$1:J$71, 2, FALSE), "구독권")</f>
        <v>돌발초월</v>
      </c>
      <c r="C193" s="4">
        <v>155100</v>
      </c>
      <c r="D193" s="4">
        <v>17600</v>
      </c>
      <c r="E193" s="4">
        <v>12100</v>
      </c>
      <c r="F193" s="4">
        <v>17600</v>
      </c>
      <c r="G193" s="4">
        <v>6600</v>
      </c>
      <c r="H193" s="4">
        <v>6600</v>
      </c>
      <c r="I193" s="4">
        <v>5500</v>
      </c>
      <c r="J193" s="4">
        <v>8800</v>
      </c>
      <c r="K193" s="4">
        <v>8800</v>
      </c>
      <c r="L193" s="4">
        <v>4400</v>
      </c>
      <c r="M193" s="4">
        <v>5500</v>
      </c>
      <c r="N193" s="4">
        <v>3300</v>
      </c>
      <c r="O193" s="4">
        <v>4400</v>
      </c>
      <c r="P193" s="4">
        <v>5500</v>
      </c>
      <c r="Q193" s="4">
        <v>3300</v>
      </c>
      <c r="R193" s="4">
        <v>4400</v>
      </c>
      <c r="S193" s="4">
        <v>8800</v>
      </c>
      <c r="T193" s="4">
        <v>6600</v>
      </c>
      <c r="U193" s="4">
        <v>6600</v>
      </c>
      <c r="V193" s="4">
        <v>2200</v>
      </c>
      <c r="W193" s="4">
        <v>2200</v>
      </c>
      <c r="X193" s="4">
        <v>3300</v>
      </c>
      <c r="Y193" s="4">
        <v>1100</v>
      </c>
      <c r="Z193" s="4">
        <v>3300</v>
      </c>
      <c r="AA193" s="4">
        <v>0</v>
      </c>
      <c r="AB193" s="4">
        <v>1100</v>
      </c>
      <c r="AC193" s="4">
        <v>0</v>
      </c>
      <c r="AD193" s="4">
        <v>3300</v>
      </c>
      <c r="AE193" s="4">
        <v>2200</v>
      </c>
      <c r="AF193" s="4">
        <v>0</v>
      </c>
    </row>
    <row r="194" spans="1:32" x14ac:dyDescent="0.3">
      <c r="A194" t="s">
        <v>130</v>
      </c>
      <c r="B194" t="str">
        <f>IFERROR(VLOOKUP(LEFT(A194, FIND("__", A194) + 1), [1]Sheet2!I$1:J$71, 2, FALSE), "구독권")</f>
        <v xml:space="preserve">주간가속 </v>
      </c>
      <c r="C194" s="4">
        <v>155100</v>
      </c>
      <c r="D194" s="4">
        <v>6600</v>
      </c>
      <c r="E194" s="4">
        <v>3300</v>
      </c>
      <c r="F194" s="4">
        <v>3300</v>
      </c>
      <c r="G194" s="4">
        <v>0</v>
      </c>
      <c r="H194" s="4">
        <v>6600</v>
      </c>
      <c r="I194" s="4">
        <v>6600</v>
      </c>
      <c r="J194" s="4">
        <v>6600</v>
      </c>
      <c r="K194" s="4">
        <v>19800</v>
      </c>
      <c r="L194" s="4">
        <v>6600</v>
      </c>
      <c r="M194" s="4">
        <v>9900</v>
      </c>
      <c r="N194" s="4">
        <v>0</v>
      </c>
      <c r="O194" s="4">
        <v>3300</v>
      </c>
      <c r="P194" s="4">
        <v>13200</v>
      </c>
      <c r="Q194" s="4">
        <v>0</v>
      </c>
      <c r="R194" s="4">
        <v>19800</v>
      </c>
      <c r="S194" s="4">
        <v>6600</v>
      </c>
      <c r="T194" s="4">
        <v>3300</v>
      </c>
      <c r="U194" s="4">
        <v>3300</v>
      </c>
      <c r="V194" s="4">
        <v>6600</v>
      </c>
      <c r="W194" s="4">
        <v>0</v>
      </c>
      <c r="X194" s="4">
        <v>0</v>
      </c>
      <c r="Y194" s="4">
        <v>9900</v>
      </c>
      <c r="Z194" s="4">
        <v>0</v>
      </c>
      <c r="AA194" s="4">
        <v>0</v>
      </c>
      <c r="AB194" s="4">
        <v>9900</v>
      </c>
      <c r="AC194" s="4">
        <v>6600</v>
      </c>
      <c r="AD194" s="4">
        <v>0</v>
      </c>
      <c r="AE194" s="4">
        <v>3300</v>
      </c>
      <c r="AF194" s="4">
        <v>0</v>
      </c>
    </row>
    <row r="195" spans="1:32" x14ac:dyDescent="0.3">
      <c r="A195" t="s">
        <v>150</v>
      </c>
      <c r="B195" t="str">
        <f>IFERROR(VLOOKUP(LEFT(A195, FIND("__", A195) + 1), [1]Sheet2!I$1:J$71, 2, FALSE), "구독권")</f>
        <v>사냥패스1</v>
      </c>
      <c r="C195" s="4">
        <v>151800</v>
      </c>
      <c r="D195" s="4">
        <v>3300</v>
      </c>
      <c r="E195" s="4">
        <v>6600</v>
      </c>
      <c r="F195" s="4">
        <v>9900</v>
      </c>
      <c r="G195" s="4">
        <v>0</v>
      </c>
      <c r="H195" s="4">
        <v>13200</v>
      </c>
      <c r="I195" s="4">
        <v>6600</v>
      </c>
      <c r="J195" s="4">
        <v>0</v>
      </c>
      <c r="K195" s="4">
        <v>3300</v>
      </c>
      <c r="L195" s="4">
        <v>9900</v>
      </c>
      <c r="M195" s="4">
        <v>0</v>
      </c>
      <c r="N195" s="4">
        <v>16500</v>
      </c>
      <c r="O195" s="4">
        <v>0</v>
      </c>
      <c r="P195" s="4">
        <v>6600</v>
      </c>
      <c r="Q195" s="4">
        <v>3300</v>
      </c>
      <c r="R195" s="4">
        <v>3300</v>
      </c>
      <c r="S195" s="4">
        <v>13200</v>
      </c>
      <c r="T195" s="4">
        <v>0</v>
      </c>
      <c r="U195" s="4">
        <v>6600</v>
      </c>
      <c r="V195" s="4">
        <v>6600</v>
      </c>
      <c r="W195" s="4">
        <v>3300</v>
      </c>
      <c r="X195" s="4">
        <v>6600</v>
      </c>
      <c r="Y195" s="4">
        <v>3300</v>
      </c>
      <c r="Z195" s="4">
        <v>0</v>
      </c>
      <c r="AA195" s="4">
        <v>9900</v>
      </c>
      <c r="AB195" s="4">
        <v>9900</v>
      </c>
      <c r="AC195" s="4">
        <v>3300</v>
      </c>
      <c r="AD195" s="4">
        <v>6600</v>
      </c>
      <c r="AE195" s="4">
        <v>0</v>
      </c>
      <c r="AF195" s="4">
        <v>0</v>
      </c>
    </row>
    <row r="196" spans="1:32" x14ac:dyDescent="0.3">
      <c r="A196" t="s">
        <v>56</v>
      </c>
      <c r="B196" t="str">
        <f>IFERROR(VLOOKUP(LEFT(A196, FIND("__", A196) + 1), [1]Sheet2!I$1:J$71, 2, FALSE), "구독권")</f>
        <v>돌발스테이지</v>
      </c>
      <c r="C196" s="4">
        <v>150700</v>
      </c>
      <c r="D196" s="4">
        <v>7700</v>
      </c>
      <c r="E196" s="4">
        <v>3300</v>
      </c>
      <c r="F196" s="4">
        <v>8800</v>
      </c>
      <c r="G196" s="4">
        <v>7700</v>
      </c>
      <c r="H196" s="4">
        <v>5500</v>
      </c>
      <c r="I196" s="4">
        <v>3300</v>
      </c>
      <c r="J196" s="4">
        <v>5500</v>
      </c>
      <c r="K196" s="4">
        <v>11000</v>
      </c>
      <c r="L196" s="4">
        <v>5500</v>
      </c>
      <c r="M196" s="4">
        <v>3300</v>
      </c>
      <c r="N196" s="4">
        <v>9900</v>
      </c>
      <c r="O196" s="4">
        <v>6600</v>
      </c>
      <c r="P196" s="4">
        <v>5500</v>
      </c>
      <c r="Q196" s="4">
        <v>4400</v>
      </c>
      <c r="R196" s="4">
        <v>5500</v>
      </c>
      <c r="S196" s="4">
        <v>11000</v>
      </c>
      <c r="T196" s="4">
        <v>6600</v>
      </c>
      <c r="U196" s="4">
        <v>8800</v>
      </c>
      <c r="V196" s="4">
        <v>2200</v>
      </c>
      <c r="W196" s="4">
        <v>5500</v>
      </c>
      <c r="X196" s="4">
        <v>5500</v>
      </c>
      <c r="Y196" s="4">
        <v>4400</v>
      </c>
      <c r="Z196" s="4">
        <v>3300</v>
      </c>
      <c r="AA196" s="4">
        <v>3300</v>
      </c>
      <c r="AB196" s="4">
        <v>3300</v>
      </c>
      <c r="AC196" s="4">
        <v>2200</v>
      </c>
      <c r="AD196" s="4">
        <v>1100</v>
      </c>
      <c r="AE196" s="4">
        <v>0</v>
      </c>
      <c r="AF196" s="4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B3C03-DEF5-4575-8836-360DB9809257}">
  <dimension ref="A3:B40"/>
  <sheetViews>
    <sheetView workbookViewId="0">
      <selection activeCell="A3" sqref="A3"/>
    </sheetView>
  </sheetViews>
  <sheetFormatPr defaultRowHeight="16.5" x14ac:dyDescent="0.3"/>
  <cols>
    <col min="1" max="1" width="19.75" bestFit="1" customWidth="1"/>
    <col min="2" max="2" width="14.375" bestFit="1" customWidth="1"/>
    <col min="3" max="9" width="2.875" bestFit="1" customWidth="1"/>
    <col min="10" max="36" width="4" bestFit="1" customWidth="1"/>
    <col min="37" max="37" width="20.625" bestFit="1" customWidth="1"/>
    <col min="38" max="38" width="7.375" bestFit="1" customWidth="1"/>
    <col min="39" max="47" width="8.375" bestFit="1" customWidth="1"/>
    <col min="48" max="48" width="10.625" bestFit="1" customWidth="1"/>
    <col min="49" max="57" width="8.375" bestFit="1" customWidth="1"/>
    <col min="58" max="58" width="10.625" bestFit="1" customWidth="1"/>
    <col min="59" max="60" width="8.375" bestFit="1" customWidth="1"/>
    <col min="61" max="61" width="10.625" bestFit="1" customWidth="1"/>
    <col min="62" max="73" width="9.5" bestFit="1" customWidth="1"/>
    <col min="74" max="74" width="11.875" bestFit="1" customWidth="1"/>
    <col min="75" max="76" width="9.5" bestFit="1" customWidth="1"/>
    <col min="77" max="77" width="11.875" bestFit="1" customWidth="1"/>
    <col min="78" max="80" width="9.5" bestFit="1" customWidth="1"/>
    <col min="81" max="81" width="11.875" bestFit="1" customWidth="1"/>
    <col min="82" max="93" width="9.5" bestFit="1" customWidth="1"/>
    <col min="94" max="94" width="11.875" bestFit="1" customWidth="1"/>
    <col min="95" max="97" width="9.5" bestFit="1" customWidth="1"/>
    <col min="98" max="98" width="11.875" bestFit="1" customWidth="1"/>
    <col min="99" max="101" width="9.5" bestFit="1" customWidth="1"/>
    <col min="102" max="102" width="11.875" bestFit="1" customWidth="1"/>
    <col min="103" max="105" width="9.5" bestFit="1" customWidth="1"/>
    <col min="106" max="106" width="11.875" bestFit="1" customWidth="1"/>
    <col min="107" max="116" width="9.5" bestFit="1" customWidth="1"/>
    <col min="117" max="117" width="11.875" bestFit="1" customWidth="1"/>
    <col min="118" max="120" width="9.5" bestFit="1" customWidth="1"/>
    <col min="121" max="121" width="11.875" bestFit="1" customWidth="1"/>
    <col min="122" max="127" width="9.5" bestFit="1" customWidth="1"/>
    <col min="128" max="128" width="11.875" bestFit="1" customWidth="1"/>
    <col min="129" max="135" width="9.5" bestFit="1" customWidth="1"/>
    <col min="136" max="136" width="11.875" bestFit="1" customWidth="1"/>
    <col min="137" max="137" width="9.5" bestFit="1" customWidth="1"/>
    <col min="138" max="138" width="11.875" bestFit="1" customWidth="1"/>
    <col min="139" max="144" width="9.5" bestFit="1" customWidth="1"/>
    <col min="145" max="145" width="11.875" bestFit="1" customWidth="1"/>
    <col min="146" max="148" width="9.5" bestFit="1" customWidth="1"/>
    <col min="149" max="149" width="11.875" bestFit="1" customWidth="1"/>
    <col min="150" max="159" width="9.5" bestFit="1" customWidth="1"/>
    <col min="160" max="160" width="11.875" bestFit="1" customWidth="1"/>
    <col min="161" max="166" width="9.5" bestFit="1" customWidth="1"/>
    <col min="167" max="167" width="11.875" bestFit="1" customWidth="1"/>
    <col min="168" max="182" width="9.5" bestFit="1" customWidth="1"/>
    <col min="183" max="183" width="11.875" bestFit="1" customWidth="1"/>
    <col min="184" max="187" width="9.5" bestFit="1" customWidth="1"/>
    <col min="188" max="188" width="11.875" bestFit="1" customWidth="1"/>
    <col min="189" max="192" width="9.5" bestFit="1" customWidth="1"/>
    <col min="193" max="193" width="11.875" bestFit="1" customWidth="1"/>
    <col min="194" max="201" width="9.5" bestFit="1" customWidth="1"/>
    <col min="202" max="202" width="11.875" bestFit="1" customWidth="1"/>
    <col min="203" max="205" width="9.5" bestFit="1" customWidth="1"/>
    <col min="206" max="206" width="11.875" bestFit="1" customWidth="1"/>
    <col min="207" max="208" width="9.5" bestFit="1" customWidth="1"/>
    <col min="209" max="209" width="11.875" bestFit="1" customWidth="1"/>
    <col min="210" max="217" width="9.5" bestFit="1" customWidth="1"/>
    <col min="218" max="218" width="11.875" bestFit="1" customWidth="1"/>
    <col min="219" max="219" width="9.5" bestFit="1" customWidth="1"/>
    <col min="220" max="220" width="11.875" bestFit="1" customWidth="1"/>
    <col min="221" max="222" width="9.5" bestFit="1" customWidth="1"/>
    <col min="223" max="223" width="11.875" bestFit="1" customWidth="1"/>
    <col min="224" max="226" width="9.5" bestFit="1" customWidth="1"/>
    <col min="227" max="227" width="11.875" bestFit="1" customWidth="1"/>
    <col min="228" max="239" width="9.5" bestFit="1" customWidth="1"/>
    <col min="240" max="240" width="11.875" bestFit="1" customWidth="1"/>
    <col min="241" max="246" width="9.5" bestFit="1" customWidth="1"/>
    <col min="247" max="247" width="11.875" bestFit="1" customWidth="1"/>
    <col min="248" max="252" width="9.5" bestFit="1" customWidth="1"/>
    <col min="253" max="253" width="11.875" bestFit="1" customWidth="1"/>
    <col min="254" max="257" width="9.5" bestFit="1" customWidth="1"/>
    <col min="258" max="258" width="11.875" bestFit="1" customWidth="1"/>
    <col min="259" max="259" width="9.5" bestFit="1" customWidth="1"/>
    <col min="260" max="260" width="11.875" bestFit="1" customWidth="1"/>
    <col min="261" max="262" width="9.5" bestFit="1" customWidth="1"/>
    <col min="263" max="263" width="11.875" bestFit="1" customWidth="1"/>
    <col min="264" max="270" width="9.5" bestFit="1" customWidth="1"/>
    <col min="271" max="271" width="11.875" bestFit="1" customWidth="1"/>
    <col min="272" max="273" width="9.5" bestFit="1" customWidth="1"/>
    <col min="274" max="274" width="11.875" bestFit="1" customWidth="1"/>
    <col min="275" max="282" width="9.5" bestFit="1" customWidth="1"/>
    <col min="283" max="283" width="11.875" bestFit="1" customWidth="1"/>
    <col min="284" max="286" width="9.5" bestFit="1" customWidth="1"/>
    <col min="287" max="287" width="11.875" bestFit="1" customWidth="1"/>
    <col min="288" max="289" width="9.5" bestFit="1" customWidth="1"/>
    <col min="290" max="290" width="11.875" bestFit="1" customWidth="1"/>
    <col min="291" max="293" width="9.5" bestFit="1" customWidth="1"/>
    <col min="294" max="294" width="11.875" bestFit="1" customWidth="1"/>
    <col min="295" max="297" width="9.5" bestFit="1" customWidth="1"/>
    <col min="298" max="298" width="11.875" bestFit="1" customWidth="1"/>
    <col min="299" max="301" width="9.5" bestFit="1" customWidth="1"/>
    <col min="302" max="302" width="11.875" bestFit="1" customWidth="1"/>
    <col min="303" max="308" width="9.5" bestFit="1" customWidth="1"/>
    <col min="309" max="309" width="11.875" bestFit="1" customWidth="1"/>
    <col min="310" max="310" width="9.5" bestFit="1" customWidth="1"/>
    <col min="311" max="311" width="11.875" bestFit="1" customWidth="1"/>
    <col min="312" max="314" width="9.5" bestFit="1" customWidth="1"/>
    <col min="315" max="315" width="11.875" bestFit="1" customWidth="1"/>
    <col min="316" max="316" width="9.5" bestFit="1" customWidth="1"/>
    <col min="317" max="317" width="11.875" bestFit="1" customWidth="1"/>
    <col min="318" max="326" width="9.5" bestFit="1" customWidth="1"/>
    <col min="327" max="327" width="11.875" bestFit="1" customWidth="1"/>
    <col min="328" max="328" width="9.5" bestFit="1" customWidth="1"/>
    <col min="329" max="329" width="11.875" bestFit="1" customWidth="1"/>
    <col min="330" max="335" width="9.5" bestFit="1" customWidth="1"/>
    <col min="336" max="336" width="11.875" bestFit="1" customWidth="1"/>
    <col min="337" max="341" width="9.5" bestFit="1" customWidth="1"/>
    <col min="342" max="342" width="11.875" bestFit="1" customWidth="1"/>
    <col min="343" max="344" width="9.5" bestFit="1" customWidth="1"/>
    <col min="345" max="345" width="11.875" bestFit="1" customWidth="1"/>
    <col min="346" max="349" width="9.5" bestFit="1" customWidth="1"/>
    <col min="350" max="350" width="11.875" bestFit="1" customWidth="1"/>
    <col min="351" max="353" width="9.5" bestFit="1" customWidth="1"/>
    <col min="354" max="354" width="11.875" bestFit="1" customWidth="1"/>
    <col min="355" max="359" width="9.5" bestFit="1" customWidth="1"/>
    <col min="360" max="360" width="11.875" bestFit="1" customWidth="1"/>
    <col min="361" max="361" width="9.5" bestFit="1" customWidth="1"/>
    <col min="362" max="362" width="11.875" bestFit="1" customWidth="1"/>
    <col min="363" max="365" width="9.5" bestFit="1" customWidth="1"/>
    <col min="366" max="366" width="11.875" bestFit="1" customWidth="1"/>
    <col min="367" max="367" width="9.5" bestFit="1" customWidth="1"/>
    <col min="368" max="368" width="11.875" bestFit="1" customWidth="1"/>
    <col min="369" max="370" width="9.5" bestFit="1" customWidth="1"/>
    <col min="371" max="371" width="11.875" bestFit="1" customWidth="1"/>
    <col min="372" max="372" width="9.5" bestFit="1" customWidth="1"/>
    <col min="373" max="373" width="11.875" bestFit="1" customWidth="1"/>
    <col min="374" max="375" width="9.5" bestFit="1" customWidth="1"/>
    <col min="376" max="376" width="11.875" bestFit="1" customWidth="1"/>
    <col min="377" max="382" width="9.5" bestFit="1" customWidth="1"/>
    <col min="383" max="383" width="11.875" bestFit="1" customWidth="1"/>
    <col min="384" max="384" width="9.5" bestFit="1" customWidth="1"/>
    <col min="385" max="385" width="11.875" bestFit="1" customWidth="1"/>
    <col min="386" max="387" width="9.5" bestFit="1" customWidth="1"/>
    <col min="388" max="388" width="11.875" bestFit="1" customWidth="1"/>
    <col min="389" max="389" width="9.5" bestFit="1" customWidth="1"/>
    <col min="390" max="390" width="11.875" bestFit="1" customWidth="1"/>
    <col min="391" max="391" width="9.5" bestFit="1" customWidth="1"/>
    <col min="392" max="392" width="11.875" bestFit="1" customWidth="1"/>
    <col min="393" max="393" width="9.5" bestFit="1" customWidth="1"/>
    <col min="394" max="394" width="11.875" bestFit="1" customWidth="1"/>
    <col min="395" max="396" width="9.5" bestFit="1" customWidth="1"/>
    <col min="397" max="397" width="11.875" bestFit="1" customWidth="1"/>
    <col min="398" max="403" width="9.5" bestFit="1" customWidth="1"/>
    <col min="404" max="404" width="11.875" bestFit="1" customWidth="1"/>
    <col min="405" max="405" width="9.5" bestFit="1" customWidth="1"/>
    <col min="406" max="406" width="11.875" bestFit="1" customWidth="1"/>
    <col min="407" max="410" width="9.5" bestFit="1" customWidth="1"/>
    <col min="411" max="411" width="11.875" bestFit="1" customWidth="1"/>
    <col min="412" max="413" width="10.625" bestFit="1" customWidth="1"/>
    <col min="414" max="414" width="13.125" bestFit="1" customWidth="1"/>
    <col min="415" max="415" width="10.625" bestFit="1" customWidth="1"/>
    <col min="416" max="416" width="13.125" bestFit="1" customWidth="1"/>
    <col min="417" max="418" width="10.625" bestFit="1" customWidth="1"/>
    <col min="419" max="419" width="13.125" bestFit="1" customWidth="1"/>
    <col min="420" max="420" width="10.625" bestFit="1" customWidth="1"/>
    <col min="421" max="421" width="13.125" bestFit="1" customWidth="1"/>
    <col min="422" max="422" width="10.625" bestFit="1" customWidth="1"/>
    <col min="423" max="423" width="13.125" bestFit="1" customWidth="1"/>
    <col min="424" max="424" width="10.625" bestFit="1" customWidth="1"/>
    <col min="425" max="425" width="13.125" bestFit="1" customWidth="1"/>
    <col min="426" max="429" width="10.625" bestFit="1" customWidth="1"/>
    <col min="430" max="430" width="13.125" bestFit="1" customWidth="1"/>
    <col min="431" max="434" width="10.625" bestFit="1" customWidth="1"/>
    <col min="435" max="435" width="13.125" bestFit="1" customWidth="1"/>
    <col min="436" max="438" width="10.625" bestFit="1" customWidth="1"/>
    <col min="439" max="439" width="13.125" bestFit="1" customWidth="1"/>
    <col min="440" max="442" width="10.625" bestFit="1" customWidth="1"/>
    <col min="443" max="443" width="13.125" bestFit="1" customWidth="1"/>
    <col min="444" max="444" width="10.625" bestFit="1" customWidth="1"/>
    <col min="445" max="445" width="13.125" bestFit="1" customWidth="1"/>
    <col min="446" max="449" width="10.625" bestFit="1" customWidth="1"/>
    <col min="450" max="450" width="13.125" bestFit="1" customWidth="1"/>
    <col min="451" max="452" width="10.625" bestFit="1" customWidth="1"/>
    <col min="453" max="453" width="13.125" bestFit="1" customWidth="1"/>
    <col min="454" max="455" width="10.625" bestFit="1" customWidth="1"/>
    <col min="456" max="456" width="13.125" bestFit="1" customWidth="1"/>
    <col min="457" max="458" width="10.625" bestFit="1" customWidth="1"/>
    <col min="459" max="459" width="13.125" bestFit="1" customWidth="1"/>
    <col min="460" max="460" width="10.625" bestFit="1" customWidth="1"/>
    <col min="461" max="461" width="13.125" bestFit="1" customWidth="1"/>
    <col min="462" max="463" width="10.625" bestFit="1" customWidth="1"/>
    <col min="464" max="464" width="13.125" bestFit="1" customWidth="1"/>
    <col min="465" max="465" width="10.625" bestFit="1" customWidth="1"/>
    <col min="466" max="466" width="13.125" bestFit="1" customWidth="1"/>
    <col min="467" max="468" width="10.625" bestFit="1" customWidth="1"/>
    <col min="469" max="469" width="13.125" bestFit="1" customWidth="1"/>
    <col min="470" max="475" width="10.625" bestFit="1" customWidth="1"/>
    <col min="476" max="476" width="13.125" bestFit="1" customWidth="1"/>
    <col min="477" max="478" width="10.625" bestFit="1" customWidth="1"/>
    <col min="479" max="479" width="13.125" bestFit="1" customWidth="1"/>
    <col min="480" max="480" width="10.625" bestFit="1" customWidth="1"/>
    <col min="481" max="481" width="13.125" bestFit="1" customWidth="1"/>
    <col min="482" max="482" width="10.625" bestFit="1" customWidth="1"/>
    <col min="483" max="483" width="13.125" bestFit="1" customWidth="1"/>
    <col min="484" max="484" width="10.625" bestFit="1" customWidth="1"/>
    <col min="485" max="485" width="13.125" bestFit="1" customWidth="1"/>
    <col min="486" max="486" width="10.625" bestFit="1" customWidth="1"/>
    <col min="487" max="487" width="13.125" bestFit="1" customWidth="1"/>
    <col min="488" max="488" width="10.625" bestFit="1" customWidth="1"/>
    <col min="489" max="489" width="13.125" bestFit="1" customWidth="1"/>
    <col min="490" max="492" width="10.625" bestFit="1" customWidth="1"/>
    <col min="493" max="493" width="13.125" bestFit="1" customWidth="1"/>
    <col min="494" max="494" width="10.625" bestFit="1" customWidth="1"/>
    <col min="495" max="495" width="13.125" bestFit="1" customWidth="1"/>
    <col min="496" max="497" width="10.625" bestFit="1" customWidth="1"/>
    <col min="498" max="498" width="13.125" bestFit="1" customWidth="1"/>
    <col min="499" max="502" width="10.625" bestFit="1" customWidth="1"/>
    <col min="503" max="503" width="13.125" bestFit="1" customWidth="1"/>
    <col min="504" max="504" width="10.625" bestFit="1" customWidth="1"/>
    <col min="505" max="505" width="13.125" bestFit="1" customWidth="1"/>
    <col min="506" max="506" width="10.625" bestFit="1" customWidth="1"/>
    <col min="507" max="507" width="13.125" bestFit="1" customWidth="1"/>
    <col min="508" max="509" width="10.625" bestFit="1" customWidth="1"/>
    <col min="510" max="510" width="13.125" bestFit="1" customWidth="1"/>
    <col min="511" max="512" width="10.625" bestFit="1" customWidth="1"/>
    <col min="513" max="513" width="13.125" bestFit="1" customWidth="1"/>
    <col min="514" max="516" width="10.625" bestFit="1" customWidth="1"/>
    <col min="517" max="517" width="13.125" bestFit="1" customWidth="1"/>
    <col min="518" max="518" width="10.625" bestFit="1" customWidth="1"/>
    <col min="519" max="519" width="13.125" bestFit="1" customWidth="1"/>
    <col min="520" max="520" width="10.625" bestFit="1" customWidth="1"/>
    <col min="521" max="521" width="13.125" bestFit="1" customWidth="1"/>
    <col min="522" max="522" width="10.625" bestFit="1" customWidth="1"/>
    <col min="523" max="523" width="13.125" bestFit="1" customWidth="1"/>
    <col min="524" max="524" width="10.625" bestFit="1" customWidth="1"/>
    <col min="525" max="525" width="13.125" bestFit="1" customWidth="1"/>
    <col min="526" max="528" width="10.625" bestFit="1" customWidth="1"/>
    <col min="529" max="529" width="13.125" bestFit="1" customWidth="1"/>
    <col min="530" max="530" width="10.625" bestFit="1" customWidth="1"/>
    <col min="531" max="531" width="13.125" bestFit="1" customWidth="1"/>
    <col min="532" max="533" width="10.625" bestFit="1" customWidth="1"/>
    <col min="534" max="534" width="13.125" bestFit="1" customWidth="1"/>
    <col min="535" max="536" width="10.625" bestFit="1" customWidth="1"/>
    <col min="537" max="537" width="13.125" bestFit="1" customWidth="1"/>
    <col min="538" max="541" width="10.625" bestFit="1" customWidth="1"/>
    <col min="542" max="542" width="13.125" bestFit="1" customWidth="1"/>
    <col min="543" max="543" width="10.625" bestFit="1" customWidth="1"/>
    <col min="544" max="544" width="13.125" bestFit="1" customWidth="1"/>
    <col min="545" max="546" width="10.625" bestFit="1" customWidth="1"/>
    <col min="547" max="547" width="13.125" bestFit="1" customWidth="1"/>
    <col min="548" max="548" width="10.625" bestFit="1" customWidth="1"/>
    <col min="549" max="549" width="13.125" bestFit="1" customWidth="1"/>
    <col min="550" max="552" width="10.625" bestFit="1" customWidth="1"/>
    <col min="553" max="553" width="13.125" bestFit="1" customWidth="1"/>
    <col min="554" max="554" width="10.625" bestFit="1" customWidth="1"/>
    <col min="555" max="555" width="13.125" bestFit="1" customWidth="1"/>
    <col min="556" max="556" width="10.625" bestFit="1" customWidth="1"/>
    <col min="557" max="557" width="13.125" bestFit="1" customWidth="1"/>
    <col min="558" max="558" width="10.625" bestFit="1" customWidth="1"/>
    <col min="559" max="559" width="13.125" bestFit="1" customWidth="1"/>
    <col min="560" max="560" width="10.625" bestFit="1" customWidth="1"/>
    <col min="561" max="561" width="13.125" bestFit="1" customWidth="1"/>
    <col min="562" max="562" width="10.625" bestFit="1" customWidth="1"/>
    <col min="563" max="563" width="13.125" bestFit="1" customWidth="1"/>
    <col min="564" max="564" width="10.625" bestFit="1" customWidth="1"/>
    <col min="565" max="565" width="13.125" bestFit="1" customWidth="1"/>
    <col min="566" max="566" width="10.625" bestFit="1" customWidth="1"/>
    <col min="567" max="567" width="13.125" bestFit="1" customWidth="1"/>
    <col min="568" max="570" width="10.625" bestFit="1" customWidth="1"/>
    <col min="571" max="571" width="13.125" bestFit="1" customWidth="1"/>
    <col min="572" max="573" width="10.625" bestFit="1" customWidth="1"/>
    <col min="574" max="574" width="13.125" bestFit="1" customWidth="1"/>
    <col min="575" max="575" width="10.625" bestFit="1" customWidth="1"/>
    <col min="576" max="576" width="13.125" bestFit="1" customWidth="1"/>
    <col min="577" max="580" width="10.625" bestFit="1" customWidth="1"/>
    <col min="581" max="581" width="13.125" bestFit="1" customWidth="1"/>
    <col min="582" max="582" width="10.625" bestFit="1" customWidth="1"/>
    <col min="583" max="583" width="13.125" bestFit="1" customWidth="1"/>
    <col min="584" max="584" width="10.625" bestFit="1" customWidth="1"/>
    <col min="585" max="585" width="13.125" bestFit="1" customWidth="1"/>
    <col min="586" max="586" width="10.625" bestFit="1" customWidth="1"/>
    <col min="587" max="587" width="13.125" bestFit="1" customWidth="1"/>
    <col min="588" max="588" width="10.625" bestFit="1" customWidth="1"/>
    <col min="589" max="589" width="13.125" bestFit="1" customWidth="1"/>
    <col min="590" max="590" width="10.625" bestFit="1" customWidth="1"/>
    <col min="591" max="591" width="13.125" bestFit="1" customWidth="1"/>
    <col min="592" max="592" width="10.625" bestFit="1" customWidth="1"/>
    <col min="593" max="593" width="13.125" bestFit="1" customWidth="1"/>
    <col min="594" max="594" width="10.625" bestFit="1" customWidth="1"/>
    <col min="595" max="595" width="13.125" bestFit="1" customWidth="1"/>
    <col min="596" max="596" width="10.625" bestFit="1" customWidth="1"/>
    <col min="597" max="597" width="13.125" bestFit="1" customWidth="1"/>
    <col min="598" max="598" width="10.625" bestFit="1" customWidth="1"/>
    <col min="599" max="599" width="13.125" bestFit="1" customWidth="1"/>
    <col min="600" max="600" width="10.625" bestFit="1" customWidth="1"/>
    <col min="601" max="601" width="13.125" bestFit="1" customWidth="1"/>
    <col min="602" max="603" width="10.625" bestFit="1" customWidth="1"/>
    <col min="604" max="604" width="13.125" bestFit="1" customWidth="1"/>
    <col min="605" max="605" width="10.625" bestFit="1" customWidth="1"/>
    <col min="606" max="606" width="13.125" bestFit="1" customWidth="1"/>
    <col min="607" max="609" width="10.625" bestFit="1" customWidth="1"/>
    <col min="610" max="610" width="13.125" bestFit="1" customWidth="1"/>
    <col min="611" max="611" width="10.625" bestFit="1" customWidth="1"/>
    <col min="612" max="612" width="13.125" bestFit="1" customWidth="1"/>
    <col min="613" max="613" width="10.625" bestFit="1" customWidth="1"/>
    <col min="614" max="614" width="13.125" bestFit="1" customWidth="1"/>
    <col min="615" max="615" width="10.625" bestFit="1" customWidth="1"/>
    <col min="616" max="616" width="13.125" bestFit="1" customWidth="1"/>
    <col min="617" max="617" width="10.625" bestFit="1" customWidth="1"/>
    <col min="618" max="618" width="13.125" bestFit="1" customWidth="1"/>
    <col min="619" max="619" width="10.625" bestFit="1" customWidth="1"/>
    <col min="620" max="620" width="13.125" bestFit="1" customWidth="1"/>
    <col min="621" max="622" width="10.625" bestFit="1" customWidth="1"/>
    <col min="623" max="623" width="13.125" bestFit="1" customWidth="1"/>
    <col min="624" max="624" width="10.625" bestFit="1" customWidth="1"/>
    <col min="625" max="625" width="13.125" bestFit="1" customWidth="1"/>
    <col min="626" max="626" width="10.625" bestFit="1" customWidth="1"/>
    <col min="627" max="627" width="13.125" bestFit="1" customWidth="1"/>
    <col min="628" max="628" width="10.625" bestFit="1" customWidth="1"/>
    <col min="629" max="629" width="13.125" bestFit="1" customWidth="1"/>
    <col min="630" max="630" width="10.625" bestFit="1" customWidth="1"/>
    <col min="631" max="631" width="13.125" bestFit="1" customWidth="1"/>
    <col min="632" max="632" width="10.625" bestFit="1" customWidth="1"/>
    <col min="633" max="633" width="13.125" bestFit="1" customWidth="1"/>
    <col min="634" max="635" width="10.625" bestFit="1" customWidth="1"/>
    <col min="636" max="636" width="13.125" bestFit="1" customWidth="1"/>
    <col min="637" max="637" width="10.625" bestFit="1" customWidth="1"/>
    <col min="638" max="638" width="13.125" bestFit="1" customWidth="1"/>
    <col min="639" max="639" width="10.625" bestFit="1" customWidth="1"/>
    <col min="640" max="640" width="13.125" bestFit="1" customWidth="1"/>
    <col min="641" max="641" width="10.625" bestFit="1" customWidth="1"/>
    <col min="642" max="642" width="13.125" bestFit="1" customWidth="1"/>
    <col min="643" max="643" width="10.625" bestFit="1" customWidth="1"/>
    <col min="644" max="644" width="13.125" bestFit="1" customWidth="1"/>
    <col min="645" max="645" width="10.625" bestFit="1" customWidth="1"/>
    <col min="646" max="646" width="13.125" bestFit="1" customWidth="1"/>
    <col min="647" max="647" width="10.625" bestFit="1" customWidth="1"/>
    <col min="648" max="648" width="13.125" bestFit="1" customWidth="1"/>
    <col min="649" max="649" width="10.625" bestFit="1" customWidth="1"/>
    <col min="650" max="650" width="13.125" bestFit="1" customWidth="1"/>
    <col min="651" max="651" width="10.625" bestFit="1" customWidth="1"/>
    <col min="652" max="652" width="13.125" bestFit="1" customWidth="1"/>
    <col min="653" max="654" width="10.625" bestFit="1" customWidth="1"/>
    <col min="655" max="655" width="13.125" bestFit="1" customWidth="1"/>
    <col min="656" max="656" width="10.625" bestFit="1" customWidth="1"/>
    <col min="657" max="657" width="13.125" bestFit="1" customWidth="1"/>
    <col min="658" max="658" width="10.625" bestFit="1" customWidth="1"/>
    <col min="659" max="659" width="13.125" bestFit="1" customWidth="1"/>
    <col min="660" max="660" width="10.625" bestFit="1" customWidth="1"/>
    <col min="661" max="661" width="13.125" bestFit="1" customWidth="1"/>
    <col min="662" max="662" width="10.625" bestFit="1" customWidth="1"/>
    <col min="663" max="663" width="13.125" bestFit="1" customWidth="1"/>
    <col min="664" max="664" width="10.625" bestFit="1" customWidth="1"/>
    <col min="665" max="665" width="13.125" bestFit="1" customWidth="1"/>
    <col min="666" max="666" width="10.625" bestFit="1" customWidth="1"/>
    <col min="667" max="667" width="13.125" bestFit="1" customWidth="1"/>
    <col min="668" max="668" width="10.625" bestFit="1" customWidth="1"/>
    <col min="669" max="669" width="13.125" bestFit="1" customWidth="1"/>
    <col min="670" max="670" width="10.625" bestFit="1" customWidth="1"/>
    <col min="671" max="671" width="13.125" bestFit="1" customWidth="1"/>
    <col min="672" max="672" width="10.625" bestFit="1" customWidth="1"/>
    <col min="673" max="673" width="13.125" bestFit="1" customWidth="1"/>
    <col min="674" max="674" width="10.625" bestFit="1" customWidth="1"/>
    <col min="675" max="675" width="13.125" bestFit="1" customWidth="1"/>
    <col min="676" max="676" width="10.625" bestFit="1" customWidth="1"/>
    <col min="677" max="677" width="13.125" bestFit="1" customWidth="1"/>
    <col min="678" max="678" width="10.625" bestFit="1" customWidth="1"/>
    <col min="679" max="679" width="13.125" bestFit="1" customWidth="1"/>
    <col min="680" max="680" width="10.625" bestFit="1" customWidth="1"/>
    <col min="681" max="681" width="13.125" bestFit="1" customWidth="1"/>
    <col min="682" max="682" width="10.625" bestFit="1" customWidth="1"/>
    <col min="683" max="683" width="13.125" bestFit="1" customWidth="1"/>
    <col min="684" max="684" width="10.625" bestFit="1" customWidth="1"/>
    <col min="685" max="685" width="13.125" bestFit="1" customWidth="1"/>
    <col min="686" max="686" width="10.625" bestFit="1" customWidth="1"/>
    <col min="687" max="687" width="13.125" bestFit="1" customWidth="1"/>
    <col min="688" max="688" width="10.625" bestFit="1" customWidth="1"/>
    <col min="689" max="689" width="13.125" bestFit="1" customWidth="1"/>
    <col min="690" max="690" width="10.625" bestFit="1" customWidth="1"/>
    <col min="691" max="691" width="13.125" bestFit="1" customWidth="1"/>
    <col min="692" max="692" width="10.625" bestFit="1" customWidth="1"/>
    <col min="693" max="693" width="13.125" bestFit="1" customWidth="1"/>
    <col min="694" max="694" width="10.625" bestFit="1" customWidth="1"/>
    <col min="695" max="695" width="13.125" bestFit="1" customWidth="1"/>
    <col min="696" max="696" width="10.625" bestFit="1" customWidth="1"/>
    <col min="697" max="697" width="13.125" bestFit="1" customWidth="1"/>
    <col min="698" max="698" width="25.375" bestFit="1" customWidth="1"/>
    <col min="699" max="699" width="28.125" bestFit="1" customWidth="1"/>
    <col min="700" max="700" width="7.375" bestFit="1" customWidth="1"/>
  </cols>
  <sheetData>
    <row r="3" spans="1:2" x14ac:dyDescent="0.3">
      <c r="A3" s="15" t="s">
        <v>1804</v>
      </c>
      <c r="B3" t="s">
        <v>1807</v>
      </c>
    </row>
    <row r="4" spans="1:2" x14ac:dyDescent="0.3">
      <c r="A4" s="16">
        <v>2</v>
      </c>
      <c r="B4">
        <v>1</v>
      </c>
    </row>
    <row r="5" spans="1:2" x14ac:dyDescent="0.3">
      <c r="A5" s="16">
        <v>3</v>
      </c>
      <c r="B5">
        <v>2</v>
      </c>
    </row>
    <row r="6" spans="1:2" x14ac:dyDescent="0.3">
      <c r="A6" s="16">
        <v>4</v>
      </c>
      <c r="B6">
        <v>9</v>
      </c>
    </row>
    <row r="7" spans="1:2" x14ac:dyDescent="0.3">
      <c r="A7" s="16">
        <v>5</v>
      </c>
      <c r="B7">
        <v>2</v>
      </c>
    </row>
    <row r="8" spans="1:2" x14ac:dyDescent="0.3">
      <c r="A8" s="16">
        <v>6</v>
      </c>
      <c r="B8">
        <v>9</v>
      </c>
    </row>
    <row r="9" spans="1:2" x14ac:dyDescent="0.3">
      <c r="A9" s="16">
        <v>7</v>
      </c>
      <c r="B9">
        <v>12</v>
      </c>
    </row>
    <row r="10" spans="1:2" x14ac:dyDescent="0.3">
      <c r="A10" s="16">
        <v>8</v>
      </c>
      <c r="B10">
        <v>10</v>
      </c>
    </row>
    <row r="11" spans="1:2" x14ac:dyDescent="0.3">
      <c r="A11" s="16">
        <v>9</v>
      </c>
      <c r="B11">
        <v>6</v>
      </c>
    </row>
    <row r="12" spans="1:2" x14ac:dyDescent="0.3">
      <c r="A12" s="16">
        <v>10</v>
      </c>
      <c r="B12">
        <v>15</v>
      </c>
    </row>
    <row r="13" spans="1:2" x14ac:dyDescent="0.3">
      <c r="A13" s="16">
        <v>11</v>
      </c>
      <c r="B13">
        <v>17</v>
      </c>
    </row>
    <row r="14" spans="1:2" x14ac:dyDescent="0.3">
      <c r="A14" s="16">
        <v>12</v>
      </c>
      <c r="B14">
        <v>22</v>
      </c>
    </row>
    <row r="15" spans="1:2" x14ac:dyDescent="0.3">
      <c r="A15" s="16">
        <v>13</v>
      </c>
      <c r="B15">
        <v>35</v>
      </c>
    </row>
    <row r="16" spans="1:2" x14ac:dyDescent="0.3">
      <c r="A16" s="16">
        <v>14</v>
      </c>
      <c r="B16">
        <v>35</v>
      </c>
    </row>
    <row r="17" spans="1:2" x14ac:dyDescent="0.3">
      <c r="A17" s="16">
        <v>15</v>
      </c>
      <c r="B17">
        <v>78</v>
      </c>
    </row>
    <row r="18" spans="1:2" x14ac:dyDescent="0.3">
      <c r="A18" s="16">
        <v>16</v>
      </c>
      <c r="B18">
        <v>83</v>
      </c>
    </row>
    <row r="19" spans="1:2" x14ac:dyDescent="0.3">
      <c r="A19" s="16">
        <v>17</v>
      </c>
      <c r="B19">
        <v>95</v>
      </c>
    </row>
    <row r="20" spans="1:2" x14ac:dyDescent="0.3">
      <c r="A20" s="16">
        <v>18</v>
      </c>
      <c r="B20">
        <v>103</v>
      </c>
    </row>
    <row r="21" spans="1:2" x14ac:dyDescent="0.3">
      <c r="A21" s="16">
        <v>19</v>
      </c>
      <c r="B21">
        <v>114</v>
      </c>
    </row>
    <row r="22" spans="1:2" x14ac:dyDescent="0.3">
      <c r="A22" s="16">
        <v>20</v>
      </c>
      <c r="B22">
        <v>137</v>
      </c>
    </row>
    <row r="23" spans="1:2" x14ac:dyDescent="0.3">
      <c r="A23" s="16">
        <v>21</v>
      </c>
      <c r="B23">
        <v>105</v>
      </c>
    </row>
    <row r="24" spans="1:2" x14ac:dyDescent="0.3">
      <c r="A24" s="16">
        <v>22</v>
      </c>
      <c r="B24">
        <v>74</v>
      </c>
    </row>
    <row r="25" spans="1:2" x14ac:dyDescent="0.3">
      <c r="A25" s="16">
        <v>23</v>
      </c>
      <c r="B25">
        <v>68</v>
      </c>
    </row>
    <row r="26" spans="1:2" x14ac:dyDescent="0.3">
      <c r="A26" s="16">
        <v>24</v>
      </c>
      <c r="B26">
        <v>87</v>
      </c>
    </row>
    <row r="27" spans="1:2" x14ac:dyDescent="0.3">
      <c r="A27" s="16">
        <v>25</v>
      </c>
      <c r="B27">
        <v>55</v>
      </c>
    </row>
    <row r="28" spans="1:2" x14ac:dyDescent="0.3">
      <c r="A28" s="16">
        <v>26</v>
      </c>
      <c r="B28">
        <v>53</v>
      </c>
    </row>
    <row r="29" spans="1:2" x14ac:dyDescent="0.3">
      <c r="A29" s="16">
        <v>27</v>
      </c>
      <c r="B29">
        <v>34</v>
      </c>
    </row>
    <row r="30" spans="1:2" x14ac:dyDescent="0.3">
      <c r="A30" s="16">
        <v>28</v>
      </c>
      <c r="B30">
        <v>30</v>
      </c>
    </row>
    <row r="31" spans="1:2" x14ac:dyDescent="0.3">
      <c r="A31" s="16">
        <v>29</v>
      </c>
      <c r="B31">
        <v>16</v>
      </c>
    </row>
    <row r="32" spans="1:2" x14ac:dyDescent="0.3">
      <c r="A32" s="16">
        <v>30</v>
      </c>
      <c r="B32">
        <v>11</v>
      </c>
    </row>
    <row r="33" spans="1:2" x14ac:dyDescent="0.3">
      <c r="A33" s="16">
        <v>31</v>
      </c>
      <c r="B33">
        <v>8</v>
      </c>
    </row>
    <row r="34" spans="1:2" x14ac:dyDescent="0.3">
      <c r="A34" s="16">
        <v>32</v>
      </c>
      <c r="B34">
        <v>4</v>
      </c>
    </row>
    <row r="35" spans="1:2" x14ac:dyDescent="0.3">
      <c r="A35" s="16">
        <v>33</v>
      </c>
      <c r="B35">
        <v>3</v>
      </c>
    </row>
    <row r="36" spans="1:2" x14ac:dyDescent="0.3">
      <c r="A36" s="16">
        <v>40</v>
      </c>
      <c r="B36">
        <v>1</v>
      </c>
    </row>
    <row r="37" spans="1:2" x14ac:dyDescent="0.3">
      <c r="A37" s="16">
        <v>42</v>
      </c>
      <c r="B37">
        <v>1</v>
      </c>
    </row>
    <row r="38" spans="1:2" x14ac:dyDescent="0.3">
      <c r="A38" s="16">
        <v>44</v>
      </c>
      <c r="B38">
        <v>1</v>
      </c>
    </row>
    <row r="39" spans="1:2" x14ac:dyDescent="0.3">
      <c r="A39" s="16" t="s">
        <v>237</v>
      </c>
      <c r="B39">
        <v>1</v>
      </c>
    </row>
    <row r="40" spans="1:2" x14ac:dyDescent="0.3">
      <c r="A40" s="16" t="s">
        <v>1805</v>
      </c>
      <c r="B40">
        <v>1337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A593-FF28-4801-AC2D-9AF623B28D76}">
  <dimension ref="A1:U1338"/>
  <sheetViews>
    <sheetView topLeftCell="A180" workbookViewId="0">
      <selection activeCell="Q195" sqref="Q195:U195"/>
    </sheetView>
  </sheetViews>
  <sheetFormatPr defaultRowHeight="16.5" x14ac:dyDescent="0.3"/>
  <cols>
    <col min="1" max="1" width="24.625" customWidth="1"/>
    <col min="4" max="4" width="11.125" bestFit="1" customWidth="1"/>
    <col min="10" max="10" width="11.875" bestFit="1" customWidth="1"/>
    <col min="11" max="11" width="15.875" bestFit="1" customWidth="1"/>
    <col min="12" max="12" width="11.125" bestFit="1" customWidth="1"/>
    <col min="13" max="13" width="10.875" bestFit="1" customWidth="1"/>
    <col min="14" max="14" width="11.875" bestFit="1" customWidth="1"/>
    <col min="17" max="17" width="22" bestFit="1" customWidth="1"/>
    <col min="18" max="18" width="14.375" bestFit="1" customWidth="1"/>
    <col min="19" max="20" width="16.5" bestFit="1" customWidth="1"/>
    <col min="21" max="21" width="14.5" bestFit="1" customWidth="1"/>
    <col min="22" max="22" width="19.75" bestFit="1" customWidth="1"/>
    <col min="23" max="23" width="6.25" bestFit="1" customWidth="1"/>
    <col min="24" max="24" width="14.5" bestFit="1" customWidth="1"/>
  </cols>
  <sheetData>
    <row r="1" spans="1:21" x14ac:dyDescent="0.3">
      <c r="E1" t="s">
        <v>219</v>
      </c>
    </row>
    <row r="2" spans="1:21" x14ac:dyDescent="0.3">
      <c r="A2" t="s">
        <v>1039</v>
      </c>
      <c r="B2" t="s">
        <v>226</v>
      </c>
      <c r="C2">
        <v>2</v>
      </c>
      <c r="D2" s="1">
        <v>45875</v>
      </c>
      <c r="E2">
        <v>605000</v>
      </c>
      <c r="F2" t="s">
        <v>337</v>
      </c>
      <c r="G2">
        <v>854</v>
      </c>
      <c r="I2" t="s">
        <v>1772</v>
      </c>
      <c r="J2" t="s">
        <v>1773</v>
      </c>
      <c r="L2" s="9">
        <v>10000</v>
      </c>
      <c r="M2" cm="1">
        <f t="array" ref="M2:M14">FREQUENCY(E:E, L2:L13)</f>
        <v>705</v>
      </c>
      <c r="N2" s="10">
        <f t="shared" ref="N2:N12" si="0">M2*L2</f>
        <v>7050000</v>
      </c>
      <c r="O2" s="11">
        <f>M2/I$3</f>
        <v>0.52729992520568436</v>
      </c>
    </row>
    <row r="3" spans="1:21" x14ac:dyDescent="0.3">
      <c r="A3" t="s">
        <v>1039</v>
      </c>
      <c r="B3" t="s">
        <v>309</v>
      </c>
      <c r="C3">
        <v>2</v>
      </c>
      <c r="D3" s="1">
        <v>45873</v>
      </c>
      <c r="E3">
        <v>557700</v>
      </c>
      <c r="F3" t="s">
        <v>406</v>
      </c>
      <c r="G3">
        <v>619</v>
      </c>
      <c r="I3">
        <f>COUNTA(A:A)</f>
        <v>1337</v>
      </c>
      <c r="J3" s="9">
        <f>SUM(E:E)</f>
        <v>68461800</v>
      </c>
      <c r="L3" s="9">
        <v>30000</v>
      </c>
      <c r="M3">
        <v>199</v>
      </c>
      <c r="N3" s="10">
        <f t="shared" si="0"/>
        <v>5970000</v>
      </c>
      <c r="O3" s="11">
        <f t="shared" ref="O3:O13" si="1">M3/I$3</f>
        <v>0.14884068810770382</v>
      </c>
    </row>
    <row r="4" spans="1:21" x14ac:dyDescent="0.3">
      <c r="A4" t="s">
        <v>1039</v>
      </c>
      <c r="B4" t="s">
        <v>224</v>
      </c>
      <c r="C4">
        <v>3</v>
      </c>
      <c r="D4" s="1">
        <v>45882</v>
      </c>
      <c r="E4">
        <v>675400</v>
      </c>
      <c r="F4" t="s">
        <v>322</v>
      </c>
      <c r="G4">
        <v>1831</v>
      </c>
      <c r="L4" s="9">
        <v>100000</v>
      </c>
      <c r="M4">
        <v>245</v>
      </c>
      <c r="N4" s="10">
        <f t="shared" si="0"/>
        <v>24500000</v>
      </c>
      <c r="O4" s="11">
        <f t="shared" si="1"/>
        <v>0.18324607329842932</v>
      </c>
    </row>
    <row r="5" spans="1:21" x14ac:dyDescent="0.3">
      <c r="A5" t="s">
        <v>1039</v>
      </c>
      <c r="B5" t="s">
        <v>228</v>
      </c>
      <c r="C5">
        <v>3</v>
      </c>
      <c r="D5" s="1">
        <v>45869</v>
      </c>
      <c r="E5">
        <v>631400</v>
      </c>
      <c r="F5" t="s">
        <v>361</v>
      </c>
      <c r="G5">
        <v>343</v>
      </c>
      <c r="L5" s="9">
        <v>200000</v>
      </c>
      <c r="M5">
        <v>101</v>
      </c>
      <c r="N5" s="10">
        <f t="shared" si="0"/>
        <v>20200000</v>
      </c>
      <c r="O5" s="11">
        <f t="shared" si="1"/>
        <v>7.5542258788332081E-2</v>
      </c>
      <c r="Q5" s="15" t="s">
        <v>1804</v>
      </c>
      <c r="R5" t="s">
        <v>1833</v>
      </c>
      <c r="S5" t="s">
        <v>1813</v>
      </c>
      <c r="T5" t="s">
        <v>1832</v>
      </c>
      <c r="U5" t="s">
        <v>1831</v>
      </c>
    </row>
    <row r="6" spans="1:21" x14ac:dyDescent="0.3">
      <c r="A6" t="s">
        <v>1039</v>
      </c>
      <c r="B6" t="s">
        <v>228</v>
      </c>
      <c r="C6">
        <v>4</v>
      </c>
      <c r="D6" s="1">
        <v>45870</v>
      </c>
      <c r="E6">
        <v>990000</v>
      </c>
      <c r="F6" t="s">
        <v>287</v>
      </c>
      <c r="G6">
        <v>703</v>
      </c>
      <c r="L6" s="9">
        <v>300000</v>
      </c>
      <c r="M6">
        <v>44</v>
      </c>
      <c r="N6" s="10">
        <f t="shared" si="0"/>
        <v>13200000</v>
      </c>
      <c r="O6" s="11">
        <f t="shared" si="1"/>
        <v>3.2909498878085267E-2</v>
      </c>
      <c r="Q6" s="16">
        <v>0</v>
      </c>
      <c r="R6" s="17">
        <v>0</v>
      </c>
      <c r="S6" s="17">
        <v>0</v>
      </c>
      <c r="T6" s="17">
        <v>49</v>
      </c>
      <c r="U6" s="17">
        <v>23.183673469387756</v>
      </c>
    </row>
    <row r="7" spans="1:21" x14ac:dyDescent="0.3">
      <c r="A7" t="s">
        <v>1039</v>
      </c>
      <c r="B7" t="s">
        <v>226</v>
      </c>
      <c r="C7">
        <v>4</v>
      </c>
      <c r="D7" s="1">
        <v>45873</v>
      </c>
      <c r="E7">
        <v>707300</v>
      </c>
      <c r="F7" t="s">
        <v>241</v>
      </c>
      <c r="G7">
        <v>634</v>
      </c>
      <c r="L7" s="9">
        <v>400000</v>
      </c>
      <c r="M7">
        <v>16</v>
      </c>
      <c r="N7" s="10">
        <f t="shared" si="0"/>
        <v>6400000</v>
      </c>
      <c r="O7" s="11">
        <f t="shared" si="1"/>
        <v>1.1967090501121914E-2</v>
      </c>
      <c r="Q7" s="16">
        <v>2200</v>
      </c>
      <c r="R7" s="17">
        <v>2200</v>
      </c>
      <c r="S7" s="17">
        <v>2200</v>
      </c>
      <c r="T7" s="17">
        <v>1</v>
      </c>
      <c r="U7" s="17">
        <v>26</v>
      </c>
    </row>
    <row r="8" spans="1:21" x14ac:dyDescent="0.3">
      <c r="A8" t="s">
        <v>1039</v>
      </c>
      <c r="B8" t="s">
        <v>231</v>
      </c>
      <c r="C8">
        <v>4</v>
      </c>
      <c r="D8" s="1">
        <v>45883</v>
      </c>
      <c r="E8">
        <v>645700</v>
      </c>
      <c r="F8" t="s">
        <v>1105</v>
      </c>
      <c r="G8">
        <v>1611</v>
      </c>
      <c r="L8" s="9">
        <v>500000</v>
      </c>
      <c r="M8">
        <v>12</v>
      </c>
      <c r="N8" s="10">
        <f t="shared" si="0"/>
        <v>6000000</v>
      </c>
      <c r="O8" s="11">
        <f t="shared" si="1"/>
        <v>8.9753178758414359E-3</v>
      </c>
      <c r="Q8" s="16">
        <v>6600</v>
      </c>
      <c r="R8" s="17">
        <v>6600</v>
      </c>
      <c r="S8" s="17">
        <v>6600</v>
      </c>
      <c r="T8" s="17">
        <v>1</v>
      </c>
      <c r="U8" s="17">
        <v>14</v>
      </c>
    </row>
    <row r="9" spans="1:21" x14ac:dyDescent="0.3">
      <c r="A9" t="s">
        <v>1039</v>
      </c>
      <c r="B9" t="s">
        <v>226</v>
      </c>
      <c r="C9">
        <v>4</v>
      </c>
      <c r="D9" s="1">
        <v>45872</v>
      </c>
      <c r="E9">
        <v>568700</v>
      </c>
      <c r="F9" t="s">
        <v>383</v>
      </c>
      <c r="G9">
        <v>594</v>
      </c>
      <c r="L9" s="9">
        <v>600000</v>
      </c>
      <c r="M9">
        <v>6</v>
      </c>
      <c r="N9" s="10">
        <f t="shared" si="0"/>
        <v>3600000</v>
      </c>
      <c r="O9" s="11">
        <f t="shared" si="1"/>
        <v>4.4876589379207179E-3</v>
      </c>
      <c r="Q9" s="16">
        <v>7700</v>
      </c>
      <c r="R9" s="17">
        <v>4935700</v>
      </c>
      <c r="S9" s="17">
        <v>7700</v>
      </c>
      <c r="T9" s="17">
        <v>641</v>
      </c>
      <c r="U9" s="17">
        <v>21.589703588143525</v>
      </c>
    </row>
    <row r="10" spans="1:21" x14ac:dyDescent="0.3">
      <c r="A10" t="s">
        <v>1039</v>
      </c>
      <c r="B10" t="s">
        <v>226</v>
      </c>
      <c r="C10">
        <v>4</v>
      </c>
      <c r="D10" s="1">
        <v>45874</v>
      </c>
      <c r="E10">
        <v>476300</v>
      </c>
      <c r="F10" t="s">
        <v>353</v>
      </c>
      <c r="G10">
        <v>688</v>
      </c>
      <c r="L10" s="9">
        <v>700000</v>
      </c>
      <c r="M10">
        <v>5</v>
      </c>
      <c r="N10" s="10">
        <f t="shared" si="0"/>
        <v>3500000</v>
      </c>
      <c r="O10" s="11">
        <f t="shared" si="1"/>
        <v>3.7397157816005983E-3</v>
      </c>
      <c r="Q10" s="16">
        <v>8800</v>
      </c>
      <c r="R10" s="17">
        <v>96800</v>
      </c>
      <c r="S10" s="17">
        <v>8800</v>
      </c>
      <c r="T10" s="17">
        <v>11</v>
      </c>
      <c r="U10" s="17">
        <v>23.727272727272727</v>
      </c>
    </row>
    <row r="11" spans="1:21" x14ac:dyDescent="0.3">
      <c r="A11" t="s">
        <v>1039</v>
      </c>
      <c r="B11" t="s">
        <v>231</v>
      </c>
      <c r="C11">
        <v>4</v>
      </c>
      <c r="D11" s="1">
        <v>45872</v>
      </c>
      <c r="E11">
        <v>471900</v>
      </c>
      <c r="F11" t="s">
        <v>279</v>
      </c>
      <c r="G11">
        <v>631</v>
      </c>
      <c r="L11" s="9">
        <v>800000</v>
      </c>
      <c r="M11">
        <v>1</v>
      </c>
      <c r="N11" s="10">
        <f t="shared" si="0"/>
        <v>800000</v>
      </c>
      <c r="O11" s="11">
        <f t="shared" si="1"/>
        <v>7.4794315632011965E-4</v>
      </c>
      <c r="Q11" s="16">
        <v>9900</v>
      </c>
      <c r="R11" s="17">
        <v>19800</v>
      </c>
      <c r="S11" s="17">
        <v>9900</v>
      </c>
      <c r="T11" s="17">
        <v>2</v>
      </c>
      <c r="U11" s="17">
        <v>26.5</v>
      </c>
    </row>
    <row r="12" spans="1:21" x14ac:dyDescent="0.3">
      <c r="A12" t="s">
        <v>1039</v>
      </c>
      <c r="B12" t="s">
        <v>313</v>
      </c>
      <c r="C12">
        <v>4</v>
      </c>
      <c r="D12" s="1">
        <v>45869</v>
      </c>
      <c r="E12">
        <v>447700</v>
      </c>
      <c r="F12" t="s">
        <v>252</v>
      </c>
      <c r="G12">
        <v>346</v>
      </c>
      <c r="L12" s="9">
        <v>900000</v>
      </c>
      <c r="M12">
        <v>2</v>
      </c>
      <c r="N12" s="10">
        <f t="shared" si="0"/>
        <v>1800000</v>
      </c>
      <c r="O12" s="11">
        <f t="shared" si="1"/>
        <v>1.4958863126402393E-3</v>
      </c>
      <c r="Q12" s="16">
        <v>11000</v>
      </c>
      <c r="R12" s="17">
        <v>396000</v>
      </c>
      <c r="S12" s="17">
        <v>11000</v>
      </c>
      <c r="T12" s="17">
        <v>36</v>
      </c>
      <c r="U12" s="17">
        <v>21.25</v>
      </c>
    </row>
    <row r="13" spans="1:21" x14ac:dyDescent="0.3">
      <c r="A13" t="s">
        <v>1039</v>
      </c>
      <c r="B13" t="s">
        <v>1043</v>
      </c>
      <c r="C13">
        <v>4</v>
      </c>
      <c r="D13" s="1">
        <v>45868</v>
      </c>
      <c r="E13">
        <v>349800</v>
      </c>
      <c r="F13" t="s">
        <v>282</v>
      </c>
      <c r="G13">
        <v>307</v>
      </c>
      <c r="L13" s="9">
        <v>1000000</v>
      </c>
      <c r="M13">
        <v>1</v>
      </c>
      <c r="N13" s="10">
        <f>M13*L13</f>
        <v>1000000</v>
      </c>
      <c r="O13" s="11">
        <f t="shared" si="1"/>
        <v>7.4794315632011965E-4</v>
      </c>
      <c r="Q13" s="16">
        <v>12100</v>
      </c>
      <c r="R13" s="17">
        <v>24200</v>
      </c>
      <c r="S13" s="17">
        <v>12100</v>
      </c>
      <c r="T13" s="17">
        <v>2</v>
      </c>
      <c r="U13" s="17">
        <v>17</v>
      </c>
    </row>
    <row r="14" spans="1:21" x14ac:dyDescent="0.3">
      <c r="A14" t="s">
        <v>1039</v>
      </c>
      <c r="B14" t="s">
        <v>228</v>
      </c>
      <c r="C14">
        <v>4</v>
      </c>
      <c r="D14" s="1">
        <v>45867</v>
      </c>
      <c r="E14">
        <v>271700</v>
      </c>
      <c r="F14" t="s">
        <v>387</v>
      </c>
      <c r="G14">
        <v>283</v>
      </c>
      <c r="M14">
        <v>0</v>
      </c>
      <c r="N14" s="10">
        <f>SUM(N2:N13)</f>
        <v>94020000</v>
      </c>
      <c r="Q14" s="16">
        <v>13200</v>
      </c>
      <c r="R14" s="17">
        <v>39600</v>
      </c>
      <c r="S14" s="17">
        <v>13200</v>
      </c>
      <c r="T14" s="17">
        <v>3</v>
      </c>
      <c r="U14" s="17">
        <v>21.666666666666668</v>
      </c>
    </row>
    <row r="15" spans="1:21" x14ac:dyDescent="0.3">
      <c r="A15" t="s">
        <v>1039</v>
      </c>
      <c r="B15" t="s">
        <v>309</v>
      </c>
      <c r="C15">
        <v>5</v>
      </c>
      <c r="D15" s="1">
        <v>45855</v>
      </c>
      <c r="E15">
        <v>650100</v>
      </c>
      <c r="F15" t="s">
        <v>358</v>
      </c>
      <c r="G15">
        <v>268</v>
      </c>
      <c r="Q15" s="16">
        <v>14300</v>
      </c>
      <c r="R15" s="17">
        <v>371800</v>
      </c>
      <c r="S15" s="17">
        <v>14300</v>
      </c>
      <c r="T15" s="17">
        <v>26</v>
      </c>
      <c r="U15" s="17">
        <v>20.346153846153847</v>
      </c>
    </row>
    <row r="16" spans="1:21" x14ac:dyDescent="0.3">
      <c r="A16" t="s">
        <v>1039</v>
      </c>
      <c r="B16" t="s">
        <v>231</v>
      </c>
      <c r="C16">
        <v>5</v>
      </c>
      <c r="D16" s="1">
        <v>45874</v>
      </c>
      <c r="E16">
        <v>322300</v>
      </c>
      <c r="F16" t="s">
        <v>315</v>
      </c>
      <c r="G16">
        <v>1063</v>
      </c>
      <c r="Q16" s="16">
        <v>15400</v>
      </c>
      <c r="R16" s="17">
        <v>46200</v>
      </c>
      <c r="S16" s="17">
        <v>15400</v>
      </c>
      <c r="T16" s="17">
        <v>3</v>
      </c>
      <c r="U16" s="17">
        <v>19.333333333333332</v>
      </c>
    </row>
    <row r="17" spans="1:21" x14ac:dyDescent="0.3">
      <c r="A17" t="s">
        <v>1039</v>
      </c>
      <c r="B17" t="s">
        <v>231</v>
      </c>
      <c r="C17">
        <v>6</v>
      </c>
      <c r="D17" s="1">
        <v>45873</v>
      </c>
      <c r="E17">
        <v>512600</v>
      </c>
      <c r="F17" t="s">
        <v>272</v>
      </c>
      <c r="G17">
        <v>847</v>
      </c>
      <c r="Q17" s="16">
        <v>16500</v>
      </c>
      <c r="R17" s="17">
        <v>49500</v>
      </c>
      <c r="S17" s="17">
        <v>16500</v>
      </c>
      <c r="T17" s="17">
        <v>3</v>
      </c>
      <c r="U17" s="17">
        <v>17.666666666666668</v>
      </c>
    </row>
    <row r="18" spans="1:21" x14ac:dyDescent="0.3">
      <c r="A18" t="s">
        <v>1039</v>
      </c>
      <c r="B18" t="s">
        <v>233</v>
      </c>
      <c r="C18">
        <v>6</v>
      </c>
      <c r="D18" s="1">
        <v>45871</v>
      </c>
      <c r="E18">
        <v>447700</v>
      </c>
      <c r="F18" t="s">
        <v>331</v>
      </c>
      <c r="G18">
        <v>597</v>
      </c>
      <c r="Q18" s="16">
        <v>17600</v>
      </c>
      <c r="R18" s="17">
        <v>52800</v>
      </c>
      <c r="S18" s="17">
        <v>17600</v>
      </c>
      <c r="T18" s="17">
        <v>3</v>
      </c>
      <c r="U18" s="17">
        <v>17</v>
      </c>
    </row>
    <row r="19" spans="1:21" x14ac:dyDescent="0.3">
      <c r="A19" t="s">
        <v>1039</v>
      </c>
      <c r="B19" t="s">
        <v>226</v>
      </c>
      <c r="C19">
        <v>6</v>
      </c>
      <c r="D19" s="1">
        <v>45873</v>
      </c>
      <c r="E19">
        <v>421300</v>
      </c>
      <c r="F19" t="s">
        <v>754</v>
      </c>
      <c r="G19">
        <v>828</v>
      </c>
      <c r="Q19" s="16">
        <v>18700</v>
      </c>
      <c r="R19" s="17">
        <v>411400</v>
      </c>
      <c r="S19" s="17">
        <v>18700</v>
      </c>
      <c r="T19" s="17">
        <v>22</v>
      </c>
      <c r="U19" s="17">
        <v>20.09090909090909</v>
      </c>
    </row>
    <row r="20" spans="1:21" x14ac:dyDescent="0.3">
      <c r="A20" t="s">
        <v>1039</v>
      </c>
      <c r="B20" t="s">
        <v>228</v>
      </c>
      <c r="C20">
        <v>6</v>
      </c>
      <c r="D20" s="1">
        <v>45870</v>
      </c>
      <c r="E20">
        <v>372900</v>
      </c>
      <c r="F20" t="s">
        <v>824</v>
      </c>
      <c r="G20">
        <v>938</v>
      </c>
      <c r="Q20" s="16">
        <v>19800</v>
      </c>
      <c r="R20" s="17">
        <v>59400</v>
      </c>
      <c r="S20" s="17">
        <v>19800</v>
      </c>
      <c r="T20" s="17">
        <v>3</v>
      </c>
      <c r="U20" s="17">
        <v>20.333333333333332</v>
      </c>
    </row>
    <row r="21" spans="1:21" x14ac:dyDescent="0.3">
      <c r="A21" t="s">
        <v>1039</v>
      </c>
      <c r="B21" t="s">
        <v>231</v>
      </c>
      <c r="C21">
        <v>6</v>
      </c>
      <c r="D21" s="1">
        <v>45877</v>
      </c>
      <c r="E21">
        <v>328900</v>
      </c>
      <c r="F21" t="s">
        <v>553</v>
      </c>
      <c r="G21">
        <v>1175</v>
      </c>
      <c r="Q21" s="16">
        <v>20900</v>
      </c>
      <c r="R21" s="17">
        <v>167200</v>
      </c>
      <c r="S21" s="17">
        <v>20900</v>
      </c>
      <c r="T21" s="17">
        <v>8</v>
      </c>
      <c r="U21" s="17">
        <v>20.75</v>
      </c>
    </row>
    <row r="22" spans="1:21" x14ac:dyDescent="0.3">
      <c r="A22" t="s">
        <v>1039</v>
      </c>
      <c r="B22" t="s">
        <v>1042</v>
      </c>
      <c r="C22">
        <v>6</v>
      </c>
      <c r="D22" s="1">
        <v>45868</v>
      </c>
      <c r="E22">
        <v>282700</v>
      </c>
      <c r="F22" t="s">
        <v>360</v>
      </c>
      <c r="G22">
        <v>413</v>
      </c>
      <c r="Q22" s="16">
        <v>22000</v>
      </c>
      <c r="R22" s="17">
        <v>220000</v>
      </c>
      <c r="S22" s="17">
        <v>22000</v>
      </c>
      <c r="T22" s="17">
        <v>10</v>
      </c>
      <c r="U22" s="17">
        <v>22.8</v>
      </c>
    </row>
    <row r="23" spans="1:21" x14ac:dyDescent="0.3">
      <c r="A23" t="s">
        <v>1039</v>
      </c>
      <c r="B23" t="s">
        <v>310</v>
      </c>
      <c r="C23">
        <v>6</v>
      </c>
      <c r="D23" s="1">
        <v>45875</v>
      </c>
      <c r="E23">
        <v>273900</v>
      </c>
      <c r="F23" t="s">
        <v>474</v>
      </c>
      <c r="G23">
        <v>1111</v>
      </c>
      <c r="Q23" s="16">
        <v>23100</v>
      </c>
      <c r="R23" s="17">
        <v>23100</v>
      </c>
      <c r="S23" s="17">
        <v>23100</v>
      </c>
      <c r="T23" s="17">
        <v>1</v>
      </c>
      <c r="U23" s="17">
        <v>23</v>
      </c>
    </row>
    <row r="24" spans="1:21" x14ac:dyDescent="0.3">
      <c r="A24" t="s">
        <v>1039</v>
      </c>
      <c r="B24" t="s">
        <v>224</v>
      </c>
      <c r="C24">
        <v>6</v>
      </c>
      <c r="D24" s="1">
        <v>45873</v>
      </c>
      <c r="E24">
        <v>268400</v>
      </c>
      <c r="F24" t="s">
        <v>799</v>
      </c>
      <c r="G24">
        <v>723</v>
      </c>
      <c r="Q24" s="16">
        <v>25300</v>
      </c>
      <c r="R24" s="17">
        <v>202400</v>
      </c>
      <c r="S24" s="17">
        <v>25300</v>
      </c>
      <c r="T24" s="17">
        <v>8</v>
      </c>
      <c r="U24" s="17">
        <v>18.875</v>
      </c>
    </row>
    <row r="25" spans="1:21" x14ac:dyDescent="0.3">
      <c r="A25" t="s">
        <v>1039</v>
      </c>
      <c r="B25" t="s">
        <v>231</v>
      </c>
      <c r="C25">
        <v>6</v>
      </c>
      <c r="D25" s="1">
        <v>45873</v>
      </c>
      <c r="E25">
        <v>238700</v>
      </c>
      <c r="F25" t="s">
        <v>729</v>
      </c>
      <c r="G25">
        <v>808</v>
      </c>
      <c r="Q25" s="16">
        <v>26400</v>
      </c>
      <c r="R25" s="17">
        <v>79200</v>
      </c>
      <c r="S25" s="17">
        <v>26400</v>
      </c>
      <c r="T25" s="17">
        <v>3</v>
      </c>
      <c r="U25" s="17">
        <v>20.666666666666668</v>
      </c>
    </row>
    <row r="26" spans="1:21" x14ac:dyDescent="0.3">
      <c r="A26" t="s">
        <v>1039</v>
      </c>
      <c r="B26" t="s">
        <v>230</v>
      </c>
      <c r="C26">
        <v>7</v>
      </c>
      <c r="D26" s="1">
        <v>45865</v>
      </c>
      <c r="E26">
        <v>843700</v>
      </c>
      <c r="F26" t="s">
        <v>292</v>
      </c>
      <c r="G26">
        <v>430</v>
      </c>
      <c r="Q26" s="16">
        <v>27500</v>
      </c>
      <c r="R26" s="17">
        <v>605000</v>
      </c>
      <c r="S26" s="17">
        <v>27500</v>
      </c>
      <c r="T26" s="17">
        <v>22</v>
      </c>
      <c r="U26" s="17">
        <v>18.863636363636363</v>
      </c>
    </row>
    <row r="27" spans="1:21" x14ac:dyDescent="0.3">
      <c r="A27" t="s">
        <v>1039</v>
      </c>
      <c r="B27" t="s">
        <v>228</v>
      </c>
      <c r="C27">
        <v>7</v>
      </c>
      <c r="D27" s="1">
        <v>45873</v>
      </c>
      <c r="E27">
        <v>459800</v>
      </c>
      <c r="F27" t="s">
        <v>873</v>
      </c>
      <c r="G27">
        <v>891</v>
      </c>
      <c r="Q27" s="16">
        <v>28600</v>
      </c>
      <c r="R27" s="17">
        <v>171600</v>
      </c>
      <c r="S27" s="17">
        <v>28600</v>
      </c>
      <c r="T27" s="17">
        <v>6</v>
      </c>
      <c r="U27" s="17">
        <v>19.166666666666668</v>
      </c>
    </row>
    <row r="28" spans="1:21" x14ac:dyDescent="0.3">
      <c r="A28" t="s">
        <v>1039</v>
      </c>
      <c r="B28" t="s">
        <v>224</v>
      </c>
      <c r="C28">
        <v>7</v>
      </c>
      <c r="D28" s="1">
        <v>45874</v>
      </c>
      <c r="E28">
        <v>359700</v>
      </c>
      <c r="F28" t="s">
        <v>364</v>
      </c>
      <c r="G28">
        <v>1156</v>
      </c>
      <c r="Q28" s="16">
        <v>29700</v>
      </c>
      <c r="R28" s="17">
        <v>1188000</v>
      </c>
      <c r="S28" s="17">
        <v>29700</v>
      </c>
      <c r="T28" s="17">
        <v>40</v>
      </c>
      <c r="U28" s="17">
        <v>19.425000000000001</v>
      </c>
    </row>
    <row r="29" spans="1:21" x14ac:dyDescent="0.3">
      <c r="A29" t="s">
        <v>1039</v>
      </c>
      <c r="B29" t="s">
        <v>310</v>
      </c>
      <c r="C29">
        <v>7</v>
      </c>
      <c r="D29" s="1">
        <v>45867</v>
      </c>
      <c r="E29">
        <v>317900</v>
      </c>
      <c r="F29" t="s">
        <v>340</v>
      </c>
      <c r="G29">
        <v>391</v>
      </c>
      <c r="Q29" s="16">
        <v>30800</v>
      </c>
      <c r="R29" s="17">
        <v>123200</v>
      </c>
      <c r="S29" s="17">
        <v>30800</v>
      </c>
      <c r="T29" s="17">
        <v>4</v>
      </c>
      <c r="U29" s="17">
        <v>19.5</v>
      </c>
    </row>
    <row r="30" spans="1:21" x14ac:dyDescent="0.3">
      <c r="A30" t="s">
        <v>1039</v>
      </c>
      <c r="B30" t="s">
        <v>310</v>
      </c>
      <c r="C30">
        <v>7</v>
      </c>
      <c r="D30" s="1">
        <v>45854</v>
      </c>
      <c r="E30">
        <v>300300</v>
      </c>
      <c r="F30" t="s">
        <v>1000</v>
      </c>
      <c r="G30">
        <v>248</v>
      </c>
      <c r="Q30" s="16">
        <v>31900</v>
      </c>
      <c r="R30" s="17">
        <v>127600</v>
      </c>
      <c r="S30" s="17">
        <v>31900</v>
      </c>
      <c r="T30" s="17">
        <v>4</v>
      </c>
      <c r="U30" s="17">
        <v>20.5</v>
      </c>
    </row>
    <row r="31" spans="1:21" x14ac:dyDescent="0.3">
      <c r="A31" t="s">
        <v>1039</v>
      </c>
      <c r="B31" t="s">
        <v>310</v>
      </c>
      <c r="C31">
        <v>7</v>
      </c>
      <c r="D31" s="1">
        <v>45878</v>
      </c>
      <c r="E31">
        <v>283800</v>
      </c>
      <c r="F31" t="s">
        <v>1232</v>
      </c>
      <c r="G31">
        <v>1351</v>
      </c>
      <c r="Q31" s="16">
        <v>33000</v>
      </c>
      <c r="R31" s="17">
        <v>429000</v>
      </c>
      <c r="S31" s="17">
        <v>33000</v>
      </c>
      <c r="T31" s="17">
        <v>13</v>
      </c>
      <c r="U31" s="17">
        <v>18.384615384615383</v>
      </c>
    </row>
    <row r="32" spans="1:21" x14ac:dyDescent="0.3">
      <c r="A32" t="s">
        <v>1039</v>
      </c>
      <c r="B32" t="s">
        <v>310</v>
      </c>
      <c r="C32">
        <v>7</v>
      </c>
      <c r="D32" s="1">
        <v>45871</v>
      </c>
      <c r="E32">
        <v>283800</v>
      </c>
      <c r="F32" t="s">
        <v>350</v>
      </c>
      <c r="G32">
        <v>689</v>
      </c>
      <c r="Q32" s="16">
        <v>34100</v>
      </c>
      <c r="R32" s="17">
        <v>102300</v>
      </c>
      <c r="S32" s="17">
        <v>34100</v>
      </c>
      <c r="T32" s="17">
        <v>3</v>
      </c>
      <c r="U32" s="17">
        <v>16.666666666666668</v>
      </c>
    </row>
    <row r="33" spans="1:21" x14ac:dyDescent="0.3">
      <c r="A33" t="s">
        <v>1039</v>
      </c>
      <c r="B33" t="s">
        <v>309</v>
      </c>
      <c r="C33">
        <v>7</v>
      </c>
      <c r="D33" s="1">
        <v>45871</v>
      </c>
      <c r="E33">
        <v>249700</v>
      </c>
      <c r="F33" t="s">
        <v>369</v>
      </c>
      <c r="G33">
        <v>792</v>
      </c>
      <c r="Q33" s="16">
        <v>35200</v>
      </c>
      <c r="R33" s="17">
        <v>70400</v>
      </c>
      <c r="S33" s="17">
        <v>35200</v>
      </c>
      <c r="T33" s="17">
        <v>2</v>
      </c>
      <c r="U33" s="17">
        <v>17</v>
      </c>
    </row>
    <row r="34" spans="1:21" x14ac:dyDescent="0.3">
      <c r="A34" t="s">
        <v>1039</v>
      </c>
      <c r="B34" t="s">
        <v>233</v>
      </c>
      <c r="C34">
        <v>7</v>
      </c>
      <c r="D34" s="1">
        <v>45867</v>
      </c>
      <c r="E34">
        <v>249700</v>
      </c>
      <c r="F34" t="s">
        <v>253</v>
      </c>
      <c r="G34">
        <v>389</v>
      </c>
      <c r="Q34" s="16">
        <v>36300</v>
      </c>
      <c r="R34" s="17">
        <v>363000</v>
      </c>
      <c r="S34" s="17">
        <v>36300</v>
      </c>
      <c r="T34" s="17">
        <v>10</v>
      </c>
      <c r="U34" s="17">
        <v>17.899999999999999</v>
      </c>
    </row>
    <row r="35" spans="1:21" x14ac:dyDescent="0.3">
      <c r="A35" t="s">
        <v>1039</v>
      </c>
      <c r="B35" t="s">
        <v>310</v>
      </c>
      <c r="C35">
        <v>7</v>
      </c>
      <c r="D35" s="1">
        <v>45864</v>
      </c>
      <c r="E35">
        <v>240900</v>
      </c>
      <c r="F35" t="s">
        <v>384</v>
      </c>
      <c r="G35">
        <v>244</v>
      </c>
      <c r="Q35" s="16">
        <v>37400</v>
      </c>
      <c r="R35" s="17">
        <v>37400</v>
      </c>
      <c r="S35" s="17">
        <v>37400</v>
      </c>
      <c r="T35" s="17">
        <v>1</v>
      </c>
      <c r="U35" s="17">
        <v>18</v>
      </c>
    </row>
    <row r="36" spans="1:21" x14ac:dyDescent="0.3">
      <c r="A36" t="s">
        <v>1039</v>
      </c>
      <c r="B36" t="s">
        <v>233</v>
      </c>
      <c r="C36">
        <v>7</v>
      </c>
      <c r="D36" s="1">
        <v>45873</v>
      </c>
      <c r="E36">
        <v>200200</v>
      </c>
      <c r="F36" t="s">
        <v>537</v>
      </c>
      <c r="G36">
        <v>877</v>
      </c>
      <c r="Q36" s="16">
        <v>38500</v>
      </c>
      <c r="R36" s="17">
        <v>77000</v>
      </c>
      <c r="S36" s="17">
        <v>38500</v>
      </c>
      <c r="T36" s="17">
        <v>2</v>
      </c>
      <c r="U36" s="17">
        <v>19</v>
      </c>
    </row>
    <row r="37" spans="1:21" x14ac:dyDescent="0.3">
      <c r="A37" t="s">
        <v>1039</v>
      </c>
      <c r="B37" t="s">
        <v>235</v>
      </c>
      <c r="C37">
        <v>7</v>
      </c>
      <c r="D37" s="1">
        <v>45881</v>
      </c>
      <c r="E37">
        <v>103400</v>
      </c>
      <c r="F37" t="s">
        <v>1087</v>
      </c>
      <c r="G37">
        <v>1616</v>
      </c>
      <c r="Q37" s="16">
        <v>39600</v>
      </c>
      <c r="R37" s="17">
        <v>118800</v>
      </c>
      <c r="S37" s="17">
        <v>39600</v>
      </c>
      <c r="T37" s="17">
        <v>3</v>
      </c>
      <c r="U37" s="17">
        <v>19.666666666666668</v>
      </c>
    </row>
    <row r="38" spans="1:21" x14ac:dyDescent="0.3">
      <c r="A38" t="s">
        <v>1039</v>
      </c>
      <c r="B38" t="s">
        <v>310</v>
      </c>
      <c r="C38">
        <v>8</v>
      </c>
      <c r="D38" s="1">
        <v>45867</v>
      </c>
      <c r="E38">
        <v>469700</v>
      </c>
      <c r="F38" t="s">
        <v>359</v>
      </c>
      <c r="G38">
        <v>594</v>
      </c>
      <c r="Q38" s="16">
        <v>40700</v>
      </c>
      <c r="R38" s="17">
        <v>1668700</v>
      </c>
      <c r="S38" s="17">
        <v>40700</v>
      </c>
      <c r="T38" s="17">
        <v>41</v>
      </c>
      <c r="U38" s="17">
        <v>19.463414634146343</v>
      </c>
    </row>
    <row r="39" spans="1:21" x14ac:dyDescent="0.3">
      <c r="A39" t="s">
        <v>1039</v>
      </c>
      <c r="B39" t="s">
        <v>231</v>
      </c>
      <c r="C39">
        <v>8</v>
      </c>
      <c r="D39" s="1">
        <v>45868</v>
      </c>
      <c r="E39">
        <v>392700</v>
      </c>
      <c r="F39" t="s">
        <v>259</v>
      </c>
      <c r="G39">
        <v>572</v>
      </c>
      <c r="Q39" s="16">
        <v>41800</v>
      </c>
      <c r="R39" s="17">
        <v>250800</v>
      </c>
      <c r="S39" s="17">
        <v>41800</v>
      </c>
      <c r="T39" s="17">
        <v>6</v>
      </c>
      <c r="U39" s="17">
        <v>18.5</v>
      </c>
    </row>
    <row r="40" spans="1:21" x14ac:dyDescent="0.3">
      <c r="A40" t="s">
        <v>1039</v>
      </c>
      <c r="B40" t="s">
        <v>309</v>
      </c>
      <c r="C40">
        <v>8</v>
      </c>
      <c r="D40" s="1">
        <v>45865</v>
      </c>
      <c r="E40">
        <v>348700</v>
      </c>
      <c r="F40" t="s">
        <v>1021</v>
      </c>
      <c r="G40">
        <v>361</v>
      </c>
      <c r="Q40" s="16">
        <v>42900</v>
      </c>
      <c r="R40" s="17">
        <v>214500</v>
      </c>
      <c r="S40" s="17">
        <v>42900</v>
      </c>
      <c r="T40" s="17">
        <v>5</v>
      </c>
      <c r="U40" s="17">
        <v>17.8</v>
      </c>
    </row>
    <row r="41" spans="1:21" x14ac:dyDescent="0.3">
      <c r="A41" t="s">
        <v>1039</v>
      </c>
      <c r="B41" t="s">
        <v>225</v>
      </c>
      <c r="C41">
        <v>8</v>
      </c>
      <c r="D41" s="1">
        <v>45868</v>
      </c>
      <c r="E41">
        <v>270600</v>
      </c>
      <c r="F41" t="s">
        <v>966</v>
      </c>
      <c r="G41">
        <v>746</v>
      </c>
      <c r="Q41" s="16">
        <v>44000</v>
      </c>
      <c r="R41" s="17">
        <v>220000</v>
      </c>
      <c r="S41" s="17">
        <v>44000</v>
      </c>
      <c r="T41" s="17">
        <v>5</v>
      </c>
      <c r="U41" s="17">
        <v>19.600000000000001</v>
      </c>
    </row>
    <row r="42" spans="1:21" x14ac:dyDescent="0.3">
      <c r="A42" t="s">
        <v>1039</v>
      </c>
      <c r="B42" t="s">
        <v>236</v>
      </c>
      <c r="C42">
        <v>8</v>
      </c>
      <c r="D42" s="1">
        <v>45874</v>
      </c>
      <c r="E42">
        <v>244200</v>
      </c>
      <c r="F42" t="s">
        <v>1470</v>
      </c>
      <c r="G42">
        <v>1117</v>
      </c>
      <c r="Q42" s="16">
        <v>45100</v>
      </c>
      <c r="R42" s="17">
        <v>45100</v>
      </c>
      <c r="S42" s="17">
        <v>45100</v>
      </c>
      <c r="T42" s="17">
        <v>1</v>
      </c>
      <c r="U42" s="17">
        <v>19</v>
      </c>
    </row>
    <row r="43" spans="1:21" x14ac:dyDescent="0.3">
      <c r="A43" t="s">
        <v>1039</v>
      </c>
      <c r="B43" t="s">
        <v>309</v>
      </c>
      <c r="C43">
        <v>8</v>
      </c>
      <c r="D43" s="1">
        <v>45870</v>
      </c>
      <c r="E43">
        <v>221100</v>
      </c>
      <c r="F43" t="s">
        <v>319</v>
      </c>
      <c r="G43">
        <v>711</v>
      </c>
      <c r="Q43" s="16">
        <v>46200</v>
      </c>
      <c r="R43" s="17">
        <v>92400</v>
      </c>
      <c r="S43" s="17">
        <v>46200</v>
      </c>
      <c r="T43" s="17">
        <v>2</v>
      </c>
      <c r="U43" s="17">
        <v>16.5</v>
      </c>
    </row>
    <row r="44" spans="1:21" x14ac:dyDescent="0.3">
      <c r="A44" t="s">
        <v>1039</v>
      </c>
      <c r="B44" t="s">
        <v>309</v>
      </c>
      <c r="C44">
        <v>8</v>
      </c>
      <c r="D44" s="1">
        <v>45870</v>
      </c>
      <c r="E44">
        <v>194700</v>
      </c>
      <c r="F44" t="s">
        <v>720</v>
      </c>
      <c r="G44">
        <v>803</v>
      </c>
      <c r="Q44" s="16">
        <v>47300</v>
      </c>
      <c r="R44" s="17">
        <v>425700</v>
      </c>
      <c r="S44" s="17">
        <v>47300</v>
      </c>
      <c r="T44" s="17">
        <v>9</v>
      </c>
      <c r="U44" s="17">
        <v>20</v>
      </c>
    </row>
    <row r="45" spans="1:21" x14ac:dyDescent="0.3">
      <c r="A45" t="s">
        <v>1039</v>
      </c>
      <c r="B45" t="s">
        <v>235</v>
      </c>
      <c r="C45">
        <v>8</v>
      </c>
      <c r="D45" s="1">
        <v>45874</v>
      </c>
      <c r="E45">
        <v>152900</v>
      </c>
      <c r="F45" t="s">
        <v>507</v>
      </c>
      <c r="G45">
        <v>1266</v>
      </c>
      <c r="Q45" s="16">
        <v>48400</v>
      </c>
      <c r="R45" s="17">
        <v>96800</v>
      </c>
      <c r="S45" s="17">
        <v>48400</v>
      </c>
      <c r="T45" s="17">
        <v>2</v>
      </c>
      <c r="U45" s="17">
        <v>18</v>
      </c>
    </row>
    <row r="46" spans="1:21" x14ac:dyDescent="0.3">
      <c r="A46" t="s">
        <v>1039</v>
      </c>
      <c r="B46" t="s">
        <v>224</v>
      </c>
      <c r="C46">
        <v>8</v>
      </c>
      <c r="D46" s="1">
        <v>45870</v>
      </c>
      <c r="E46">
        <v>105600</v>
      </c>
      <c r="F46" t="s">
        <v>654</v>
      </c>
      <c r="G46">
        <v>651</v>
      </c>
      <c r="Q46" s="16">
        <v>51700</v>
      </c>
      <c r="R46" s="17">
        <v>517000</v>
      </c>
      <c r="S46" s="17">
        <v>51700</v>
      </c>
      <c r="T46" s="17">
        <v>10</v>
      </c>
      <c r="U46" s="17">
        <v>19.100000000000001</v>
      </c>
    </row>
    <row r="47" spans="1:21" x14ac:dyDescent="0.3">
      <c r="A47" t="s">
        <v>1039</v>
      </c>
      <c r="B47" t="s">
        <v>229</v>
      </c>
      <c r="C47">
        <v>8</v>
      </c>
      <c r="D47" s="1">
        <v>45873</v>
      </c>
      <c r="E47">
        <v>85800</v>
      </c>
      <c r="F47" t="s">
        <v>548</v>
      </c>
      <c r="G47">
        <v>921</v>
      </c>
      <c r="Q47" s="16">
        <v>52800</v>
      </c>
      <c r="R47" s="17">
        <v>264000</v>
      </c>
      <c r="S47" s="17">
        <v>52800</v>
      </c>
      <c r="T47" s="17">
        <v>5</v>
      </c>
      <c r="U47" s="17">
        <v>17.399999999999999</v>
      </c>
    </row>
    <row r="48" spans="1:21" x14ac:dyDescent="0.3">
      <c r="A48" t="s">
        <v>1039</v>
      </c>
      <c r="B48" t="s">
        <v>224</v>
      </c>
      <c r="C48">
        <v>9</v>
      </c>
      <c r="D48" s="1">
        <v>45864</v>
      </c>
      <c r="E48">
        <v>507100</v>
      </c>
      <c r="F48" t="s">
        <v>341</v>
      </c>
      <c r="G48">
        <v>426</v>
      </c>
      <c r="Q48" s="16">
        <v>53900</v>
      </c>
      <c r="R48" s="17">
        <v>107800</v>
      </c>
      <c r="S48" s="17">
        <v>53900</v>
      </c>
      <c r="T48" s="17">
        <v>2</v>
      </c>
      <c r="U48" s="17">
        <v>16.5</v>
      </c>
    </row>
    <row r="49" spans="1:21" x14ac:dyDescent="0.3">
      <c r="A49" t="s">
        <v>1039</v>
      </c>
      <c r="B49" t="s">
        <v>234</v>
      </c>
      <c r="C49">
        <v>9</v>
      </c>
      <c r="D49" s="1">
        <v>45864</v>
      </c>
      <c r="E49">
        <v>306900</v>
      </c>
      <c r="F49" t="s">
        <v>270</v>
      </c>
      <c r="G49">
        <v>696</v>
      </c>
      <c r="Q49" s="16">
        <v>55000</v>
      </c>
      <c r="R49" s="17">
        <v>165000</v>
      </c>
      <c r="S49" s="17">
        <v>55000</v>
      </c>
      <c r="T49" s="17">
        <v>3</v>
      </c>
      <c r="U49" s="17">
        <v>14</v>
      </c>
    </row>
    <row r="50" spans="1:21" x14ac:dyDescent="0.3">
      <c r="A50" t="s">
        <v>1039</v>
      </c>
      <c r="B50" t="s">
        <v>229</v>
      </c>
      <c r="C50">
        <v>9</v>
      </c>
      <c r="D50" s="1">
        <v>45875</v>
      </c>
      <c r="E50">
        <v>150700</v>
      </c>
      <c r="F50" t="s">
        <v>1335</v>
      </c>
      <c r="G50">
        <v>1274</v>
      </c>
      <c r="Q50" s="16">
        <v>56100</v>
      </c>
      <c r="R50" s="17">
        <v>168300</v>
      </c>
      <c r="S50" s="17">
        <v>56100</v>
      </c>
      <c r="T50" s="17">
        <v>3</v>
      </c>
      <c r="U50" s="17">
        <v>18.333333333333332</v>
      </c>
    </row>
    <row r="51" spans="1:21" x14ac:dyDescent="0.3">
      <c r="A51" t="s">
        <v>1039</v>
      </c>
      <c r="B51" t="s">
        <v>228</v>
      </c>
      <c r="C51">
        <v>9</v>
      </c>
      <c r="D51" s="1">
        <v>45875</v>
      </c>
      <c r="E51">
        <v>133100</v>
      </c>
      <c r="F51" t="s">
        <v>1304</v>
      </c>
      <c r="G51">
        <v>1319</v>
      </c>
      <c r="Q51" s="16">
        <v>57200</v>
      </c>
      <c r="R51" s="17">
        <v>171600</v>
      </c>
      <c r="S51" s="17">
        <v>57200</v>
      </c>
      <c r="T51" s="17">
        <v>3</v>
      </c>
      <c r="U51" s="17">
        <v>15.666666666666666</v>
      </c>
    </row>
    <row r="52" spans="1:21" x14ac:dyDescent="0.3">
      <c r="A52" t="s">
        <v>1039</v>
      </c>
      <c r="B52" t="s">
        <v>229</v>
      </c>
      <c r="C52">
        <v>9</v>
      </c>
      <c r="D52" s="1">
        <v>45870</v>
      </c>
      <c r="E52">
        <v>102300</v>
      </c>
      <c r="F52" t="s">
        <v>753</v>
      </c>
      <c r="G52">
        <v>802</v>
      </c>
      <c r="Q52" s="16">
        <v>58300</v>
      </c>
      <c r="R52" s="17">
        <v>408100</v>
      </c>
      <c r="S52" s="17">
        <v>58300</v>
      </c>
      <c r="T52" s="17">
        <v>7</v>
      </c>
      <c r="U52" s="17">
        <v>17.571428571428573</v>
      </c>
    </row>
    <row r="53" spans="1:21" x14ac:dyDescent="0.3">
      <c r="A53" t="s">
        <v>1039</v>
      </c>
      <c r="B53" t="s">
        <v>235</v>
      </c>
      <c r="C53">
        <v>9</v>
      </c>
      <c r="D53" s="1">
        <v>45868</v>
      </c>
      <c r="E53">
        <v>7700</v>
      </c>
      <c r="F53" t="s">
        <v>704</v>
      </c>
      <c r="G53">
        <v>738</v>
      </c>
      <c r="Q53" s="16">
        <v>59400</v>
      </c>
      <c r="R53" s="17">
        <v>59400</v>
      </c>
      <c r="S53" s="17">
        <v>59400</v>
      </c>
      <c r="T53" s="17">
        <v>1</v>
      </c>
      <c r="U53" s="17">
        <v>21</v>
      </c>
    </row>
    <row r="54" spans="1:21" x14ac:dyDescent="0.3">
      <c r="A54" t="s">
        <v>1039</v>
      </c>
      <c r="B54" t="s">
        <v>231</v>
      </c>
      <c r="C54">
        <v>10</v>
      </c>
      <c r="D54" s="1">
        <v>45865</v>
      </c>
      <c r="E54">
        <v>517000</v>
      </c>
      <c r="F54" t="s">
        <v>867</v>
      </c>
      <c r="G54">
        <v>666</v>
      </c>
      <c r="Q54" s="16">
        <v>60500</v>
      </c>
      <c r="R54" s="17">
        <v>181500</v>
      </c>
      <c r="S54" s="17">
        <v>60500</v>
      </c>
      <c r="T54" s="17">
        <v>3</v>
      </c>
      <c r="U54" s="17">
        <v>18</v>
      </c>
    </row>
    <row r="55" spans="1:21" x14ac:dyDescent="0.3">
      <c r="A55" t="s">
        <v>1039</v>
      </c>
      <c r="B55" t="s">
        <v>231</v>
      </c>
      <c r="C55">
        <v>10</v>
      </c>
      <c r="D55" s="1">
        <v>45866</v>
      </c>
      <c r="E55">
        <v>506000</v>
      </c>
      <c r="F55" t="s">
        <v>918</v>
      </c>
      <c r="G55">
        <v>552</v>
      </c>
      <c r="Q55" s="16">
        <v>61600</v>
      </c>
      <c r="R55" s="17">
        <v>123200</v>
      </c>
      <c r="S55" s="17">
        <v>61600</v>
      </c>
      <c r="T55" s="17">
        <v>2</v>
      </c>
      <c r="U55" s="17">
        <v>16</v>
      </c>
    </row>
    <row r="56" spans="1:21" x14ac:dyDescent="0.3">
      <c r="A56" t="s">
        <v>1039</v>
      </c>
      <c r="B56" t="s">
        <v>435</v>
      </c>
      <c r="C56">
        <v>10</v>
      </c>
      <c r="D56" s="1">
        <v>45864</v>
      </c>
      <c r="E56">
        <v>481800</v>
      </c>
      <c r="F56" t="s">
        <v>997</v>
      </c>
      <c r="G56">
        <v>404</v>
      </c>
      <c r="Q56" s="16">
        <v>62700</v>
      </c>
      <c r="R56" s="17">
        <v>1254000</v>
      </c>
      <c r="S56" s="17">
        <v>62700</v>
      </c>
      <c r="T56" s="17">
        <v>20</v>
      </c>
      <c r="U56" s="17">
        <v>18.399999999999999</v>
      </c>
    </row>
    <row r="57" spans="1:21" x14ac:dyDescent="0.3">
      <c r="A57" t="s">
        <v>1039</v>
      </c>
      <c r="B57" t="s">
        <v>224</v>
      </c>
      <c r="C57">
        <v>10</v>
      </c>
      <c r="D57" s="1">
        <v>45869</v>
      </c>
      <c r="E57">
        <v>458700</v>
      </c>
      <c r="F57" t="s">
        <v>742</v>
      </c>
      <c r="G57">
        <v>943</v>
      </c>
      <c r="Q57" s="16">
        <v>63800</v>
      </c>
      <c r="R57" s="17">
        <v>63800</v>
      </c>
      <c r="S57" s="17">
        <v>63800</v>
      </c>
      <c r="T57" s="17">
        <v>1</v>
      </c>
      <c r="U57" s="17">
        <v>18</v>
      </c>
    </row>
    <row r="58" spans="1:21" x14ac:dyDescent="0.3">
      <c r="A58" t="s">
        <v>1039</v>
      </c>
      <c r="B58" t="s">
        <v>228</v>
      </c>
      <c r="C58">
        <v>10</v>
      </c>
      <c r="D58" s="1">
        <v>45877</v>
      </c>
      <c r="E58">
        <v>262900</v>
      </c>
      <c r="F58" t="s">
        <v>1046</v>
      </c>
      <c r="G58">
        <v>1572</v>
      </c>
      <c r="Q58" s="16">
        <v>64900</v>
      </c>
      <c r="R58" s="17">
        <v>454300</v>
      </c>
      <c r="S58" s="17">
        <v>64900</v>
      </c>
      <c r="T58" s="17">
        <v>7</v>
      </c>
      <c r="U58" s="17">
        <v>17.714285714285715</v>
      </c>
    </row>
    <row r="59" spans="1:21" x14ac:dyDescent="0.3">
      <c r="A59" t="s">
        <v>1039</v>
      </c>
      <c r="B59" t="s">
        <v>310</v>
      </c>
      <c r="C59">
        <v>10</v>
      </c>
      <c r="D59" s="1">
        <v>45863</v>
      </c>
      <c r="E59">
        <v>262900</v>
      </c>
      <c r="F59" t="s">
        <v>985</v>
      </c>
      <c r="G59">
        <v>274</v>
      </c>
      <c r="Q59" s="16">
        <v>66000</v>
      </c>
      <c r="R59" s="17">
        <v>462000</v>
      </c>
      <c r="S59" s="17">
        <v>66000</v>
      </c>
      <c r="T59" s="17">
        <v>7</v>
      </c>
      <c r="U59" s="17">
        <v>18</v>
      </c>
    </row>
    <row r="60" spans="1:21" x14ac:dyDescent="0.3">
      <c r="A60" t="s">
        <v>1039</v>
      </c>
      <c r="B60" t="s">
        <v>228</v>
      </c>
      <c r="C60">
        <v>10</v>
      </c>
      <c r="D60" s="1">
        <v>45867</v>
      </c>
      <c r="E60">
        <v>227700</v>
      </c>
      <c r="F60" t="s">
        <v>644</v>
      </c>
      <c r="G60">
        <v>626</v>
      </c>
      <c r="Q60" s="16">
        <v>67100</v>
      </c>
      <c r="R60" s="17">
        <v>134200</v>
      </c>
      <c r="S60" s="17">
        <v>67100</v>
      </c>
      <c r="T60" s="17">
        <v>2</v>
      </c>
      <c r="U60" s="17">
        <v>15.5</v>
      </c>
    </row>
    <row r="61" spans="1:21" x14ac:dyDescent="0.3">
      <c r="A61" t="s">
        <v>1039</v>
      </c>
      <c r="B61" t="s">
        <v>309</v>
      </c>
      <c r="C61">
        <v>10</v>
      </c>
      <c r="D61" s="1">
        <v>45865</v>
      </c>
      <c r="E61">
        <v>227700</v>
      </c>
      <c r="F61" t="s">
        <v>907</v>
      </c>
      <c r="G61">
        <v>529</v>
      </c>
      <c r="Q61" s="16">
        <v>69300</v>
      </c>
      <c r="R61" s="17">
        <v>277200</v>
      </c>
      <c r="S61" s="17">
        <v>69300</v>
      </c>
      <c r="T61" s="17">
        <v>4</v>
      </c>
      <c r="U61" s="17">
        <v>16.5</v>
      </c>
    </row>
    <row r="62" spans="1:21" x14ac:dyDescent="0.3">
      <c r="A62" t="s">
        <v>1039</v>
      </c>
      <c r="B62" t="s">
        <v>226</v>
      </c>
      <c r="C62">
        <v>10</v>
      </c>
      <c r="D62" s="1">
        <v>45863</v>
      </c>
      <c r="E62">
        <v>193600</v>
      </c>
      <c r="F62" t="s">
        <v>847</v>
      </c>
      <c r="G62">
        <v>382</v>
      </c>
      <c r="Q62" s="16">
        <v>71500</v>
      </c>
      <c r="R62" s="17">
        <v>214500</v>
      </c>
      <c r="S62" s="17">
        <v>71500</v>
      </c>
      <c r="T62" s="17">
        <v>3</v>
      </c>
      <c r="U62" s="17">
        <v>16</v>
      </c>
    </row>
    <row r="63" spans="1:21" x14ac:dyDescent="0.3">
      <c r="A63" t="s">
        <v>1039</v>
      </c>
      <c r="B63" t="s">
        <v>309</v>
      </c>
      <c r="C63">
        <v>10</v>
      </c>
      <c r="D63" s="1">
        <v>45871</v>
      </c>
      <c r="E63">
        <v>174900</v>
      </c>
      <c r="F63" t="s">
        <v>522</v>
      </c>
      <c r="G63">
        <v>1005</v>
      </c>
      <c r="Q63" s="16">
        <v>73700</v>
      </c>
      <c r="R63" s="17">
        <v>515900</v>
      </c>
      <c r="S63" s="17">
        <v>73700</v>
      </c>
      <c r="T63" s="17">
        <v>7</v>
      </c>
      <c r="U63" s="17">
        <v>17.857142857142858</v>
      </c>
    </row>
    <row r="64" spans="1:21" x14ac:dyDescent="0.3">
      <c r="A64" t="s">
        <v>1039</v>
      </c>
      <c r="B64" t="s">
        <v>310</v>
      </c>
      <c r="C64">
        <v>10</v>
      </c>
      <c r="D64" s="1">
        <v>45862</v>
      </c>
      <c r="E64">
        <v>146300</v>
      </c>
      <c r="F64" t="s">
        <v>956</v>
      </c>
      <c r="G64">
        <v>358</v>
      </c>
      <c r="Q64" s="16">
        <v>75900</v>
      </c>
      <c r="R64" s="17">
        <v>75900</v>
      </c>
      <c r="S64" s="17">
        <v>75900</v>
      </c>
      <c r="T64" s="17">
        <v>1</v>
      </c>
      <c r="U64" s="17">
        <v>16</v>
      </c>
    </row>
    <row r="65" spans="1:21" x14ac:dyDescent="0.3">
      <c r="A65" t="s">
        <v>1039</v>
      </c>
      <c r="B65" t="s">
        <v>224</v>
      </c>
      <c r="C65">
        <v>10</v>
      </c>
      <c r="D65" s="1">
        <v>45865</v>
      </c>
      <c r="E65">
        <v>128700</v>
      </c>
      <c r="F65" t="s">
        <v>246</v>
      </c>
      <c r="G65">
        <v>432</v>
      </c>
      <c r="Q65" s="16">
        <v>77000</v>
      </c>
      <c r="R65" s="17">
        <v>231000</v>
      </c>
      <c r="S65" s="17">
        <v>77000</v>
      </c>
      <c r="T65" s="17">
        <v>3</v>
      </c>
      <c r="U65" s="17">
        <v>19.333333333333332</v>
      </c>
    </row>
    <row r="66" spans="1:21" x14ac:dyDescent="0.3">
      <c r="A66" t="s">
        <v>1039</v>
      </c>
      <c r="B66" t="s">
        <v>233</v>
      </c>
      <c r="C66">
        <v>10</v>
      </c>
      <c r="D66" s="1">
        <v>45876</v>
      </c>
      <c r="E66">
        <v>121000</v>
      </c>
      <c r="F66" t="s">
        <v>1179</v>
      </c>
      <c r="G66">
        <v>1415</v>
      </c>
      <c r="Q66" s="16">
        <v>79200</v>
      </c>
      <c r="R66" s="17">
        <v>79200</v>
      </c>
      <c r="S66" s="17">
        <v>79200</v>
      </c>
      <c r="T66" s="17">
        <v>1</v>
      </c>
      <c r="U66" s="17">
        <v>17</v>
      </c>
    </row>
    <row r="67" spans="1:21" x14ac:dyDescent="0.3">
      <c r="A67" t="s">
        <v>1039</v>
      </c>
      <c r="B67" t="s">
        <v>309</v>
      </c>
      <c r="C67">
        <v>10</v>
      </c>
      <c r="D67" s="1">
        <v>45865</v>
      </c>
      <c r="E67">
        <v>121000</v>
      </c>
      <c r="F67" t="s">
        <v>793</v>
      </c>
      <c r="G67">
        <v>547</v>
      </c>
      <c r="Q67" s="16">
        <v>80300</v>
      </c>
      <c r="R67" s="17">
        <v>160600</v>
      </c>
      <c r="S67" s="17">
        <v>80300</v>
      </c>
      <c r="T67" s="17">
        <v>2</v>
      </c>
      <c r="U67" s="17">
        <v>16.5</v>
      </c>
    </row>
    <row r="68" spans="1:21" x14ac:dyDescent="0.3">
      <c r="A68" t="s">
        <v>1039</v>
      </c>
      <c r="B68" t="s">
        <v>234</v>
      </c>
      <c r="C68">
        <v>10</v>
      </c>
      <c r="D68" s="1">
        <v>45872</v>
      </c>
      <c r="E68">
        <v>104500</v>
      </c>
      <c r="F68" t="s">
        <v>510</v>
      </c>
      <c r="G68">
        <v>1014</v>
      </c>
      <c r="Q68" s="16">
        <v>82500</v>
      </c>
      <c r="R68" s="17">
        <v>82500</v>
      </c>
      <c r="S68" s="17">
        <v>82500</v>
      </c>
      <c r="T68" s="17">
        <v>1</v>
      </c>
      <c r="U68" s="17">
        <v>16</v>
      </c>
    </row>
    <row r="69" spans="1:21" x14ac:dyDescent="0.3">
      <c r="A69" t="s">
        <v>1039</v>
      </c>
      <c r="B69" t="s">
        <v>233</v>
      </c>
      <c r="C69">
        <v>11</v>
      </c>
      <c r="D69" s="1">
        <v>45860</v>
      </c>
      <c r="E69">
        <v>433400</v>
      </c>
      <c r="F69" t="s">
        <v>243</v>
      </c>
      <c r="G69">
        <v>329</v>
      </c>
      <c r="Q69" s="16">
        <v>83600</v>
      </c>
      <c r="R69" s="17">
        <v>167200</v>
      </c>
      <c r="S69" s="17">
        <v>83600</v>
      </c>
      <c r="T69" s="17">
        <v>2</v>
      </c>
      <c r="U69" s="17">
        <v>19</v>
      </c>
    </row>
    <row r="70" spans="1:21" x14ac:dyDescent="0.3">
      <c r="A70" t="s">
        <v>1039</v>
      </c>
      <c r="B70" t="s">
        <v>235</v>
      </c>
      <c r="C70">
        <v>11</v>
      </c>
      <c r="D70" s="1">
        <v>45865</v>
      </c>
      <c r="E70">
        <v>380600</v>
      </c>
      <c r="F70" t="s">
        <v>372</v>
      </c>
      <c r="G70">
        <v>598</v>
      </c>
      <c r="Q70" s="16">
        <v>84700</v>
      </c>
      <c r="R70" s="17">
        <v>592900</v>
      </c>
      <c r="S70" s="17">
        <v>84700</v>
      </c>
      <c r="T70" s="17">
        <v>7</v>
      </c>
      <c r="U70" s="17">
        <v>17.571428571428573</v>
      </c>
    </row>
    <row r="71" spans="1:21" x14ac:dyDescent="0.3">
      <c r="A71" t="s">
        <v>1039</v>
      </c>
      <c r="B71" t="s">
        <v>231</v>
      </c>
      <c r="C71">
        <v>11</v>
      </c>
      <c r="D71" s="1">
        <v>45862</v>
      </c>
      <c r="E71">
        <v>355300</v>
      </c>
      <c r="F71" t="s">
        <v>877</v>
      </c>
      <c r="G71">
        <v>435</v>
      </c>
      <c r="Q71" s="16">
        <v>85800</v>
      </c>
      <c r="R71" s="17">
        <v>85800</v>
      </c>
      <c r="S71" s="17">
        <v>85800</v>
      </c>
      <c r="T71" s="17">
        <v>1</v>
      </c>
      <c r="U71" s="17">
        <v>8</v>
      </c>
    </row>
    <row r="72" spans="1:21" x14ac:dyDescent="0.3">
      <c r="A72" t="s">
        <v>1039</v>
      </c>
      <c r="B72" t="s">
        <v>226</v>
      </c>
      <c r="C72">
        <v>11</v>
      </c>
      <c r="D72" s="1">
        <v>45864</v>
      </c>
      <c r="E72">
        <v>238700</v>
      </c>
      <c r="F72" t="s">
        <v>1730</v>
      </c>
      <c r="G72">
        <v>497</v>
      </c>
      <c r="Q72" s="16">
        <v>88000</v>
      </c>
      <c r="R72" s="17">
        <v>176000</v>
      </c>
      <c r="S72" s="17">
        <v>88000</v>
      </c>
      <c r="T72" s="17">
        <v>2</v>
      </c>
      <c r="U72" s="17">
        <v>16.5</v>
      </c>
    </row>
    <row r="73" spans="1:21" x14ac:dyDescent="0.3">
      <c r="A73" t="s">
        <v>1039</v>
      </c>
      <c r="B73" t="s">
        <v>310</v>
      </c>
      <c r="C73">
        <v>11</v>
      </c>
      <c r="D73" s="1">
        <v>45869</v>
      </c>
      <c r="E73">
        <v>217800</v>
      </c>
      <c r="F73" t="s">
        <v>570</v>
      </c>
      <c r="G73">
        <v>866</v>
      </c>
      <c r="Q73" s="16">
        <v>89100</v>
      </c>
      <c r="R73" s="17">
        <v>89100</v>
      </c>
      <c r="S73" s="17">
        <v>89100</v>
      </c>
      <c r="T73" s="17">
        <v>1</v>
      </c>
      <c r="U73" s="17">
        <v>22</v>
      </c>
    </row>
    <row r="74" spans="1:21" x14ac:dyDescent="0.3">
      <c r="A74" t="s">
        <v>1039</v>
      </c>
      <c r="B74" t="s">
        <v>236</v>
      </c>
      <c r="C74">
        <v>11</v>
      </c>
      <c r="D74" s="1">
        <v>45868</v>
      </c>
      <c r="E74">
        <v>206800</v>
      </c>
      <c r="F74" t="s">
        <v>675</v>
      </c>
      <c r="G74">
        <v>779</v>
      </c>
      <c r="Q74" s="16">
        <v>91300</v>
      </c>
      <c r="R74" s="17">
        <v>91300</v>
      </c>
      <c r="S74" s="17">
        <v>91300</v>
      </c>
      <c r="T74" s="17">
        <v>1</v>
      </c>
      <c r="U74" s="17">
        <v>15</v>
      </c>
    </row>
    <row r="75" spans="1:21" x14ac:dyDescent="0.3">
      <c r="A75" t="s">
        <v>1039</v>
      </c>
      <c r="B75" t="s">
        <v>309</v>
      </c>
      <c r="C75">
        <v>11</v>
      </c>
      <c r="D75" s="1">
        <v>45869</v>
      </c>
      <c r="E75">
        <v>190300</v>
      </c>
      <c r="F75" t="s">
        <v>1500</v>
      </c>
      <c r="G75">
        <v>1166</v>
      </c>
      <c r="Q75" s="16">
        <v>92400</v>
      </c>
      <c r="R75" s="17">
        <v>92400</v>
      </c>
      <c r="S75" s="17">
        <v>92400</v>
      </c>
      <c r="T75" s="17">
        <v>1</v>
      </c>
      <c r="U75" s="17">
        <v>15</v>
      </c>
    </row>
    <row r="76" spans="1:21" x14ac:dyDescent="0.3">
      <c r="A76" t="s">
        <v>1039</v>
      </c>
      <c r="B76" t="s">
        <v>226</v>
      </c>
      <c r="C76">
        <v>11</v>
      </c>
      <c r="D76" s="1">
        <v>45868</v>
      </c>
      <c r="E76">
        <v>190300</v>
      </c>
      <c r="F76" t="s">
        <v>468</v>
      </c>
      <c r="G76">
        <v>853</v>
      </c>
      <c r="Q76" s="16">
        <v>93500</v>
      </c>
      <c r="R76" s="17">
        <v>187000</v>
      </c>
      <c r="S76" s="17">
        <v>93500</v>
      </c>
      <c r="T76" s="17">
        <v>2</v>
      </c>
      <c r="U76" s="17">
        <v>18.5</v>
      </c>
    </row>
    <row r="77" spans="1:21" x14ac:dyDescent="0.3">
      <c r="A77" t="s">
        <v>1039</v>
      </c>
      <c r="B77" t="s">
        <v>229</v>
      </c>
      <c r="C77">
        <v>11</v>
      </c>
      <c r="D77" s="1">
        <v>45859</v>
      </c>
      <c r="E77">
        <v>185900</v>
      </c>
      <c r="F77" t="s">
        <v>1687</v>
      </c>
      <c r="G77">
        <v>913</v>
      </c>
      <c r="Q77" s="16">
        <v>95700</v>
      </c>
      <c r="R77" s="17">
        <v>861300</v>
      </c>
      <c r="S77" s="17">
        <v>95700</v>
      </c>
      <c r="T77" s="17">
        <v>9</v>
      </c>
      <c r="U77" s="17">
        <v>17.777777777777779</v>
      </c>
    </row>
    <row r="78" spans="1:21" x14ac:dyDescent="0.3">
      <c r="A78" t="s">
        <v>1039</v>
      </c>
      <c r="B78" t="s">
        <v>309</v>
      </c>
      <c r="C78">
        <v>11</v>
      </c>
      <c r="D78" s="1">
        <v>45868</v>
      </c>
      <c r="E78">
        <v>183700</v>
      </c>
      <c r="F78" t="s">
        <v>755</v>
      </c>
      <c r="G78">
        <v>785</v>
      </c>
      <c r="Q78" s="16">
        <v>96800</v>
      </c>
      <c r="R78" s="17">
        <v>96800</v>
      </c>
      <c r="S78" s="17">
        <v>96800</v>
      </c>
      <c r="T78" s="17">
        <v>1</v>
      </c>
      <c r="U78" s="17">
        <v>16</v>
      </c>
    </row>
    <row r="79" spans="1:21" x14ac:dyDescent="0.3">
      <c r="A79" t="s">
        <v>1039</v>
      </c>
      <c r="B79" t="s">
        <v>310</v>
      </c>
      <c r="C79">
        <v>11</v>
      </c>
      <c r="D79" s="1">
        <v>45861</v>
      </c>
      <c r="E79">
        <v>161700</v>
      </c>
      <c r="F79" t="s">
        <v>968</v>
      </c>
      <c r="G79">
        <v>284</v>
      </c>
      <c r="Q79" s="16">
        <v>99000</v>
      </c>
      <c r="R79" s="17">
        <v>693000</v>
      </c>
      <c r="S79" s="17">
        <v>99000</v>
      </c>
      <c r="T79" s="17">
        <v>7</v>
      </c>
      <c r="U79" s="17">
        <v>14.428571428571429</v>
      </c>
    </row>
    <row r="80" spans="1:21" x14ac:dyDescent="0.3">
      <c r="A80" t="s">
        <v>1039</v>
      </c>
      <c r="B80" t="s">
        <v>229</v>
      </c>
      <c r="C80">
        <v>11</v>
      </c>
      <c r="D80" s="1">
        <v>45864</v>
      </c>
      <c r="E80">
        <v>157300</v>
      </c>
      <c r="F80" t="s">
        <v>830</v>
      </c>
      <c r="G80">
        <v>478</v>
      </c>
      <c r="Q80" s="16">
        <v>100100</v>
      </c>
      <c r="R80" s="17">
        <v>200200</v>
      </c>
      <c r="S80" s="17">
        <v>100100</v>
      </c>
      <c r="T80" s="17">
        <v>2</v>
      </c>
      <c r="U80" s="17">
        <v>17</v>
      </c>
    </row>
    <row r="81" spans="1:21" x14ac:dyDescent="0.3">
      <c r="A81" t="s">
        <v>1039</v>
      </c>
      <c r="B81" t="s">
        <v>310</v>
      </c>
      <c r="C81">
        <v>11</v>
      </c>
      <c r="D81" s="1">
        <v>45871</v>
      </c>
      <c r="E81">
        <v>155100</v>
      </c>
      <c r="F81" t="s">
        <v>544</v>
      </c>
      <c r="G81">
        <v>1036</v>
      </c>
      <c r="Q81" s="16">
        <v>101200</v>
      </c>
      <c r="R81" s="17">
        <v>101200</v>
      </c>
      <c r="S81" s="17">
        <v>101200</v>
      </c>
      <c r="T81" s="17">
        <v>1</v>
      </c>
      <c r="U81" s="17">
        <v>12</v>
      </c>
    </row>
    <row r="82" spans="1:21" x14ac:dyDescent="0.3">
      <c r="A82" t="s">
        <v>1039</v>
      </c>
      <c r="B82" t="s">
        <v>310</v>
      </c>
      <c r="C82">
        <v>11</v>
      </c>
      <c r="D82" s="1">
        <v>45866</v>
      </c>
      <c r="E82">
        <v>137500</v>
      </c>
      <c r="F82" t="s">
        <v>760</v>
      </c>
      <c r="G82">
        <v>608</v>
      </c>
      <c r="Q82" s="16">
        <v>102300</v>
      </c>
      <c r="R82" s="17">
        <v>204600</v>
      </c>
      <c r="S82" s="17">
        <v>102300</v>
      </c>
      <c r="T82" s="17">
        <v>2</v>
      </c>
      <c r="U82" s="17">
        <v>12.5</v>
      </c>
    </row>
    <row r="83" spans="1:21" x14ac:dyDescent="0.3">
      <c r="A83" t="s">
        <v>1039</v>
      </c>
      <c r="B83" t="s">
        <v>310</v>
      </c>
      <c r="C83">
        <v>11</v>
      </c>
      <c r="D83" s="1">
        <v>45859</v>
      </c>
      <c r="E83">
        <v>122100</v>
      </c>
      <c r="F83" t="s">
        <v>952</v>
      </c>
      <c r="G83">
        <v>234</v>
      </c>
      <c r="Q83" s="16">
        <v>103400</v>
      </c>
      <c r="R83" s="17">
        <v>103400</v>
      </c>
      <c r="S83" s="17">
        <v>103400</v>
      </c>
      <c r="T83" s="17">
        <v>1</v>
      </c>
      <c r="U83" s="17">
        <v>7</v>
      </c>
    </row>
    <row r="84" spans="1:21" x14ac:dyDescent="0.3">
      <c r="A84" t="s">
        <v>1039</v>
      </c>
      <c r="B84" t="s">
        <v>233</v>
      </c>
      <c r="C84">
        <v>11</v>
      </c>
      <c r="D84" s="1">
        <v>45864</v>
      </c>
      <c r="E84">
        <v>99000</v>
      </c>
      <c r="F84" t="s">
        <v>852</v>
      </c>
      <c r="G84">
        <v>438</v>
      </c>
      <c r="Q84" s="16">
        <v>104500</v>
      </c>
      <c r="R84" s="17">
        <v>104500</v>
      </c>
      <c r="S84" s="17">
        <v>104500</v>
      </c>
      <c r="T84" s="17">
        <v>1</v>
      </c>
      <c r="U84" s="17">
        <v>10</v>
      </c>
    </row>
    <row r="85" spans="1:21" x14ac:dyDescent="0.3">
      <c r="A85" t="s">
        <v>1039</v>
      </c>
      <c r="B85" t="s">
        <v>309</v>
      </c>
      <c r="C85">
        <v>11</v>
      </c>
      <c r="D85" s="1">
        <v>45863</v>
      </c>
      <c r="E85">
        <v>55000</v>
      </c>
      <c r="F85" t="s">
        <v>961</v>
      </c>
      <c r="G85">
        <v>385</v>
      </c>
      <c r="Q85" s="16">
        <v>105600</v>
      </c>
      <c r="R85" s="17">
        <v>105600</v>
      </c>
      <c r="S85" s="17">
        <v>105600</v>
      </c>
      <c r="T85" s="17">
        <v>1</v>
      </c>
      <c r="U85" s="17">
        <v>8</v>
      </c>
    </row>
    <row r="86" spans="1:21" x14ac:dyDescent="0.3">
      <c r="A86" t="s">
        <v>1039</v>
      </c>
      <c r="B86" t="s">
        <v>314</v>
      </c>
      <c r="C86">
        <v>12</v>
      </c>
      <c r="D86" s="1">
        <v>45872</v>
      </c>
      <c r="E86">
        <v>352000</v>
      </c>
      <c r="F86" t="s">
        <v>609</v>
      </c>
      <c r="G86">
        <v>1302</v>
      </c>
      <c r="Q86" s="16">
        <v>106700</v>
      </c>
      <c r="R86" s="17">
        <v>426800</v>
      </c>
      <c r="S86" s="17">
        <v>106700</v>
      </c>
      <c r="T86" s="17">
        <v>4</v>
      </c>
      <c r="U86" s="17">
        <v>19</v>
      </c>
    </row>
    <row r="87" spans="1:21" x14ac:dyDescent="0.3">
      <c r="A87" t="s">
        <v>1039</v>
      </c>
      <c r="B87" t="s">
        <v>232</v>
      </c>
      <c r="C87">
        <v>12</v>
      </c>
      <c r="D87" s="1">
        <v>45858</v>
      </c>
      <c r="E87">
        <v>315700</v>
      </c>
      <c r="F87" t="s">
        <v>410</v>
      </c>
      <c r="G87">
        <v>226</v>
      </c>
      <c r="Q87" s="16">
        <v>110000</v>
      </c>
      <c r="R87" s="17">
        <v>440000</v>
      </c>
      <c r="S87" s="17">
        <v>110000</v>
      </c>
      <c r="T87" s="17">
        <v>4</v>
      </c>
      <c r="U87" s="17">
        <v>17.25</v>
      </c>
    </row>
    <row r="88" spans="1:21" x14ac:dyDescent="0.3">
      <c r="A88" t="s">
        <v>1039</v>
      </c>
      <c r="B88" t="s">
        <v>311</v>
      </c>
      <c r="C88">
        <v>12</v>
      </c>
      <c r="D88" s="1">
        <v>45864</v>
      </c>
      <c r="E88">
        <v>242000</v>
      </c>
      <c r="F88" t="s">
        <v>701</v>
      </c>
      <c r="G88">
        <v>567</v>
      </c>
      <c r="Q88" s="16">
        <v>111100</v>
      </c>
      <c r="R88" s="17">
        <v>333300</v>
      </c>
      <c r="S88" s="17">
        <v>111100</v>
      </c>
      <c r="T88" s="17">
        <v>3</v>
      </c>
      <c r="U88" s="17">
        <v>13.333333333333334</v>
      </c>
    </row>
    <row r="89" spans="1:21" x14ac:dyDescent="0.3">
      <c r="A89" t="s">
        <v>1039</v>
      </c>
      <c r="B89" t="s">
        <v>310</v>
      </c>
      <c r="C89">
        <v>12</v>
      </c>
      <c r="D89" s="1">
        <v>45862</v>
      </c>
      <c r="E89">
        <v>226600</v>
      </c>
      <c r="F89" t="s">
        <v>328</v>
      </c>
      <c r="G89">
        <v>410</v>
      </c>
      <c r="Q89" s="16">
        <v>113300</v>
      </c>
      <c r="R89" s="17">
        <v>453200</v>
      </c>
      <c r="S89" s="17">
        <v>113300</v>
      </c>
      <c r="T89" s="17">
        <v>4</v>
      </c>
      <c r="U89" s="17">
        <v>15.75</v>
      </c>
    </row>
    <row r="90" spans="1:21" x14ac:dyDescent="0.3">
      <c r="A90" t="s">
        <v>1039</v>
      </c>
      <c r="B90" t="s">
        <v>309</v>
      </c>
      <c r="C90">
        <v>12</v>
      </c>
      <c r="D90" s="1">
        <v>45873</v>
      </c>
      <c r="E90">
        <v>209000</v>
      </c>
      <c r="F90" t="s">
        <v>545</v>
      </c>
      <c r="G90">
        <v>1379</v>
      </c>
      <c r="Q90" s="16">
        <v>115500</v>
      </c>
      <c r="R90" s="17">
        <v>115500</v>
      </c>
      <c r="S90" s="17">
        <v>115500</v>
      </c>
      <c r="T90" s="17">
        <v>1</v>
      </c>
      <c r="U90" s="17">
        <v>19</v>
      </c>
    </row>
    <row r="91" spans="1:21" x14ac:dyDescent="0.3">
      <c r="A91" t="s">
        <v>1039</v>
      </c>
      <c r="B91" t="s">
        <v>313</v>
      </c>
      <c r="C91">
        <v>12</v>
      </c>
      <c r="D91" s="1">
        <v>45872</v>
      </c>
      <c r="E91">
        <v>207900</v>
      </c>
      <c r="F91" t="s">
        <v>495</v>
      </c>
      <c r="G91">
        <v>1299</v>
      </c>
      <c r="Q91" s="16">
        <v>117700</v>
      </c>
      <c r="R91" s="17">
        <v>823900</v>
      </c>
      <c r="S91" s="17">
        <v>117700</v>
      </c>
      <c r="T91" s="17">
        <v>7</v>
      </c>
      <c r="U91" s="17">
        <v>18.571428571428573</v>
      </c>
    </row>
    <row r="92" spans="1:21" x14ac:dyDescent="0.3">
      <c r="A92" t="s">
        <v>1039</v>
      </c>
      <c r="B92" t="s">
        <v>309</v>
      </c>
      <c r="C92">
        <v>12</v>
      </c>
      <c r="D92" s="1">
        <v>45873</v>
      </c>
      <c r="E92">
        <v>205700</v>
      </c>
      <c r="F92" t="s">
        <v>1253</v>
      </c>
      <c r="G92">
        <v>1401</v>
      </c>
      <c r="Q92" s="16">
        <v>118800</v>
      </c>
      <c r="R92" s="17">
        <v>237600</v>
      </c>
      <c r="S92" s="17">
        <v>118800</v>
      </c>
      <c r="T92" s="17">
        <v>2</v>
      </c>
      <c r="U92" s="17">
        <v>21.5</v>
      </c>
    </row>
    <row r="93" spans="1:21" x14ac:dyDescent="0.3">
      <c r="A93" t="s">
        <v>1039</v>
      </c>
      <c r="B93" t="s">
        <v>310</v>
      </c>
      <c r="C93">
        <v>12</v>
      </c>
      <c r="D93" s="1">
        <v>45873</v>
      </c>
      <c r="E93">
        <v>190300</v>
      </c>
      <c r="F93" t="s">
        <v>1191</v>
      </c>
      <c r="G93">
        <v>1652</v>
      </c>
      <c r="Q93" s="16">
        <v>119900</v>
      </c>
      <c r="R93" s="17">
        <v>239800</v>
      </c>
      <c r="S93" s="17">
        <v>119900</v>
      </c>
      <c r="T93" s="17">
        <v>2</v>
      </c>
      <c r="U93" s="17">
        <v>14.5</v>
      </c>
    </row>
    <row r="94" spans="1:21" x14ac:dyDescent="0.3">
      <c r="A94" t="s">
        <v>1039</v>
      </c>
      <c r="B94" t="s">
        <v>310</v>
      </c>
      <c r="C94">
        <v>12</v>
      </c>
      <c r="D94" s="1">
        <v>45858</v>
      </c>
      <c r="E94">
        <v>190300</v>
      </c>
      <c r="F94" t="s">
        <v>317</v>
      </c>
      <c r="G94">
        <v>254</v>
      </c>
      <c r="Q94" s="16">
        <v>121000</v>
      </c>
      <c r="R94" s="17">
        <v>363000</v>
      </c>
      <c r="S94" s="17">
        <v>121000</v>
      </c>
      <c r="T94" s="17">
        <v>3</v>
      </c>
      <c r="U94" s="17">
        <v>11.666666666666666</v>
      </c>
    </row>
    <row r="95" spans="1:21" x14ac:dyDescent="0.3">
      <c r="A95" t="s">
        <v>1039</v>
      </c>
      <c r="B95" t="s">
        <v>228</v>
      </c>
      <c r="C95">
        <v>12</v>
      </c>
      <c r="D95" s="1">
        <v>45866</v>
      </c>
      <c r="E95">
        <v>161700</v>
      </c>
      <c r="F95" t="s">
        <v>250</v>
      </c>
      <c r="G95">
        <v>668</v>
      </c>
      <c r="Q95" s="16">
        <v>122100</v>
      </c>
      <c r="R95" s="17">
        <v>122100</v>
      </c>
      <c r="S95" s="17">
        <v>122100</v>
      </c>
      <c r="T95" s="17">
        <v>1</v>
      </c>
      <c r="U95" s="17">
        <v>11</v>
      </c>
    </row>
    <row r="96" spans="1:21" x14ac:dyDescent="0.3">
      <c r="A96" t="s">
        <v>1039</v>
      </c>
      <c r="B96" t="s">
        <v>226</v>
      </c>
      <c r="C96">
        <v>12</v>
      </c>
      <c r="D96" s="1">
        <v>45860</v>
      </c>
      <c r="E96">
        <v>155100</v>
      </c>
      <c r="F96" t="s">
        <v>390</v>
      </c>
      <c r="G96">
        <v>322</v>
      </c>
      <c r="Q96" s="16">
        <v>124300</v>
      </c>
      <c r="R96" s="17">
        <v>248600</v>
      </c>
      <c r="S96" s="17">
        <v>124300</v>
      </c>
      <c r="T96" s="17">
        <v>2</v>
      </c>
      <c r="U96" s="17">
        <v>22</v>
      </c>
    </row>
    <row r="97" spans="1:21" x14ac:dyDescent="0.3">
      <c r="A97" t="s">
        <v>1039</v>
      </c>
      <c r="B97" t="s">
        <v>309</v>
      </c>
      <c r="C97">
        <v>12</v>
      </c>
      <c r="D97" s="1">
        <v>45865</v>
      </c>
      <c r="E97">
        <v>151800</v>
      </c>
      <c r="F97" t="s">
        <v>892</v>
      </c>
      <c r="G97">
        <v>574</v>
      </c>
      <c r="Q97" s="16">
        <v>125400</v>
      </c>
      <c r="R97" s="17">
        <v>125400</v>
      </c>
      <c r="S97" s="17">
        <v>125400</v>
      </c>
      <c r="T97" s="17">
        <v>1</v>
      </c>
      <c r="U97" s="17">
        <v>15</v>
      </c>
    </row>
    <row r="98" spans="1:21" x14ac:dyDescent="0.3">
      <c r="A98" t="s">
        <v>1039</v>
      </c>
      <c r="B98" t="s">
        <v>313</v>
      </c>
      <c r="C98">
        <v>12</v>
      </c>
      <c r="D98" s="1">
        <v>45870</v>
      </c>
      <c r="E98">
        <v>132000</v>
      </c>
      <c r="F98" t="s">
        <v>592</v>
      </c>
      <c r="G98">
        <v>1029</v>
      </c>
      <c r="Q98" s="16">
        <v>126500</v>
      </c>
      <c r="R98" s="17">
        <v>253000</v>
      </c>
      <c r="S98" s="17">
        <v>126500</v>
      </c>
      <c r="T98" s="17">
        <v>2</v>
      </c>
      <c r="U98" s="17">
        <v>16</v>
      </c>
    </row>
    <row r="99" spans="1:21" x14ac:dyDescent="0.3">
      <c r="A99" t="s">
        <v>1039</v>
      </c>
      <c r="B99" t="s">
        <v>224</v>
      </c>
      <c r="C99">
        <v>12</v>
      </c>
      <c r="D99" s="1">
        <v>45871</v>
      </c>
      <c r="E99">
        <v>111100</v>
      </c>
      <c r="F99" t="s">
        <v>1347</v>
      </c>
      <c r="G99">
        <v>1504</v>
      </c>
      <c r="Q99" s="16">
        <v>128700</v>
      </c>
      <c r="R99" s="17">
        <v>772200</v>
      </c>
      <c r="S99" s="17">
        <v>128700</v>
      </c>
      <c r="T99" s="17">
        <v>6</v>
      </c>
      <c r="U99" s="17">
        <v>16.333333333333332</v>
      </c>
    </row>
    <row r="100" spans="1:21" x14ac:dyDescent="0.3">
      <c r="A100" t="s">
        <v>1039</v>
      </c>
      <c r="B100" t="s">
        <v>310</v>
      </c>
      <c r="C100">
        <v>12</v>
      </c>
      <c r="D100" s="1">
        <v>45861</v>
      </c>
      <c r="E100">
        <v>106700</v>
      </c>
      <c r="F100" t="s">
        <v>946</v>
      </c>
      <c r="G100">
        <v>399</v>
      </c>
      <c r="Q100" s="16">
        <v>129800</v>
      </c>
      <c r="R100" s="17">
        <v>259600</v>
      </c>
      <c r="S100" s="17">
        <v>129800</v>
      </c>
      <c r="T100" s="17">
        <v>2</v>
      </c>
      <c r="U100" s="17">
        <v>16.5</v>
      </c>
    </row>
    <row r="101" spans="1:21" x14ac:dyDescent="0.3">
      <c r="A101" t="s">
        <v>1039</v>
      </c>
      <c r="B101" t="s">
        <v>229</v>
      </c>
      <c r="C101">
        <v>12</v>
      </c>
      <c r="D101" s="1">
        <v>45867</v>
      </c>
      <c r="E101">
        <v>101200</v>
      </c>
      <c r="F101" t="s">
        <v>670</v>
      </c>
      <c r="G101">
        <v>876</v>
      </c>
      <c r="Q101" s="16">
        <v>132000</v>
      </c>
      <c r="R101" s="17">
        <v>132000</v>
      </c>
      <c r="S101" s="17">
        <v>132000</v>
      </c>
      <c r="T101" s="17">
        <v>1</v>
      </c>
      <c r="U101" s="17">
        <v>12</v>
      </c>
    </row>
    <row r="102" spans="1:21" x14ac:dyDescent="0.3">
      <c r="A102" t="s">
        <v>1039</v>
      </c>
      <c r="B102" t="s">
        <v>224</v>
      </c>
      <c r="C102">
        <v>12</v>
      </c>
      <c r="D102" s="1">
        <v>45868</v>
      </c>
      <c r="E102">
        <v>84700</v>
      </c>
      <c r="F102" t="s">
        <v>686</v>
      </c>
      <c r="G102">
        <v>845</v>
      </c>
      <c r="Q102" s="16">
        <v>133100</v>
      </c>
      <c r="R102" s="17">
        <v>133100</v>
      </c>
      <c r="S102" s="17">
        <v>133100</v>
      </c>
      <c r="T102" s="17">
        <v>1</v>
      </c>
      <c r="U102" s="17">
        <v>9</v>
      </c>
    </row>
    <row r="103" spans="1:21" x14ac:dyDescent="0.3">
      <c r="A103" t="s">
        <v>1039</v>
      </c>
      <c r="B103" t="s">
        <v>233</v>
      </c>
      <c r="C103">
        <v>12</v>
      </c>
      <c r="D103" s="1">
        <v>45860</v>
      </c>
      <c r="E103">
        <v>53900</v>
      </c>
      <c r="F103" t="s">
        <v>994</v>
      </c>
      <c r="G103">
        <v>257</v>
      </c>
      <c r="Q103" s="16">
        <v>134200</v>
      </c>
      <c r="R103" s="17">
        <v>134200</v>
      </c>
      <c r="S103" s="17">
        <v>134200</v>
      </c>
      <c r="T103" s="17">
        <v>1</v>
      </c>
      <c r="U103" s="17">
        <v>16</v>
      </c>
    </row>
    <row r="104" spans="1:21" x14ac:dyDescent="0.3">
      <c r="A104" t="s">
        <v>1039</v>
      </c>
      <c r="B104" t="s">
        <v>225</v>
      </c>
      <c r="C104">
        <v>12</v>
      </c>
      <c r="D104" s="1">
        <v>45869</v>
      </c>
      <c r="E104">
        <v>14300</v>
      </c>
      <c r="F104" t="s">
        <v>1577</v>
      </c>
      <c r="G104">
        <v>1009</v>
      </c>
      <c r="Q104" s="16">
        <v>135300</v>
      </c>
      <c r="R104" s="17">
        <v>135300</v>
      </c>
      <c r="S104" s="17">
        <v>135300</v>
      </c>
      <c r="T104" s="17">
        <v>1</v>
      </c>
      <c r="U104" s="17">
        <v>19</v>
      </c>
    </row>
    <row r="105" spans="1:21" x14ac:dyDescent="0.3">
      <c r="A105" t="s">
        <v>1039</v>
      </c>
      <c r="B105" t="s">
        <v>235</v>
      </c>
      <c r="C105">
        <v>12</v>
      </c>
      <c r="D105" s="1">
        <v>45872</v>
      </c>
      <c r="E105">
        <v>7700</v>
      </c>
      <c r="F105" t="s">
        <v>1353</v>
      </c>
      <c r="G105">
        <v>1225</v>
      </c>
      <c r="Q105" s="16">
        <v>137500</v>
      </c>
      <c r="R105" s="17">
        <v>137500</v>
      </c>
      <c r="S105" s="17">
        <v>137500</v>
      </c>
      <c r="T105" s="17">
        <v>1</v>
      </c>
      <c r="U105" s="17">
        <v>11</v>
      </c>
    </row>
    <row r="106" spans="1:21" x14ac:dyDescent="0.3">
      <c r="A106" t="s">
        <v>1039</v>
      </c>
      <c r="B106" t="s">
        <v>235</v>
      </c>
      <c r="C106">
        <v>12</v>
      </c>
      <c r="D106" s="1">
        <v>45866</v>
      </c>
      <c r="E106">
        <v>7700</v>
      </c>
      <c r="F106" t="s">
        <v>1685</v>
      </c>
      <c r="G106">
        <v>773</v>
      </c>
      <c r="Q106" s="16">
        <v>139700</v>
      </c>
      <c r="R106" s="17">
        <v>558800</v>
      </c>
      <c r="S106" s="17">
        <v>139700</v>
      </c>
      <c r="T106" s="17">
        <v>4</v>
      </c>
      <c r="U106" s="17">
        <v>15.25</v>
      </c>
    </row>
    <row r="107" spans="1:21" x14ac:dyDescent="0.3">
      <c r="A107" t="s">
        <v>1039</v>
      </c>
      <c r="B107" t="s">
        <v>235</v>
      </c>
      <c r="C107">
        <v>12</v>
      </c>
      <c r="D107" s="1">
        <v>45858</v>
      </c>
      <c r="E107">
        <v>7700</v>
      </c>
      <c r="F107" t="s">
        <v>972</v>
      </c>
      <c r="G107">
        <v>234</v>
      </c>
      <c r="Q107" s="16">
        <v>143000</v>
      </c>
      <c r="R107" s="17">
        <v>143000</v>
      </c>
      <c r="S107" s="17">
        <v>143000</v>
      </c>
      <c r="T107" s="17">
        <v>1</v>
      </c>
      <c r="U107" s="17">
        <v>21</v>
      </c>
    </row>
    <row r="108" spans="1:21" x14ac:dyDescent="0.3">
      <c r="A108" t="s">
        <v>1039</v>
      </c>
      <c r="B108" t="s">
        <v>224</v>
      </c>
      <c r="C108">
        <v>13</v>
      </c>
      <c r="D108" s="1">
        <v>45863</v>
      </c>
      <c r="E108">
        <v>810700</v>
      </c>
      <c r="F108" t="s">
        <v>354</v>
      </c>
      <c r="G108">
        <v>545</v>
      </c>
      <c r="Q108" s="16">
        <v>146300</v>
      </c>
      <c r="R108" s="17">
        <v>292600</v>
      </c>
      <c r="S108" s="17">
        <v>146300</v>
      </c>
      <c r="T108" s="17">
        <v>2</v>
      </c>
      <c r="U108" s="17">
        <v>12.5</v>
      </c>
    </row>
    <row r="109" spans="1:21" x14ac:dyDescent="0.3">
      <c r="A109" t="s">
        <v>1039</v>
      </c>
      <c r="B109" t="s">
        <v>314</v>
      </c>
      <c r="C109">
        <v>13</v>
      </c>
      <c r="D109" s="1">
        <v>45858</v>
      </c>
      <c r="E109">
        <v>293700</v>
      </c>
      <c r="F109" t="s">
        <v>281</v>
      </c>
      <c r="G109">
        <v>283</v>
      </c>
      <c r="Q109" s="16">
        <v>150700</v>
      </c>
      <c r="R109" s="17">
        <v>602800</v>
      </c>
      <c r="S109" s="17">
        <v>150700</v>
      </c>
      <c r="T109" s="17">
        <v>4</v>
      </c>
      <c r="U109" s="17">
        <v>14</v>
      </c>
    </row>
    <row r="110" spans="1:21" x14ac:dyDescent="0.3">
      <c r="A110" t="s">
        <v>1039</v>
      </c>
      <c r="B110" t="s">
        <v>236</v>
      </c>
      <c r="C110">
        <v>13</v>
      </c>
      <c r="D110" s="1">
        <v>45860</v>
      </c>
      <c r="E110">
        <v>242000</v>
      </c>
      <c r="F110" t="s">
        <v>367</v>
      </c>
      <c r="G110">
        <v>423</v>
      </c>
      <c r="Q110" s="16">
        <v>151800</v>
      </c>
      <c r="R110" s="17">
        <v>151800</v>
      </c>
      <c r="S110" s="17">
        <v>151800</v>
      </c>
      <c r="T110" s="17">
        <v>1</v>
      </c>
      <c r="U110" s="17">
        <v>12</v>
      </c>
    </row>
    <row r="111" spans="1:21" x14ac:dyDescent="0.3">
      <c r="A111" t="s">
        <v>1039</v>
      </c>
      <c r="B111" t="s">
        <v>232</v>
      </c>
      <c r="C111">
        <v>13</v>
      </c>
      <c r="D111" s="1">
        <v>45872</v>
      </c>
      <c r="E111">
        <v>227700</v>
      </c>
      <c r="F111" t="s">
        <v>1222</v>
      </c>
      <c r="G111">
        <v>1356</v>
      </c>
      <c r="Q111" s="16">
        <v>152900</v>
      </c>
      <c r="R111" s="17">
        <v>152900</v>
      </c>
      <c r="S111" s="17">
        <v>152900</v>
      </c>
      <c r="T111" s="17">
        <v>1</v>
      </c>
      <c r="U111" s="17">
        <v>8</v>
      </c>
    </row>
    <row r="112" spans="1:21" x14ac:dyDescent="0.3">
      <c r="A112" t="s">
        <v>1039</v>
      </c>
      <c r="B112" t="s">
        <v>226</v>
      </c>
      <c r="C112">
        <v>13</v>
      </c>
      <c r="D112" s="1">
        <v>45865</v>
      </c>
      <c r="E112">
        <v>205700</v>
      </c>
      <c r="F112" t="s">
        <v>708</v>
      </c>
      <c r="G112">
        <v>702</v>
      </c>
      <c r="Q112" s="16">
        <v>155100</v>
      </c>
      <c r="R112" s="17">
        <v>310200</v>
      </c>
      <c r="S112" s="17">
        <v>155100</v>
      </c>
      <c r="T112" s="17">
        <v>2</v>
      </c>
      <c r="U112" s="17">
        <v>11.5</v>
      </c>
    </row>
    <row r="113" spans="1:21" x14ac:dyDescent="0.3">
      <c r="A113" t="s">
        <v>1039</v>
      </c>
      <c r="B113" t="s">
        <v>310</v>
      </c>
      <c r="C113">
        <v>13</v>
      </c>
      <c r="D113" s="1">
        <v>45864</v>
      </c>
      <c r="E113">
        <v>185900</v>
      </c>
      <c r="F113" t="s">
        <v>716</v>
      </c>
      <c r="G113">
        <v>592</v>
      </c>
      <c r="Q113" s="16">
        <v>157300</v>
      </c>
      <c r="R113" s="17">
        <v>314600</v>
      </c>
      <c r="S113" s="17">
        <v>157300</v>
      </c>
      <c r="T113" s="17">
        <v>2</v>
      </c>
      <c r="U113" s="17">
        <v>13</v>
      </c>
    </row>
    <row r="114" spans="1:21" x14ac:dyDescent="0.3">
      <c r="A114" t="s">
        <v>1039</v>
      </c>
      <c r="B114" t="s">
        <v>309</v>
      </c>
      <c r="C114">
        <v>13</v>
      </c>
      <c r="D114" s="1">
        <v>45871</v>
      </c>
      <c r="E114">
        <v>170500</v>
      </c>
      <c r="F114" t="s">
        <v>1364</v>
      </c>
      <c r="G114">
        <v>1232</v>
      </c>
      <c r="Q114" s="16">
        <v>161700</v>
      </c>
      <c r="R114" s="17">
        <v>485100</v>
      </c>
      <c r="S114" s="17">
        <v>161700</v>
      </c>
      <c r="T114" s="17">
        <v>3</v>
      </c>
      <c r="U114" s="17">
        <v>12.333333333333334</v>
      </c>
    </row>
    <row r="115" spans="1:21" x14ac:dyDescent="0.3">
      <c r="A115" t="s">
        <v>1039</v>
      </c>
      <c r="B115" t="s">
        <v>236</v>
      </c>
      <c r="C115">
        <v>13</v>
      </c>
      <c r="D115" s="1">
        <v>45860</v>
      </c>
      <c r="E115">
        <v>168300</v>
      </c>
      <c r="F115" t="s">
        <v>784</v>
      </c>
      <c r="G115">
        <v>373</v>
      </c>
      <c r="Q115" s="16">
        <v>162800</v>
      </c>
      <c r="R115" s="17">
        <v>325600</v>
      </c>
      <c r="S115" s="17">
        <v>162800</v>
      </c>
      <c r="T115" s="17">
        <v>2</v>
      </c>
      <c r="U115" s="17">
        <v>16</v>
      </c>
    </row>
    <row r="116" spans="1:21" x14ac:dyDescent="0.3">
      <c r="A116" t="s">
        <v>1039</v>
      </c>
      <c r="B116" t="s">
        <v>309</v>
      </c>
      <c r="C116">
        <v>13</v>
      </c>
      <c r="D116" s="1">
        <v>45866</v>
      </c>
      <c r="E116">
        <v>167200</v>
      </c>
      <c r="F116" t="s">
        <v>376</v>
      </c>
      <c r="G116">
        <v>1030</v>
      </c>
      <c r="Q116" s="16">
        <v>167200</v>
      </c>
      <c r="R116" s="17">
        <v>334400</v>
      </c>
      <c r="S116" s="17">
        <v>167200</v>
      </c>
      <c r="T116" s="17">
        <v>2</v>
      </c>
      <c r="U116" s="17">
        <v>13</v>
      </c>
    </row>
    <row r="117" spans="1:21" x14ac:dyDescent="0.3">
      <c r="A117" t="s">
        <v>1039</v>
      </c>
      <c r="B117" t="s">
        <v>310</v>
      </c>
      <c r="C117">
        <v>13</v>
      </c>
      <c r="D117" s="1">
        <v>45866</v>
      </c>
      <c r="E117">
        <v>167200</v>
      </c>
      <c r="F117" t="s">
        <v>612</v>
      </c>
      <c r="G117">
        <v>822</v>
      </c>
      <c r="Q117" s="16">
        <v>168300</v>
      </c>
      <c r="R117" s="17">
        <v>168300</v>
      </c>
      <c r="S117" s="17">
        <v>168300</v>
      </c>
      <c r="T117" s="17">
        <v>1</v>
      </c>
      <c r="U117" s="17">
        <v>13</v>
      </c>
    </row>
    <row r="118" spans="1:21" x14ac:dyDescent="0.3">
      <c r="A118" t="s">
        <v>1039</v>
      </c>
      <c r="B118" t="s">
        <v>224</v>
      </c>
      <c r="C118">
        <v>13</v>
      </c>
      <c r="D118" s="1">
        <v>45859</v>
      </c>
      <c r="E118">
        <v>128700</v>
      </c>
      <c r="F118" t="s">
        <v>1031</v>
      </c>
      <c r="G118">
        <v>274</v>
      </c>
      <c r="Q118" s="16">
        <v>170500</v>
      </c>
      <c r="R118" s="17">
        <v>170500</v>
      </c>
      <c r="S118" s="17">
        <v>170500</v>
      </c>
      <c r="T118" s="17">
        <v>1</v>
      </c>
      <c r="U118" s="17">
        <v>13</v>
      </c>
    </row>
    <row r="119" spans="1:21" x14ac:dyDescent="0.3">
      <c r="A119" t="s">
        <v>1039</v>
      </c>
      <c r="B119" t="s">
        <v>235</v>
      </c>
      <c r="C119">
        <v>13</v>
      </c>
      <c r="D119" s="1">
        <v>45859</v>
      </c>
      <c r="E119">
        <v>119900</v>
      </c>
      <c r="F119" t="s">
        <v>988</v>
      </c>
      <c r="G119">
        <v>266</v>
      </c>
      <c r="Q119" s="16">
        <v>172700</v>
      </c>
      <c r="R119" s="17">
        <v>518100</v>
      </c>
      <c r="S119" s="17">
        <v>172700</v>
      </c>
      <c r="T119" s="17">
        <v>3</v>
      </c>
      <c r="U119" s="17">
        <v>23</v>
      </c>
    </row>
    <row r="120" spans="1:21" x14ac:dyDescent="0.3">
      <c r="A120" t="s">
        <v>1039</v>
      </c>
      <c r="B120" t="s">
        <v>310</v>
      </c>
      <c r="C120">
        <v>13</v>
      </c>
      <c r="D120" s="1">
        <v>45857</v>
      </c>
      <c r="E120">
        <v>111100</v>
      </c>
      <c r="F120" t="s">
        <v>323</v>
      </c>
      <c r="G120">
        <v>258</v>
      </c>
      <c r="Q120" s="16">
        <v>174900</v>
      </c>
      <c r="R120" s="17">
        <v>174900</v>
      </c>
      <c r="S120" s="17">
        <v>174900</v>
      </c>
      <c r="T120" s="17">
        <v>1</v>
      </c>
      <c r="U120" s="17">
        <v>10</v>
      </c>
    </row>
    <row r="121" spans="1:21" x14ac:dyDescent="0.3">
      <c r="A121" t="s">
        <v>1039</v>
      </c>
      <c r="B121" t="s">
        <v>313</v>
      </c>
      <c r="C121">
        <v>13</v>
      </c>
      <c r="D121" s="1">
        <v>45864</v>
      </c>
      <c r="E121">
        <v>110000</v>
      </c>
      <c r="F121" t="s">
        <v>1705</v>
      </c>
      <c r="G121">
        <v>655</v>
      </c>
      <c r="Q121" s="16">
        <v>183700</v>
      </c>
      <c r="R121" s="17">
        <v>367400</v>
      </c>
      <c r="S121" s="17">
        <v>183700</v>
      </c>
      <c r="T121" s="17">
        <v>2</v>
      </c>
      <c r="U121" s="17">
        <v>13</v>
      </c>
    </row>
    <row r="122" spans="1:21" x14ac:dyDescent="0.3">
      <c r="A122" t="s">
        <v>1039</v>
      </c>
      <c r="B122" t="s">
        <v>311</v>
      </c>
      <c r="C122">
        <v>13</v>
      </c>
      <c r="D122" s="1">
        <v>45868</v>
      </c>
      <c r="E122">
        <v>71500</v>
      </c>
      <c r="F122" t="s">
        <v>494</v>
      </c>
      <c r="G122">
        <v>1029</v>
      </c>
      <c r="Q122" s="16">
        <v>185900</v>
      </c>
      <c r="R122" s="17">
        <v>371800</v>
      </c>
      <c r="S122" s="17">
        <v>185900</v>
      </c>
      <c r="T122" s="17">
        <v>2</v>
      </c>
      <c r="U122" s="17">
        <v>12</v>
      </c>
    </row>
    <row r="123" spans="1:21" x14ac:dyDescent="0.3">
      <c r="A123" t="s">
        <v>1039</v>
      </c>
      <c r="B123" t="s">
        <v>226</v>
      </c>
      <c r="C123">
        <v>13</v>
      </c>
      <c r="D123" s="1">
        <v>45868</v>
      </c>
      <c r="E123">
        <v>64900</v>
      </c>
      <c r="F123" t="s">
        <v>1520</v>
      </c>
      <c r="G123">
        <v>1045</v>
      </c>
      <c r="Q123" s="16">
        <v>190300</v>
      </c>
      <c r="R123" s="17">
        <v>1332100</v>
      </c>
      <c r="S123" s="17">
        <v>190300</v>
      </c>
      <c r="T123" s="17">
        <v>7</v>
      </c>
      <c r="U123" s="17">
        <v>14.571428571428571</v>
      </c>
    </row>
    <row r="124" spans="1:21" x14ac:dyDescent="0.3">
      <c r="A124" t="s">
        <v>1039</v>
      </c>
      <c r="B124" t="s">
        <v>224</v>
      </c>
      <c r="C124">
        <v>13</v>
      </c>
      <c r="D124" s="1">
        <v>45867</v>
      </c>
      <c r="E124">
        <v>57200</v>
      </c>
      <c r="F124" t="s">
        <v>614</v>
      </c>
      <c r="G124">
        <v>860</v>
      </c>
      <c r="Q124" s="16">
        <v>193600</v>
      </c>
      <c r="R124" s="17">
        <v>193600</v>
      </c>
      <c r="S124" s="17">
        <v>193600</v>
      </c>
      <c r="T124" s="17">
        <v>1</v>
      </c>
      <c r="U124" s="17">
        <v>10</v>
      </c>
    </row>
    <row r="125" spans="1:21" x14ac:dyDescent="0.3">
      <c r="A125" t="s">
        <v>1039</v>
      </c>
      <c r="B125" t="s">
        <v>233</v>
      </c>
      <c r="C125">
        <v>13</v>
      </c>
      <c r="D125" s="1">
        <v>45869</v>
      </c>
      <c r="E125">
        <v>51700</v>
      </c>
      <c r="F125" t="s">
        <v>491</v>
      </c>
      <c r="G125">
        <v>1164</v>
      </c>
      <c r="Q125" s="16">
        <v>194700</v>
      </c>
      <c r="R125" s="17">
        <v>389400</v>
      </c>
      <c r="S125" s="17">
        <v>194700</v>
      </c>
      <c r="T125" s="17">
        <v>2</v>
      </c>
      <c r="U125" s="17">
        <v>11</v>
      </c>
    </row>
    <row r="126" spans="1:21" x14ac:dyDescent="0.3">
      <c r="A126" t="s">
        <v>1039</v>
      </c>
      <c r="B126" t="s">
        <v>309</v>
      </c>
      <c r="C126">
        <v>13</v>
      </c>
      <c r="D126" s="1">
        <v>45861</v>
      </c>
      <c r="E126">
        <v>42900</v>
      </c>
      <c r="F126" t="s">
        <v>920</v>
      </c>
      <c r="G126">
        <v>425</v>
      </c>
      <c r="Q126" s="16">
        <v>200200</v>
      </c>
      <c r="R126" s="17">
        <v>200200</v>
      </c>
      <c r="S126" s="17">
        <v>200200</v>
      </c>
      <c r="T126" s="17">
        <v>1</v>
      </c>
      <c r="U126" s="17">
        <v>7</v>
      </c>
    </row>
    <row r="127" spans="1:21" x14ac:dyDescent="0.3">
      <c r="A127" t="s">
        <v>1039</v>
      </c>
      <c r="B127" t="s">
        <v>309</v>
      </c>
      <c r="C127">
        <v>13</v>
      </c>
      <c r="D127" s="1">
        <v>45857</v>
      </c>
      <c r="E127">
        <v>36300</v>
      </c>
      <c r="F127" t="s">
        <v>986</v>
      </c>
      <c r="G127">
        <v>256</v>
      </c>
      <c r="Q127" s="16">
        <v>205700</v>
      </c>
      <c r="R127" s="17">
        <v>617100</v>
      </c>
      <c r="S127" s="17">
        <v>205700</v>
      </c>
      <c r="T127" s="17">
        <v>3</v>
      </c>
      <c r="U127" s="17">
        <v>13.333333333333334</v>
      </c>
    </row>
    <row r="128" spans="1:21" x14ac:dyDescent="0.3">
      <c r="A128" t="s">
        <v>1039</v>
      </c>
      <c r="B128" t="s">
        <v>309</v>
      </c>
      <c r="C128">
        <v>13</v>
      </c>
      <c r="D128" s="1">
        <v>45867</v>
      </c>
      <c r="E128">
        <v>34100</v>
      </c>
      <c r="F128" t="s">
        <v>513</v>
      </c>
      <c r="G128">
        <v>867</v>
      </c>
      <c r="Q128" s="16">
        <v>206800</v>
      </c>
      <c r="R128" s="17">
        <v>206800</v>
      </c>
      <c r="S128" s="17">
        <v>206800</v>
      </c>
      <c r="T128" s="17">
        <v>1</v>
      </c>
      <c r="U128" s="17">
        <v>11</v>
      </c>
    </row>
    <row r="129" spans="1:21" x14ac:dyDescent="0.3">
      <c r="A129" t="s">
        <v>1039</v>
      </c>
      <c r="B129" t="s">
        <v>309</v>
      </c>
      <c r="C129">
        <v>13</v>
      </c>
      <c r="D129" s="1">
        <v>45860</v>
      </c>
      <c r="E129">
        <v>29700</v>
      </c>
      <c r="F129" t="s">
        <v>761</v>
      </c>
      <c r="G129">
        <v>416</v>
      </c>
      <c r="Q129" s="16">
        <v>207900</v>
      </c>
      <c r="R129" s="17">
        <v>207900</v>
      </c>
      <c r="S129" s="17">
        <v>207900</v>
      </c>
      <c r="T129" s="17">
        <v>1</v>
      </c>
      <c r="U129" s="17">
        <v>12</v>
      </c>
    </row>
    <row r="130" spans="1:21" x14ac:dyDescent="0.3">
      <c r="A130" t="s">
        <v>1039</v>
      </c>
      <c r="B130" t="s">
        <v>309</v>
      </c>
      <c r="C130">
        <v>13</v>
      </c>
      <c r="D130" s="1">
        <v>45858</v>
      </c>
      <c r="E130">
        <v>27500</v>
      </c>
      <c r="F130" t="s">
        <v>1001</v>
      </c>
      <c r="G130">
        <v>237</v>
      </c>
      <c r="Q130" s="16">
        <v>209000</v>
      </c>
      <c r="R130" s="17">
        <v>209000</v>
      </c>
      <c r="S130" s="17">
        <v>209000</v>
      </c>
      <c r="T130" s="17">
        <v>1</v>
      </c>
      <c r="U130" s="17">
        <v>12</v>
      </c>
    </row>
    <row r="131" spans="1:21" x14ac:dyDescent="0.3">
      <c r="A131" t="s">
        <v>1039</v>
      </c>
      <c r="B131" t="s">
        <v>224</v>
      </c>
      <c r="C131">
        <v>13</v>
      </c>
      <c r="D131" s="1">
        <v>45871</v>
      </c>
      <c r="E131">
        <v>18700</v>
      </c>
      <c r="F131" t="s">
        <v>1358</v>
      </c>
      <c r="G131">
        <v>1252</v>
      </c>
      <c r="Q131" s="16">
        <v>217800</v>
      </c>
      <c r="R131" s="17">
        <v>217800</v>
      </c>
      <c r="S131" s="17">
        <v>217800</v>
      </c>
      <c r="T131" s="17">
        <v>1</v>
      </c>
      <c r="U131" s="17">
        <v>11</v>
      </c>
    </row>
    <row r="132" spans="1:21" x14ac:dyDescent="0.3">
      <c r="A132" t="s">
        <v>1039</v>
      </c>
      <c r="B132" t="s">
        <v>235</v>
      </c>
      <c r="C132">
        <v>13</v>
      </c>
      <c r="D132" s="1">
        <v>45872</v>
      </c>
      <c r="E132">
        <v>17600</v>
      </c>
      <c r="F132" t="s">
        <v>1289</v>
      </c>
      <c r="G132">
        <v>1330</v>
      </c>
      <c r="Q132" s="16">
        <v>221100</v>
      </c>
      <c r="R132" s="17">
        <v>221100</v>
      </c>
      <c r="S132" s="17">
        <v>221100</v>
      </c>
      <c r="T132" s="17">
        <v>1</v>
      </c>
      <c r="U132" s="17">
        <v>8</v>
      </c>
    </row>
    <row r="133" spans="1:21" x14ac:dyDescent="0.3">
      <c r="A133" t="s">
        <v>1039</v>
      </c>
      <c r="B133" t="s">
        <v>309</v>
      </c>
      <c r="C133">
        <v>13</v>
      </c>
      <c r="D133" s="1">
        <v>45867</v>
      </c>
      <c r="E133">
        <v>14300</v>
      </c>
      <c r="F133" t="s">
        <v>1652</v>
      </c>
      <c r="G133">
        <v>833</v>
      </c>
      <c r="Q133" s="16">
        <v>223300</v>
      </c>
      <c r="R133" s="17">
        <v>223300</v>
      </c>
      <c r="S133" s="17">
        <v>223300</v>
      </c>
      <c r="T133" s="17">
        <v>1</v>
      </c>
      <c r="U133" s="17">
        <v>15</v>
      </c>
    </row>
    <row r="134" spans="1:21" x14ac:dyDescent="0.3">
      <c r="A134" t="s">
        <v>1039</v>
      </c>
      <c r="B134" t="s">
        <v>235</v>
      </c>
      <c r="C134">
        <v>13</v>
      </c>
      <c r="D134" s="1">
        <v>45872</v>
      </c>
      <c r="E134">
        <v>7700</v>
      </c>
      <c r="F134" t="s">
        <v>1296</v>
      </c>
      <c r="G134">
        <v>1287</v>
      </c>
      <c r="Q134" s="16">
        <v>226600</v>
      </c>
      <c r="R134" s="17">
        <v>226600</v>
      </c>
      <c r="S134" s="17">
        <v>226600</v>
      </c>
      <c r="T134" s="17">
        <v>1</v>
      </c>
      <c r="U134" s="17">
        <v>12</v>
      </c>
    </row>
    <row r="135" spans="1:21" x14ac:dyDescent="0.3">
      <c r="A135" t="s">
        <v>1039</v>
      </c>
      <c r="B135" t="s">
        <v>235</v>
      </c>
      <c r="C135">
        <v>13</v>
      </c>
      <c r="D135" s="1">
        <v>45871</v>
      </c>
      <c r="E135">
        <v>7700</v>
      </c>
      <c r="F135" t="s">
        <v>1395</v>
      </c>
      <c r="G135">
        <v>1178</v>
      </c>
      <c r="Q135" s="16">
        <v>227700</v>
      </c>
      <c r="R135" s="17">
        <v>910800</v>
      </c>
      <c r="S135" s="17">
        <v>227700</v>
      </c>
      <c r="T135" s="17">
        <v>4</v>
      </c>
      <c r="U135" s="17">
        <v>12.75</v>
      </c>
    </row>
    <row r="136" spans="1:21" x14ac:dyDescent="0.3">
      <c r="A136" t="s">
        <v>1039</v>
      </c>
      <c r="B136" t="s">
        <v>228</v>
      </c>
      <c r="C136">
        <v>13</v>
      </c>
      <c r="D136" s="1">
        <v>45864</v>
      </c>
      <c r="E136">
        <v>7700</v>
      </c>
      <c r="F136" t="s">
        <v>1690</v>
      </c>
      <c r="G136">
        <v>708</v>
      </c>
      <c r="Q136" s="16">
        <v>238700</v>
      </c>
      <c r="R136" s="17">
        <v>477400</v>
      </c>
      <c r="S136" s="17">
        <v>238700</v>
      </c>
      <c r="T136" s="17">
        <v>2</v>
      </c>
      <c r="U136" s="17">
        <v>8.5</v>
      </c>
    </row>
    <row r="137" spans="1:21" x14ac:dyDescent="0.3">
      <c r="A137" t="s">
        <v>1039</v>
      </c>
      <c r="B137" t="s">
        <v>228</v>
      </c>
      <c r="C137">
        <v>13</v>
      </c>
      <c r="D137" s="1">
        <v>45864</v>
      </c>
      <c r="E137">
        <v>7700</v>
      </c>
      <c r="F137" t="s">
        <v>610</v>
      </c>
      <c r="G137">
        <v>639</v>
      </c>
      <c r="Q137" s="16">
        <v>240900</v>
      </c>
      <c r="R137" s="17">
        <v>240900</v>
      </c>
      <c r="S137" s="17">
        <v>240900</v>
      </c>
      <c r="T137" s="17">
        <v>1</v>
      </c>
      <c r="U137" s="17">
        <v>7</v>
      </c>
    </row>
    <row r="138" spans="1:21" x14ac:dyDescent="0.3">
      <c r="A138" t="s">
        <v>1039</v>
      </c>
      <c r="B138" t="s">
        <v>235</v>
      </c>
      <c r="C138">
        <v>13</v>
      </c>
      <c r="D138" s="1">
        <v>45861</v>
      </c>
      <c r="E138">
        <v>7700</v>
      </c>
      <c r="F138" t="s">
        <v>897</v>
      </c>
      <c r="G138">
        <v>428</v>
      </c>
      <c r="Q138" s="16">
        <v>242000</v>
      </c>
      <c r="R138" s="17">
        <v>968000</v>
      </c>
      <c r="S138" s="17">
        <v>242000</v>
      </c>
      <c r="T138" s="17">
        <v>4</v>
      </c>
      <c r="U138" s="17">
        <v>15.25</v>
      </c>
    </row>
    <row r="139" spans="1:21" x14ac:dyDescent="0.3">
      <c r="A139" t="s">
        <v>1039</v>
      </c>
      <c r="B139" t="s">
        <v>229</v>
      </c>
      <c r="C139">
        <v>13</v>
      </c>
      <c r="D139" s="1">
        <v>45860</v>
      </c>
      <c r="E139">
        <v>7700</v>
      </c>
      <c r="F139" t="s">
        <v>916</v>
      </c>
      <c r="G139">
        <v>377</v>
      </c>
      <c r="Q139" s="16">
        <v>243100</v>
      </c>
      <c r="R139" s="17">
        <v>243100</v>
      </c>
      <c r="S139" s="17">
        <v>243100</v>
      </c>
      <c r="T139" s="17">
        <v>1</v>
      </c>
      <c r="U139" s="17">
        <v>18</v>
      </c>
    </row>
    <row r="140" spans="1:21" x14ac:dyDescent="0.3">
      <c r="A140" t="s">
        <v>1039</v>
      </c>
      <c r="B140" t="s">
        <v>309</v>
      </c>
      <c r="C140">
        <v>13</v>
      </c>
      <c r="D140" s="1">
        <v>45857</v>
      </c>
      <c r="E140">
        <v>7700</v>
      </c>
      <c r="F140" t="s">
        <v>932</v>
      </c>
      <c r="G140">
        <v>397</v>
      </c>
      <c r="Q140" s="16">
        <v>244200</v>
      </c>
      <c r="R140" s="17">
        <v>244200</v>
      </c>
      <c r="S140" s="17">
        <v>244200</v>
      </c>
      <c r="T140" s="17">
        <v>1</v>
      </c>
      <c r="U140" s="17">
        <v>8</v>
      </c>
    </row>
    <row r="141" spans="1:21" x14ac:dyDescent="0.3">
      <c r="A141" t="s">
        <v>1039</v>
      </c>
      <c r="B141" t="s">
        <v>235</v>
      </c>
      <c r="C141">
        <v>13</v>
      </c>
      <c r="D141" s="1">
        <v>45859</v>
      </c>
      <c r="E141">
        <v>7700</v>
      </c>
      <c r="F141" t="s">
        <v>917</v>
      </c>
      <c r="G141">
        <v>310</v>
      </c>
      <c r="Q141" s="16">
        <v>245300</v>
      </c>
      <c r="R141" s="17">
        <v>245300</v>
      </c>
      <c r="S141" s="17">
        <v>245300</v>
      </c>
      <c r="T141" s="17">
        <v>1</v>
      </c>
      <c r="U141" s="17">
        <v>16</v>
      </c>
    </row>
    <row r="142" spans="1:21" x14ac:dyDescent="0.3">
      <c r="A142" t="s">
        <v>1039</v>
      </c>
      <c r="B142" t="s">
        <v>229</v>
      </c>
      <c r="C142">
        <v>13</v>
      </c>
      <c r="D142" s="1">
        <v>45858</v>
      </c>
      <c r="E142">
        <v>7700</v>
      </c>
      <c r="F142" t="s">
        <v>773</v>
      </c>
      <c r="G142">
        <v>231</v>
      </c>
      <c r="Q142" s="16">
        <v>249700</v>
      </c>
      <c r="R142" s="17">
        <v>499400</v>
      </c>
      <c r="S142" s="17">
        <v>249700</v>
      </c>
      <c r="T142" s="17">
        <v>2</v>
      </c>
      <c r="U142" s="17">
        <v>7</v>
      </c>
    </row>
    <row r="143" spans="1:21" x14ac:dyDescent="0.3">
      <c r="A143" t="s">
        <v>1039</v>
      </c>
      <c r="B143" t="s">
        <v>226</v>
      </c>
      <c r="C143">
        <v>14</v>
      </c>
      <c r="D143" s="1">
        <v>45868</v>
      </c>
      <c r="E143">
        <v>260700</v>
      </c>
      <c r="F143" t="s">
        <v>469</v>
      </c>
      <c r="G143">
        <v>1015</v>
      </c>
      <c r="Q143" s="16">
        <v>253000</v>
      </c>
      <c r="R143" s="17">
        <v>253000</v>
      </c>
      <c r="S143" s="17">
        <v>253000</v>
      </c>
      <c r="T143" s="17">
        <v>1</v>
      </c>
      <c r="U143" s="17">
        <v>14</v>
      </c>
    </row>
    <row r="144" spans="1:21" x14ac:dyDescent="0.3">
      <c r="A144" t="s">
        <v>1039</v>
      </c>
      <c r="B144" t="s">
        <v>235</v>
      </c>
      <c r="C144">
        <v>14</v>
      </c>
      <c r="D144" s="1">
        <v>45872</v>
      </c>
      <c r="E144">
        <v>253000</v>
      </c>
      <c r="F144" t="s">
        <v>1171</v>
      </c>
      <c r="G144">
        <v>1430</v>
      </c>
      <c r="Q144" s="16">
        <v>256300</v>
      </c>
      <c r="R144" s="17">
        <v>256300</v>
      </c>
      <c r="S144" s="17">
        <v>256300</v>
      </c>
      <c r="T144" s="17">
        <v>1</v>
      </c>
      <c r="U144" s="17">
        <v>16</v>
      </c>
    </row>
    <row r="145" spans="1:21" x14ac:dyDescent="0.3">
      <c r="A145" t="s">
        <v>1039</v>
      </c>
      <c r="B145" t="s">
        <v>309</v>
      </c>
      <c r="C145">
        <v>14</v>
      </c>
      <c r="D145" s="1">
        <v>45864</v>
      </c>
      <c r="E145">
        <v>194700</v>
      </c>
      <c r="F145" t="s">
        <v>664</v>
      </c>
      <c r="G145">
        <v>750</v>
      </c>
      <c r="Q145" s="16">
        <v>260700</v>
      </c>
      <c r="R145" s="17">
        <v>260700</v>
      </c>
      <c r="S145" s="17">
        <v>260700</v>
      </c>
      <c r="T145" s="17">
        <v>1</v>
      </c>
      <c r="U145" s="17">
        <v>14</v>
      </c>
    </row>
    <row r="146" spans="1:21" x14ac:dyDescent="0.3">
      <c r="A146" t="s">
        <v>1039</v>
      </c>
      <c r="B146" t="s">
        <v>309</v>
      </c>
      <c r="C146">
        <v>14</v>
      </c>
      <c r="D146" s="1">
        <v>45858</v>
      </c>
      <c r="E146">
        <v>161700</v>
      </c>
      <c r="F146" t="s">
        <v>924</v>
      </c>
      <c r="G146">
        <v>273</v>
      </c>
      <c r="Q146" s="16">
        <v>262900</v>
      </c>
      <c r="R146" s="17">
        <v>525800</v>
      </c>
      <c r="S146" s="17">
        <v>262900</v>
      </c>
      <c r="T146" s="17">
        <v>2</v>
      </c>
      <c r="U146" s="17">
        <v>10</v>
      </c>
    </row>
    <row r="147" spans="1:21" x14ac:dyDescent="0.3">
      <c r="A147" t="s">
        <v>1039</v>
      </c>
      <c r="B147" t="s">
        <v>309</v>
      </c>
      <c r="C147">
        <v>14</v>
      </c>
      <c r="D147" s="1">
        <v>45864</v>
      </c>
      <c r="E147">
        <v>150700</v>
      </c>
      <c r="F147" t="s">
        <v>486</v>
      </c>
      <c r="G147">
        <v>695</v>
      </c>
      <c r="Q147" s="16">
        <v>268400</v>
      </c>
      <c r="R147" s="17">
        <v>268400</v>
      </c>
      <c r="S147" s="17">
        <v>268400</v>
      </c>
      <c r="T147" s="17">
        <v>1</v>
      </c>
      <c r="U147" s="17">
        <v>6</v>
      </c>
    </row>
    <row r="148" spans="1:21" x14ac:dyDescent="0.3">
      <c r="A148" t="s">
        <v>1039</v>
      </c>
      <c r="B148" t="s">
        <v>310</v>
      </c>
      <c r="C148">
        <v>14</v>
      </c>
      <c r="D148" s="1">
        <v>45863</v>
      </c>
      <c r="E148">
        <v>139700</v>
      </c>
      <c r="F148" t="s">
        <v>721</v>
      </c>
      <c r="G148">
        <v>593</v>
      </c>
      <c r="Q148" s="16">
        <v>270600</v>
      </c>
      <c r="R148" s="17">
        <v>270600</v>
      </c>
      <c r="S148" s="17">
        <v>270600</v>
      </c>
      <c r="T148" s="17">
        <v>1</v>
      </c>
      <c r="U148" s="17">
        <v>8</v>
      </c>
    </row>
    <row r="149" spans="1:21" x14ac:dyDescent="0.3">
      <c r="A149" t="s">
        <v>1039</v>
      </c>
      <c r="B149" t="s">
        <v>236</v>
      </c>
      <c r="C149">
        <v>14</v>
      </c>
      <c r="D149" s="1">
        <v>45871</v>
      </c>
      <c r="E149">
        <v>117700</v>
      </c>
      <c r="F149" t="s">
        <v>1196</v>
      </c>
      <c r="G149">
        <v>1390</v>
      </c>
      <c r="Q149" s="16">
        <v>271700</v>
      </c>
      <c r="R149" s="17">
        <v>543400</v>
      </c>
      <c r="S149" s="17">
        <v>271700</v>
      </c>
      <c r="T149" s="17">
        <v>2</v>
      </c>
      <c r="U149" s="17">
        <v>11.5</v>
      </c>
    </row>
    <row r="150" spans="1:21" x14ac:dyDescent="0.3">
      <c r="A150" t="s">
        <v>1039</v>
      </c>
      <c r="B150" t="s">
        <v>229</v>
      </c>
      <c r="C150">
        <v>14</v>
      </c>
      <c r="D150" s="1">
        <v>45863</v>
      </c>
      <c r="E150">
        <v>117700</v>
      </c>
      <c r="F150" t="s">
        <v>941</v>
      </c>
      <c r="G150">
        <v>604</v>
      </c>
      <c r="Q150" s="16">
        <v>273900</v>
      </c>
      <c r="R150" s="17">
        <v>273900</v>
      </c>
      <c r="S150" s="17">
        <v>273900</v>
      </c>
      <c r="T150" s="17">
        <v>1</v>
      </c>
      <c r="U150" s="17">
        <v>6</v>
      </c>
    </row>
    <row r="151" spans="1:21" x14ac:dyDescent="0.3">
      <c r="A151" t="s">
        <v>1039</v>
      </c>
      <c r="B151" t="s">
        <v>309</v>
      </c>
      <c r="C151">
        <v>14</v>
      </c>
      <c r="D151" s="1">
        <v>45862</v>
      </c>
      <c r="E151">
        <v>117700</v>
      </c>
      <c r="F151" t="s">
        <v>829</v>
      </c>
      <c r="G151">
        <v>983</v>
      </c>
      <c r="Q151" s="16">
        <v>282700</v>
      </c>
      <c r="R151" s="17">
        <v>848100</v>
      </c>
      <c r="S151" s="17">
        <v>282700</v>
      </c>
      <c r="T151" s="17">
        <v>3</v>
      </c>
      <c r="U151" s="17">
        <v>12.333333333333334</v>
      </c>
    </row>
    <row r="152" spans="1:21" x14ac:dyDescent="0.3">
      <c r="A152" t="s">
        <v>1039</v>
      </c>
      <c r="B152" t="s">
        <v>309</v>
      </c>
      <c r="C152">
        <v>14</v>
      </c>
      <c r="D152" s="1">
        <v>45866</v>
      </c>
      <c r="E152">
        <v>99000</v>
      </c>
      <c r="F152" t="s">
        <v>1517</v>
      </c>
      <c r="G152">
        <v>1186</v>
      </c>
      <c r="Q152" s="16">
        <v>283800</v>
      </c>
      <c r="R152" s="17">
        <v>567600</v>
      </c>
      <c r="S152" s="17">
        <v>283800</v>
      </c>
      <c r="T152" s="17">
        <v>2</v>
      </c>
      <c r="U152" s="17">
        <v>7</v>
      </c>
    </row>
    <row r="153" spans="1:21" x14ac:dyDescent="0.3">
      <c r="A153" t="s">
        <v>1039</v>
      </c>
      <c r="B153" t="s">
        <v>310</v>
      </c>
      <c r="C153">
        <v>14</v>
      </c>
      <c r="D153" s="1">
        <v>45869</v>
      </c>
      <c r="E153">
        <v>95700</v>
      </c>
      <c r="F153" t="s">
        <v>1461</v>
      </c>
      <c r="G153">
        <v>1108</v>
      </c>
      <c r="Q153" s="16">
        <v>287100</v>
      </c>
      <c r="R153" s="17">
        <v>287100</v>
      </c>
      <c r="S153" s="17">
        <v>287100</v>
      </c>
      <c r="T153" s="17">
        <v>1</v>
      </c>
      <c r="U153" s="17">
        <v>15</v>
      </c>
    </row>
    <row r="154" spans="1:21" x14ac:dyDescent="0.3">
      <c r="A154" t="s">
        <v>1039</v>
      </c>
      <c r="B154" t="s">
        <v>309</v>
      </c>
      <c r="C154">
        <v>14</v>
      </c>
      <c r="D154" s="1">
        <v>45863</v>
      </c>
      <c r="E154">
        <v>95700</v>
      </c>
      <c r="F154" t="s">
        <v>825</v>
      </c>
      <c r="G154">
        <v>707</v>
      </c>
      <c r="Q154" s="16">
        <v>293700</v>
      </c>
      <c r="R154" s="17">
        <v>293700</v>
      </c>
      <c r="S154" s="17">
        <v>293700</v>
      </c>
      <c r="T154" s="17">
        <v>1</v>
      </c>
      <c r="U154" s="17">
        <v>13</v>
      </c>
    </row>
    <row r="155" spans="1:21" x14ac:dyDescent="0.3">
      <c r="A155" t="s">
        <v>1039</v>
      </c>
      <c r="B155" t="s">
        <v>235</v>
      </c>
      <c r="C155">
        <v>14</v>
      </c>
      <c r="D155" s="1">
        <v>45857</v>
      </c>
      <c r="E155">
        <v>73700</v>
      </c>
      <c r="F155" t="s">
        <v>951</v>
      </c>
      <c r="G155">
        <v>230</v>
      </c>
      <c r="Q155" s="16">
        <v>300300</v>
      </c>
      <c r="R155" s="17">
        <v>300300</v>
      </c>
      <c r="S155" s="17">
        <v>300300</v>
      </c>
      <c r="T155" s="17">
        <v>1</v>
      </c>
      <c r="U155" s="17">
        <v>7</v>
      </c>
    </row>
    <row r="156" spans="1:21" x14ac:dyDescent="0.3">
      <c r="A156" t="s">
        <v>1039</v>
      </c>
      <c r="B156" t="s">
        <v>310</v>
      </c>
      <c r="C156">
        <v>14</v>
      </c>
      <c r="D156" s="1">
        <v>45872</v>
      </c>
      <c r="E156">
        <v>71500</v>
      </c>
      <c r="F156" t="s">
        <v>1237</v>
      </c>
      <c r="G156">
        <v>1413</v>
      </c>
      <c r="Q156" s="16">
        <v>306900</v>
      </c>
      <c r="R156" s="17">
        <v>306900</v>
      </c>
      <c r="S156" s="17">
        <v>306900</v>
      </c>
      <c r="T156" s="17">
        <v>1</v>
      </c>
      <c r="U156" s="17">
        <v>9</v>
      </c>
    </row>
    <row r="157" spans="1:21" x14ac:dyDescent="0.3">
      <c r="A157" t="s">
        <v>1039</v>
      </c>
      <c r="B157" t="s">
        <v>310</v>
      </c>
      <c r="C157">
        <v>14</v>
      </c>
      <c r="D157" s="1">
        <v>45865</v>
      </c>
      <c r="E157">
        <v>67100</v>
      </c>
      <c r="F157" t="s">
        <v>650</v>
      </c>
      <c r="G157">
        <v>774</v>
      </c>
      <c r="Q157" s="16">
        <v>315700</v>
      </c>
      <c r="R157" s="17">
        <v>631400</v>
      </c>
      <c r="S157" s="17">
        <v>315700</v>
      </c>
      <c r="T157" s="17">
        <v>2</v>
      </c>
      <c r="U157" s="17">
        <v>15.5</v>
      </c>
    </row>
    <row r="158" spans="1:21" x14ac:dyDescent="0.3">
      <c r="A158" t="s">
        <v>1039</v>
      </c>
      <c r="B158" t="s">
        <v>233</v>
      </c>
      <c r="C158">
        <v>14</v>
      </c>
      <c r="D158" s="1">
        <v>45861</v>
      </c>
      <c r="E158">
        <v>66000</v>
      </c>
      <c r="F158" t="s">
        <v>806</v>
      </c>
      <c r="G158">
        <v>484</v>
      </c>
      <c r="Q158" s="16">
        <v>317900</v>
      </c>
      <c r="R158" s="17">
        <v>317900</v>
      </c>
      <c r="S158" s="17">
        <v>317900</v>
      </c>
      <c r="T158" s="17">
        <v>1</v>
      </c>
      <c r="U158" s="17">
        <v>7</v>
      </c>
    </row>
    <row r="159" spans="1:21" x14ac:dyDescent="0.3">
      <c r="A159" t="s">
        <v>1039</v>
      </c>
      <c r="B159" t="s">
        <v>310</v>
      </c>
      <c r="C159">
        <v>14</v>
      </c>
      <c r="D159" s="1">
        <v>45858</v>
      </c>
      <c r="E159">
        <v>66000</v>
      </c>
      <c r="F159" t="s">
        <v>794</v>
      </c>
      <c r="G159">
        <v>304</v>
      </c>
      <c r="Q159" s="16">
        <v>322300</v>
      </c>
      <c r="R159" s="17">
        <v>322300</v>
      </c>
      <c r="S159" s="17">
        <v>322300</v>
      </c>
      <c r="T159" s="17">
        <v>1</v>
      </c>
      <c r="U159" s="17">
        <v>5</v>
      </c>
    </row>
    <row r="160" spans="1:21" x14ac:dyDescent="0.3">
      <c r="A160" t="s">
        <v>1039</v>
      </c>
      <c r="B160" t="s">
        <v>233</v>
      </c>
      <c r="C160">
        <v>14</v>
      </c>
      <c r="D160" s="1">
        <v>45869</v>
      </c>
      <c r="E160">
        <v>64900</v>
      </c>
      <c r="F160" t="s">
        <v>1421</v>
      </c>
      <c r="G160">
        <v>1159</v>
      </c>
      <c r="Q160" s="16">
        <v>328900</v>
      </c>
      <c r="R160" s="17">
        <v>328900</v>
      </c>
      <c r="S160" s="17">
        <v>328900</v>
      </c>
      <c r="T160" s="17">
        <v>1</v>
      </c>
      <c r="U160" s="17">
        <v>6</v>
      </c>
    </row>
    <row r="161" spans="1:21" x14ac:dyDescent="0.3">
      <c r="A161" t="s">
        <v>1039</v>
      </c>
      <c r="B161" t="s">
        <v>231</v>
      </c>
      <c r="C161">
        <v>14</v>
      </c>
      <c r="D161" s="1">
        <v>45860</v>
      </c>
      <c r="E161">
        <v>58300</v>
      </c>
      <c r="F161" t="s">
        <v>898</v>
      </c>
      <c r="G161">
        <v>490</v>
      </c>
      <c r="Q161" s="16">
        <v>348700</v>
      </c>
      <c r="R161" s="17">
        <v>348700</v>
      </c>
      <c r="S161" s="17">
        <v>348700</v>
      </c>
      <c r="T161" s="17">
        <v>1</v>
      </c>
      <c r="U161" s="17">
        <v>8</v>
      </c>
    </row>
    <row r="162" spans="1:21" x14ac:dyDescent="0.3">
      <c r="A162" t="s">
        <v>1039</v>
      </c>
      <c r="B162" t="s">
        <v>235</v>
      </c>
      <c r="C162">
        <v>14</v>
      </c>
      <c r="D162" s="1">
        <v>45856</v>
      </c>
      <c r="E162">
        <v>58300</v>
      </c>
      <c r="F162" t="s">
        <v>330</v>
      </c>
      <c r="G162">
        <v>319</v>
      </c>
      <c r="Q162" s="16">
        <v>349800</v>
      </c>
      <c r="R162" s="17">
        <v>349800</v>
      </c>
      <c r="S162" s="17">
        <v>349800</v>
      </c>
      <c r="T162" s="17">
        <v>1</v>
      </c>
      <c r="U162" s="17">
        <v>4</v>
      </c>
    </row>
    <row r="163" spans="1:21" x14ac:dyDescent="0.3">
      <c r="A163" t="s">
        <v>1039</v>
      </c>
      <c r="B163" t="s">
        <v>229</v>
      </c>
      <c r="C163">
        <v>14</v>
      </c>
      <c r="D163" s="1">
        <v>45857</v>
      </c>
      <c r="E163">
        <v>52800</v>
      </c>
      <c r="F163" t="s">
        <v>1011</v>
      </c>
      <c r="G163">
        <v>222</v>
      </c>
      <c r="Q163" s="16">
        <v>352000</v>
      </c>
      <c r="R163" s="17">
        <v>704000</v>
      </c>
      <c r="S163" s="17">
        <v>352000</v>
      </c>
      <c r="T163" s="17">
        <v>2</v>
      </c>
      <c r="U163" s="17">
        <v>14</v>
      </c>
    </row>
    <row r="164" spans="1:21" x14ac:dyDescent="0.3">
      <c r="A164" t="s">
        <v>1039</v>
      </c>
      <c r="B164" t="s">
        <v>231</v>
      </c>
      <c r="C164">
        <v>14</v>
      </c>
      <c r="D164" s="1">
        <v>45859</v>
      </c>
      <c r="E164">
        <v>42900</v>
      </c>
      <c r="F164" t="s">
        <v>1745</v>
      </c>
      <c r="G164">
        <v>456</v>
      </c>
      <c r="Q164" s="16">
        <v>355300</v>
      </c>
      <c r="R164" s="17">
        <v>355300</v>
      </c>
      <c r="S164" s="17">
        <v>355300</v>
      </c>
      <c r="T164" s="17">
        <v>1</v>
      </c>
      <c r="U164" s="17">
        <v>11</v>
      </c>
    </row>
    <row r="165" spans="1:21" x14ac:dyDescent="0.3">
      <c r="A165" t="s">
        <v>1039</v>
      </c>
      <c r="B165" t="s">
        <v>233</v>
      </c>
      <c r="C165">
        <v>14</v>
      </c>
      <c r="D165" s="1">
        <v>45868</v>
      </c>
      <c r="E165">
        <v>36300</v>
      </c>
      <c r="F165" t="s">
        <v>1428</v>
      </c>
      <c r="G165">
        <v>1143</v>
      </c>
      <c r="Q165" s="16">
        <v>359700</v>
      </c>
      <c r="R165" s="17">
        <v>359700</v>
      </c>
      <c r="S165" s="17">
        <v>359700</v>
      </c>
      <c r="T165" s="17">
        <v>1</v>
      </c>
      <c r="U165" s="17">
        <v>7</v>
      </c>
    </row>
    <row r="166" spans="1:21" x14ac:dyDescent="0.3">
      <c r="A166" t="s">
        <v>1039</v>
      </c>
      <c r="B166" t="s">
        <v>310</v>
      </c>
      <c r="C166">
        <v>14</v>
      </c>
      <c r="D166" s="1">
        <v>45860</v>
      </c>
      <c r="E166">
        <v>36300</v>
      </c>
      <c r="F166" t="s">
        <v>913</v>
      </c>
      <c r="G166">
        <v>418</v>
      </c>
      <c r="Q166" s="16">
        <v>372900</v>
      </c>
      <c r="R166" s="17">
        <v>372900</v>
      </c>
      <c r="S166" s="17">
        <v>372900</v>
      </c>
      <c r="T166" s="17">
        <v>1</v>
      </c>
      <c r="U166" s="17">
        <v>6</v>
      </c>
    </row>
    <row r="167" spans="1:21" x14ac:dyDescent="0.3">
      <c r="A167" t="s">
        <v>1039</v>
      </c>
      <c r="B167" t="s">
        <v>310</v>
      </c>
      <c r="C167">
        <v>14</v>
      </c>
      <c r="D167" s="1">
        <v>45859</v>
      </c>
      <c r="E167">
        <v>36300</v>
      </c>
      <c r="F167" t="s">
        <v>933</v>
      </c>
      <c r="G167">
        <v>341</v>
      </c>
      <c r="Q167" s="16">
        <v>380600</v>
      </c>
      <c r="R167" s="17">
        <v>380600</v>
      </c>
      <c r="S167" s="17">
        <v>380600</v>
      </c>
      <c r="T167" s="17">
        <v>1</v>
      </c>
      <c r="U167" s="17">
        <v>11</v>
      </c>
    </row>
    <row r="168" spans="1:21" x14ac:dyDescent="0.3">
      <c r="A168" t="s">
        <v>1039</v>
      </c>
      <c r="B168" t="s">
        <v>235</v>
      </c>
      <c r="C168">
        <v>14</v>
      </c>
      <c r="D168" s="1">
        <v>45860</v>
      </c>
      <c r="E168">
        <v>29700</v>
      </c>
      <c r="F168" t="s">
        <v>1727</v>
      </c>
      <c r="G168">
        <v>893</v>
      </c>
      <c r="Q168" s="16">
        <v>392700</v>
      </c>
      <c r="R168" s="17">
        <v>392700</v>
      </c>
      <c r="S168" s="17">
        <v>392700</v>
      </c>
      <c r="T168" s="17">
        <v>1</v>
      </c>
      <c r="U168" s="17">
        <v>8</v>
      </c>
    </row>
    <row r="169" spans="1:21" x14ac:dyDescent="0.3">
      <c r="A169" t="s">
        <v>1039</v>
      </c>
      <c r="B169" t="s">
        <v>235</v>
      </c>
      <c r="C169">
        <v>14</v>
      </c>
      <c r="D169" s="1">
        <v>45857</v>
      </c>
      <c r="E169">
        <v>29700</v>
      </c>
      <c r="F169" t="s">
        <v>954</v>
      </c>
      <c r="G169">
        <v>302</v>
      </c>
      <c r="Q169" s="16">
        <v>407000</v>
      </c>
      <c r="R169" s="17">
        <v>407000</v>
      </c>
      <c r="S169" s="17">
        <v>407000</v>
      </c>
      <c r="T169" s="17">
        <v>1</v>
      </c>
      <c r="U169" s="17">
        <v>19</v>
      </c>
    </row>
    <row r="170" spans="1:21" x14ac:dyDescent="0.3">
      <c r="A170" t="s">
        <v>1039</v>
      </c>
      <c r="B170" t="s">
        <v>235</v>
      </c>
      <c r="C170">
        <v>14</v>
      </c>
      <c r="D170" s="1">
        <v>45857</v>
      </c>
      <c r="E170">
        <v>27500</v>
      </c>
      <c r="F170" t="s">
        <v>1009</v>
      </c>
      <c r="G170">
        <v>241</v>
      </c>
      <c r="Q170" s="16">
        <v>421300</v>
      </c>
      <c r="R170" s="17">
        <v>421300</v>
      </c>
      <c r="S170" s="17">
        <v>421300</v>
      </c>
      <c r="T170" s="17">
        <v>1</v>
      </c>
      <c r="U170" s="17">
        <v>6</v>
      </c>
    </row>
    <row r="171" spans="1:21" x14ac:dyDescent="0.3">
      <c r="A171" t="s">
        <v>1039</v>
      </c>
      <c r="B171" t="s">
        <v>231</v>
      </c>
      <c r="C171">
        <v>14</v>
      </c>
      <c r="D171" s="1">
        <v>45858</v>
      </c>
      <c r="E171">
        <v>12100</v>
      </c>
      <c r="F171" t="s">
        <v>908</v>
      </c>
      <c r="G171">
        <v>280</v>
      </c>
      <c r="Q171" s="16">
        <v>433400</v>
      </c>
      <c r="R171" s="17">
        <v>433400</v>
      </c>
      <c r="S171" s="17">
        <v>433400</v>
      </c>
      <c r="T171" s="17">
        <v>1</v>
      </c>
      <c r="U171" s="17">
        <v>11</v>
      </c>
    </row>
    <row r="172" spans="1:21" x14ac:dyDescent="0.3">
      <c r="A172" t="s">
        <v>1039</v>
      </c>
      <c r="B172" t="s">
        <v>235</v>
      </c>
      <c r="C172">
        <v>14</v>
      </c>
      <c r="D172" s="1">
        <v>45864</v>
      </c>
      <c r="E172">
        <v>7700</v>
      </c>
      <c r="F172" t="s">
        <v>667</v>
      </c>
      <c r="G172">
        <v>737</v>
      </c>
      <c r="Q172" s="16">
        <v>447700</v>
      </c>
      <c r="R172" s="17">
        <v>895400</v>
      </c>
      <c r="S172" s="17">
        <v>447700</v>
      </c>
      <c r="T172" s="17">
        <v>2</v>
      </c>
      <c r="U172" s="17">
        <v>5</v>
      </c>
    </row>
    <row r="173" spans="1:21" x14ac:dyDescent="0.3">
      <c r="A173" t="s">
        <v>1039</v>
      </c>
      <c r="B173" t="s">
        <v>229</v>
      </c>
      <c r="C173">
        <v>14</v>
      </c>
      <c r="D173" s="1">
        <v>45859</v>
      </c>
      <c r="E173">
        <v>7700</v>
      </c>
      <c r="F173" t="s">
        <v>895</v>
      </c>
      <c r="G173">
        <v>328</v>
      </c>
      <c r="Q173" s="16">
        <v>458700</v>
      </c>
      <c r="R173" s="17">
        <v>458700</v>
      </c>
      <c r="S173" s="17">
        <v>458700</v>
      </c>
      <c r="T173" s="17">
        <v>1</v>
      </c>
      <c r="U173" s="17">
        <v>10</v>
      </c>
    </row>
    <row r="174" spans="1:21" x14ac:dyDescent="0.3">
      <c r="A174" t="s">
        <v>1039</v>
      </c>
      <c r="B174" t="s">
        <v>235</v>
      </c>
      <c r="C174">
        <v>14</v>
      </c>
      <c r="D174" s="1">
        <v>45858</v>
      </c>
      <c r="E174">
        <v>7700</v>
      </c>
      <c r="F174" t="s">
        <v>743</v>
      </c>
      <c r="G174">
        <v>302</v>
      </c>
      <c r="Q174" s="16">
        <v>459800</v>
      </c>
      <c r="R174" s="17">
        <v>459800</v>
      </c>
      <c r="S174" s="17">
        <v>459800</v>
      </c>
      <c r="T174" s="17">
        <v>1</v>
      </c>
      <c r="U174" s="17">
        <v>7</v>
      </c>
    </row>
    <row r="175" spans="1:21" x14ac:dyDescent="0.3">
      <c r="A175" t="s">
        <v>1039</v>
      </c>
      <c r="B175" t="s">
        <v>309</v>
      </c>
      <c r="C175">
        <v>14</v>
      </c>
      <c r="D175" s="1">
        <v>45857</v>
      </c>
      <c r="E175">
        <v>7700</v>
      </c>
      <c r="F175" t="s">
        <v>959</v>
      </c>
      <c r="G175">
        <v>275</v>
      </c>
      <c r="Q175" s="16">
        <v>469700</v>
      </c>
      <c r="R175" s="17">
        <v>469700</v>
      </c>
      <c r="S175" s="17">
        <v>469700</v>
      </c>
      <c r="T175" s="17">
        <v>1</v>
      </c>
      <c r="U175" s="17">
        <v>8</v>
      </c>
    </row>
    <row r="176" spans="1:21" x14ac:dyDescent="0.3">
      <c r="A176" t="s">
        <v>1039</v>
      </c>
      <c r="B176" t="s">
        <v>225</v>
      </c>
      <c r="C176">
        <v>14</v>
      </c>
      <c r="D176" s="1">
        <v>45871</v>
      </c>
      <c r="E176">
        <v>6600</v>
      </c>
      <c r="F176" t="s">
        <v>1225</v>
      </c>
      <c r="G176">
        <v>1422</v>
      </c>
      <c r="Q176" s="16">
        <v>471900</v>
      </c>
      <c r="R176" s="17">
        <v>471900</v>
      </c>
      <c r="S176" s="17">
        <v>471900</v>
      </c>
      <c r="T176" s="17">
        <v>1</v>
      </c>
      <c r="U176" s="17">
        <v>4</v>
      </c>
    </row>
    <row r="177" spans="1:21" x14ac:dyDescent="0.3">
      <c r="A177" t="s">
        <v>1039</v>
      </c>
      <c r="B177" t="s">
        <v>235</v>
      </c>
      <c r="C177">
        <v>14</v>
      </c>
      <c r="D177" s="1">
        <v>45859</v>
      </c>
      <c r="E177">
        <v>0</v>
      </c>
      <c r="F177" t="s">
        <v>872</v>
      </c>
      <c r="G177">
        <v>383</v>
      </c>
      <c r="Q177" s="16">
        <v>476300</v>
      </c>
      <c r="R177" s="17">
        <v>476300</v>
      </c>
      <c r="S177" s="17">
        <v>476300</v>
      </c>
      <c r="T177" s="17">
        <v>1</v>
      </c>
      <c r="U177" s="17">
        <v>4</v>
      </c>
    </row>
    <row r="178" spans="1:21" x14ac:dyDescent="0.3">
      <c r="A178" t="s">
        <v>1039</v>
      </c>
      <c r="B178" t="s">
        <v>235</v>
      </c>
      <c r="C178">
        <v>15</v>
      </c>
      <c r="D178" s="1">
        <v>45859</v>
      </c>
      <c r="E178">
        <v>287100</v>
      </c>
      <c r="F178" t="s">
        <v>356</v>
      </c>
      <c r="G178">
        <v>571</v>
      </c>
      <c r="Q178" s="16">
        <v>480700</v>
      </c>
      <c r="R178" s="17">
        <v>480700</v>
      </c>
      <c r="S178" s="17">
        <v>480700</v>
      </c>
      <c r="T178" s="17">
        <v>1</v>
      </c>
      <c r="U178" s="17">
        <v>29</v>
      </c>
    </row>
    <row r="179" spans="1:21" x14ac:dyDescent="0.3">
      <c r="A179" t="s">
        <v>1039</v>
      </c>
      <c r="B179" t="s">
        <v>226</v>
      </c>
      <c r="C179">
        <v>15</v>
      </c>
      <c r="D179" s="1">
        <v>45861</v>
      </c>
      <c r="E179">
        <v>282700</v>
      </c>
      <c r="F179" t="s">
        <v>797</v>
      </c>
      <c r="G179">
        <v>536</v>
      </c>
      <c r="Q179" s="16">
        <v>481800</v>
      </c>
      <c r="R179" s="17">
        <v>481800</v>
      </c>
      <c r="S179" s="17">
        <v>481800</v>
      </c>
      <c r="T179" s="17">
        <v>1</v>
      </c>
      <c r="U179" s="17">
        <v>10</v>
      </c>
    </row>
    <row r="180" spans="1:21" x14ac:dyDescent="0.3">
      <c r="A180" t="s">
        <v>1039</v>
      </c>
      <c r="B180" t="s">
        <v>231</v>
      </c>
      <c r="C180">
        <v>15</v>
      </c>
      <c r="D180" s="1">
        <v>45867</v>
      </c>
      <c r="E180">
        <v>242000</v>
      </c>
      <c r="F180" t="s">
        <v>1307</v>
      </c>
      <c r="G180">
        <v>1300</v>
      </c>
      <c r="Q180" s="16">
        <v>506000</v>
      </c>
      <c r="R180" s="17">
        <v>506000</v>
      </c>
      <c r="S180" s="17">
        <v>506000</v>
      </c>
      <c r="T180" s="17">
        <v>1</v>
      </c>
      <c r="U180" s="17">
        <v>10</v>
      </c>
    </row>
    <row r="181" spans="1:21" x14ac:dyDescent="0.3">
      <c r="A181" t="s">
        <v>1039</v>
      </c>
      <c r="B181" t="s">
        <v>234</v>
      </c>
      <c r="C181">
        <v>15</v>
      </c>
      <c r="D181" s="1">
        <v>45858</v>
      </c>
      <c r="E181">
        <v>223300</v>
      </c>
      <c r="F181" t="s">
        <v>1754</v>
      </c>
      <c r="G181">
        <v>348</v>
      </c>
      <c r="Q181" s="16">
        <v>507100</v>
      </c>
      <c r="R181" s="17">
        <v>507100</v>
      </c>
      <c r="S181" s="17">
        <v>507100</v>
      </c>
      <c r="T181" s="17">
        <v>1</v>
      </c>
      <c r="U181" s="17">
        <v>9</v>
      </c>
    </row>
    <row r="182" spans="1:21" x14ac:dyDescent="0.3">
      <c r="A182" t="s">
        <v>1039</v>
      </c>
      <c r="B182" t="s">
        <v>310</v>
      </c>
      <c r="C182">
        <v>15</v>
      </c>
      <c r="D182" s="1">
        <v>45855</v>
      </c>
      <c r="E182">
        <v>205700</v>
      </c>
      <c r="F182" t="s">
        <v>1288</v>
      </c>
      <c r="G182">
        <v>1366</v>
      </c>
      <c r="Q182" s="16">
        <v>512600</v>
      </c>
      <c r="R182" s="17">
        <v>512600</v>
      </c>
      <c r="S182" s="17">
        <v>512600</v>
      </c>
      <c r="T182" s="17">
        <v>1</v>
      </c>
      <c r="U182" s="17">
        <v>6</v>
      </c>
    </row>
    <row r="183" spans="1:21" x14ac:dyDescent="0.3">
      <c r="A183" t="s">
        <v>1039</v>
      </c>
      <c r="B183" t="s">
        <v>236</v>
      </c>
      <c r="C183">
        <v>15</v>
      </c>
      <c r="D183" s="1">
        <v>45857</v>
      </c>
      <c r="E183">
        <v>190300</v>
      </c>
      <c r="F183" t="s">
        <v>362</v>
      </c>
      <c r="G183">
        <v>286</v>
      </c>
      <c r="Q183" s="16">
        <v>517000</v>
      </c>
      <c r="R183" s="17">
        <v>517000</v>
      </c>
      <c r="S183" s="17">
        <v>517000</v>
      </c>
      <c r="T183" s="17">
        <v>1</v>
      </c>
      <c r="U183" s="17">
        <v>10</v>
      </c>
    </row>
    <row r="184" spans="1:21" x14ac:dyDescent="0.3">
      <c r="A184" t="s">
        <v>1039</v>
      </c>
      <c r="B184" t="s">
        <v>228</v>
      </c>
      <c r="C184">
        <v>15</v>
      </c>
      <c r="D184" s="1">
        <v>45856</v>
      </c>
      <c r="E184">
        <v>190300</v>
      </c>
      <c r="F184" t="s">
        <v>257</v>
      </c>
      <c r="G184">
        <v>225</v>
      </c>
      <c r="Q184" s="16">
        <v>557700</v>
      </c>
      <c r="R184" s="17">
        <v>557700</v>
      </c>
      <c r="S184" s="17">
        <v>557700</v>
      </c>
      <c r="T184" s="17">
        <v>1</v>
      </c>
      <c r="U184" s="17">
        <v>2</v>
      </c>
    </row>
    <row r="185" spans="1:21" x14ac:dyDescent="0.3">
      <c r="A185" t="s">
        <v>1039</v>
      </c>
      <c r="B185" t="s">
        <v>231</v>
      </c>
      <c r="C185">
        <v>15</v>
      </c>
      <c r="D185" s="1">
        <v>45856</v>
      </c>
      <c r="E185">
        <v>183700</v>
      </c>
      <c r="F185" t="s">
        <v>861</v>
      </c>
      <c r="G185">
        <v>269</v>
      </c>
      <c r="Q185" s="16">
        <v>568700</v>
      </c>
      <c r="R185" s="17">
        <v>568700</v>
      </c>
      <c r="S185" s="17">
        <v>568700</v>
      </c>
      <c r="T185" s="17">
        <v>1</v>
      </c>
      <c r="U185" s="17">
        <v>4</v>
      </c>
    </row>
    <row r="186" spans="1:21" x14ac:dyDescent="0.3">
      <c r="A186" t="s">
        <v>1039</v>
      </c>
      <c r="B186" t="s">
        <v>310</v>
      </c>
      <c r="C186">
        <v>15</v>
      </c>
      <c r="D186" s="1">
        <v>45857</v>
      </c>
      <c r="E186">
        <v>157300</v>
      </c>
      <c r="F186" t="s">
        <v>826</v>
      </c>
      <c r="G186">
        <v>279</v>
      </c>
      <c r="Q186" s="16">
        <v>631400</v>
      </c>
      <c r="R186" s="17">
        <v>631400</v>
      </c>
      <c r="S186" s="17">
        <v>631400</v>
      </c>
      <c r="T186" s="17">
        <v>1</v>
      </c>
      <c r="U186" s="17">
        <v>3</v>
      </c>
    </row>
    <row r="187" spans="1:21" x14ac:dyDescent="0.3">
      <c r="A187" t="s">
        <v>1039</v>
      </c>
      <c r="B187" t="s">
        <v>309</v>
      </c>
      <c r="C187">
        <v>15</v>
      </c>
      <c r="D187" s="1">
        <v>45857</v>
      </c>
      <c r="E187">
        <v>146300</v>
      </c>
      <c r="F187" t="s">
        <v>1760</v>
      </c>
      <c r="G187">
        <v>315</v>
      </c>
      <c r="Q187" s="16">
        <v>645700</v>
      </c>
      <c r="R187" s="17">
        <v>645700</v>
      </c>
      <c r="S187" s="17">
        <v>645700</v>
      </c>
      <c r="T187" s="17">
        <v>1</v>
      </c>
      <c r="U187" s="17">
        <v>4</v>
      </c>
    </row>
    <row r="188" spans="1:21" x14ac:dyDescent="0.3">
      <c r="A188" t="s">
        <v>1039</v>
      </c>
      <c r="B188" t="s">
        <v>309</v>
      </c>
      <c r="C188">
        <v>15</v>
      </c>
      <c r="D188" s="1">
        <v>45867</v>
      </c>
      <c r="E188">
        <v>139700</v>
      </c>
      <c r="F188" t="s">
        <v>471</v>
      </c>
      <c r="G188">
        <v>1032</v>
      </c>
      <c r="Q188" s="16">
        <v>650100</v>
      </c>
      <c r="R188" s="17">
        <v>650100</v>
      </c>
      <c r="S188" s="17">
        <v>650100</v>
      </c>
      <c r="T188" s="17">
        <v>1</v>
      </c>
      <c r="U188" s="17">
        <v>5</v>
      </c>
    </row>
    <row r="189" spans="1:21" x14ac:dyDescent="0.3">
      <c r="A189" t="s">
        <v>1039</v>
      </c>
      <c r="B189" t="s">
        <v>309</v>
      </c>
      <c r="C189">
        <v>15</v>
      </c>
      <c r="D189" s="1">
        <v>45871</v>
      </c>
      <c r="E189">
        <v>128700</v>
      </c>
      <c r="F189" t="s">
        <v>1236</v>
      </c>
      <c r="G189">
        <v>1342</v>
      </c>
      <c r="Q189" s="16">
        <v>675400</v>
      </c>
      <c r="R189" s="17">
        <v>675400</v>
      </c>
      <c r="S189" s="17">
        <v>675400</v>
      </c>
      <c r="T189" s="17">
        <v>1</v>
      </c>
      <c r="U189" s="17">
        <v>3</v>
      </c>
    </row>
    <row r="190" spans="1:21" x14ac:dyDescent="0.3">
      <c r="A190" t="s">
        <v>1039</v>
      </c>
      <c r="B190" t="s">
        <v>310</v>
      </c>
      <c r="C190">
        <v>15</v>
      </c>
      <c r="D190" s="1">
        <v>45856</v>
      </c>
      <c r="E190">
        <v>126500</v>
      </c>
      <c r="F190" t="s">
        <v>374</v>
      </c>
      <c r="G190">
        <v>295</v>
      </c>
      <c r="Q190" s="16">
        <v>707300</v>
      </c>
      <c r="R190" s="17">
        <v>707300</v>
      </c>
      <c r="S190" s="17">
        <v>707300</v>
      </c>
      <c r="T190" s="17">
        <v>1</v>
      </c>
      <c r="U190" s="17">
        <v>4</v>
      </c>
    </row>
    <row r="191" spans="1:21" x14ac:dyDescent="0.3">
      <c r="A191" t="s">
        <v>1039</v>
      </c>
      <c r="B191" t="s">
        <v>230</v>
      </c>
      <c r="C191">
        <v>15</v>
      </c>
      <c r="D191" s="1">
        <v>45869</v>
      </c>
      <c r="E191">
        <v>125400</v>
      </c>
      <c r="F191" t="s">
        <v>1383</v>
      </c>
      <c r="G191">
        <v>1232</v>
      </c>
      <c r="Q191" s="16">
        <v>810700</v>
      </c>
      <c r="R191" s="17">
        <v>810700</v>
      </c>
      <c r="S191" s="17">
        <v>810700</v>
      </c>
      <c r="T191" s="17">
        <v>1</v>
      </c>
      <c r="U191" s="17">
        <v>13</v>
      </c>
    </row>
    <row r="192" spans="1:21" x14ac:dyDescent="0.3">
      <c r="A192" t="s">
        <v>1039</v>
      </c>
      <c r="B192" t="s">
        <v>233</v>
      </c>
      <c r="C192">
        <v>15</v>
      </c>
      <c r="D192" s="1">
        <v>45863</v>
      </c>
      <c r="E192">
        <v>121000</v>
      </c>
      <c r="F192" t="s">
        <v>325</v>
      </c>
      <c r="G192">
        <v>681</v>
      </c>
      <c r="Q192" s="16">
        <v>843700</v>
      </c>
      <c r="R192" s="17">
        <v>843700</v>
      </c>
      <c r="S192" s="17">
        <v>843700</v>
      </c>
      <c r="T192" s="17">
        <v>1</v>
      </c>
      <c r="U192" s="17">
        <v>7</v>
      </c>
    </row>
    <row r="193" spans="1:21" x14ac:dyDescent="0.3">
      <c r="A193" t="s">
        <v>1039</v>
      </c>
      <c r="B193" t="s">
        <v>224</v>
      </c>
      <c r="C193">
        <v>15</v>
      </c>
      <c r="D193" s="1">
        <v>45865</v>
      </c>
      <c r="E193">
        <v>117700</v>
      </c>
      <c r="F193" t="s">
        <v>540</v>
      </c>
      <c r="G193">
        <v>941</v>
      </c>
      <c r="Q193" s="16">
        <v>990000</v>
      </c>
      <c r="R193" s="17">
        <v>990000</v>
      </c>
      <c r="S193" s="17">
        <v>990000</v>
      </c>
      <c r="T193" s="17">
        <v>1</v>
      </c>
      <c r="U193" s="17">
        <v>4</v>
      </c>
    </row>
    <row r="194" spans="1:21" x14ac:dyDescent="0.3">
      <c r="A194" t="s">
        <v>1039</v>
      </c>
      <c r="B194" t="s">
        <v>229</v>
      </c>
      <c r="C194">
        <v>15</v>
      </c>
      <c r="D194" s="1">
        <v>45862</v>
      </c>
      <c r="E194">
        <v>117700</v>
      </c>
      <c r="F194" t="s">
        <v>1713</v>
      </c>
      <c r="G194">
        <v>609</v>
      </c>
      <c r="Q194" s="16" t="s">
        <v>239</v>
      </c>
      <c r="R194" s="17">
        <v>0</v>
      </c>
      <c r="S194" s="17" t="e">
        <v>#DIV/0!</v>
      </c>
      <c r="T194" s="17">
        <v>1</v>
      </c>
      <c r="U194" s="17" t="e">
        <v>#DIV/0!</v>
      </c>
    </row>
    <row r="195" spans="1:21" x14ac:dyDescent="0.3">
      <c r="A195" t="s">
        <v>1039</v>
      </c>
      <c r="B195" t="s">
        <v>228</v>
      </c>
      <c r="C195">
        <v>15</v>
      </c>
      <c r="D195" s="1">
        <v>45868</v>
      </c>
      <c r="E195">
        <v>113300</v>
      </c>
      <c r="F195" t="s">
        <v>1342</v>
      </c>
      <c r="G195">
        <v>1290</v>
      </c>
      <c r="Q195" s="16" t="s">
        <v>1805</v>
      </c>
      <c r="R195" s="17">
        <v>67856800</v>
      </c>
      <c r="S195" s="17">
        <v>50791.017964071856</v>
      </c>
      <c r="T195" s="17">
        <v>1337</v>
      </c>
      <c r="U195" s="17">
        <v>19.562874251497007</v>
      </c>
    </row>
    <row r="196" spans="1:21" x14ac:dyDescent="0.3">
      <c r="A196" t="s">
        <v>1039</v>
      </c>
      <c r="B196" t="s">
        <v>309</v>
      </c>
      <c r="C196">
        <v>15</v>
      </c>
      <c r="D196" s="1">
        <v>45857</v>
      </c>
      <c r="E196">
        <v>113300</v>
      </c>
      <c r="F196" t="s">
        <v>1734</v>
      </c>
      <c r="G196">
        <v>782</v>
      </c>
    </row>
    <row r="197" spans="1:21" x14ac:dyDescent="0.3">
      <c r="A197" t="s">
        <v>1039</v>
      </c>
      <c r="B197" t="s">
        <v>312</v>
      </c>
      <c r="C197">
        <v>15</v>
      </c>
      <c r="D197" s="1">
        <v>45858</v>
      </c>
      <c r="E197">
        <v>111100</v>
      </c>
      <c r="F197" t="s">
        <v>823</v>
      </c>
      <c r="G197">
        <v>344</v>
      </c>
    </row>
    <row r="198" spans="1:21" x14ac:dyDescent="0.3">
      <c r="A198" t="s">
        <v>1039</v>
      </c>
      <c r="B198" t="s">
        <v>231</v>
      </c>
      <c r="C198">
        <v>15</v>
      </c>
      <c r="D198" s="1">
        <v>45861</v>
      </c>
      <c r="E198">
        <v>110000</v>
      </c>
      <c r="F198" t="s">
        <v>649</v>
      </c>
      <c r="G198">
        <v>579</v>
      </c>
    </row>
    <row r="199" spans="1:21" x14ac:dyDescent="0.3">
      <c r="A199" t="s">
        <v>1039</v>
      </c>
      <c r="B199" t="s">
        <v>310</v>
      </c>
      <c r="C199">
        <v>15</v>
      </c>
      <c r="D199" s="1">
        <v>45873</v>
      </c>
      <c r="E199">
        <v>100100</v>
      </c>
      <c r="F199" t="s">
        <v>1067</v>
      </c>
      <c r="G199">
        <v>1527</v>
      </c>
    </row>
    <row r="200" spans="1:21" x14ac:dyDescent="0.3">
      <c r="A200" t="s">
        <v>1039</v>
      </c>
      <c r="B200" t="s">
        <v>309</v>
      </c>
      <c r="C200">
        <v>15</v>
      </c>
      <c r="D200" s="1">
        <v>45861</v>
      </c>
      <c r="E200">
        <v>99000</v>
      </c>
      <c r="F200" t="s">
        <v>723</v>
      </c>
      <c r="G200">
        <v>506</v>
      </c>
    </row>
    <row r="201" spans="1:21" x14ac:dyDescent="0.3">
      <c r="A201" t="s">
        <v>1039</v>
      </c>
      <c r="B201" t="s">
        <v>310</v>
      </c>
      <c r="C201">
        <v>15</v>
      </c>
      <c r="D201" s="1">
        <v>45860</v>
      </c>
      <c r="E201">
        <v>99000</v>
      </c>
      <c r="F201" t="s">
        <v>381</v>
      </c>
      <c r="G201">
        <v>486</v>
      </c>
    </row>
    <row r="202" spans="1:21" x14ac:dyDescent="0.3">
      <c r="A202" t="s">
        <v>1039</v>
      </c>
      <c r="B202" t="s">
        <v>309</v>
      </c>
      <c r="C202">
        <v>15</v>
      </c>
      <c r="D202" s="1">
        <v>45856</v>
      </c>
      <c r="E202">
        <v>99000</v>
      </c>
      <c r="F202" t="s">
        <v>730</v>
      </c>
      <c r="G202">
        <v>299</v>
      </c>
    </row>
    <row r="203" spans="1:21" x14ac:dyDescent="0.3">
      <c r="A203" t="s">
        <v>1039</v>
      </c>
      <c r="B203" t="s">
        <v>311</v>
      </c>
      <c r="C203">
        <v>15</v>
      </c>
      <c r="D203" s="1">
        <v>45857</v>
      </c>
      <c r="E203">
        <v>99000</v>
      </c>
      <c r="F203" t="s">
        <v>945</v>
      </c>
      <c r="G203">
        <v>279</v>
      </c>
    </row>
    <row r="204" spans="1:21" x14ac:dyDescent="0.3">
      <c r="A204" t="s">
        <v>1039</v>
      </c>
      <c r="B204" t="s">
        <v>231</v>
      </c>
      <c r="C204">
        <v>15</v>
      </c>
      <c r="D204" s="1">
        <v>45858</v>
      </c>
      <c r="E204">
        <v>95700</v>
      </c>
      <c r="F204" t="s">
        <v>396</v>
      </c>
      <c r="G204">
        <v>327</v>
      </c>
    </row>
    <row r="205" spans="1:21" x14ac:dyDescent="0.3">
      <c r="A205" t="s">
        <v>1039</v>
      </c>
      <c r="B205" t="s">
        <v>313</v>
      </c>
      <c r="C205">
        <v>15</v>
      </c>
      <c r="D205" s="1">
        <v>45856</v>
      </c>
      <c r="E205">
        <v>95700</v>
      </c>
      <c r="F205" t="s">
        <v>882</v>
      </c>
      <c r="G205">
        <v>253</v>
      </c>
    </row>
    <row r="206" spans="1:21" x14ac:dyDescent="0.3">
      <c r="A206" t="s">
        <v>1039</v>
      </c>
      <c r="B206" t="s">
        <v>309</v>
      </c>
      <c r="C206">
        <v>15</v>
      </c>
      <c r="D206" s="1">
        <v>45856</v>
      </c>
      <c r="E206">
        <v>92400</v>
      </c>
      <c r="F206" t="s">
        <v>999</v>
      </c>
      <c r="G206">
        <v>259</v>
      </c>
    </row>
    <row r="207" spans="1:21" x14ac:dyDescent="0.3">
      <c r="A207" t="s">
        <v>1039</v>
      </c>
      <c r="B207" t="s">
        <v>236</v>
      </c>
      <c r="C207">
        <v>15</v>
      </c>
      <c r="D207" s="1">
        <v>45857</v>
      </c>
      <c r="E207">
        <v>91300</v>
      </c>
      <c r="F207" t="s">
        <v>834</v>
      </c>
      <c r="G207">
        <v>324</v>
      </c>
    </row>
    <row r="208" spans="1:21" x14ac:dyDescent="0.3">
      <c r="A208" t="s">
        <v>1039</v>
      </c>
      <c r="B208" t="s">
        <v>236</v>
      </c>
      <c r="C208">
        <v>15</v>
      </c>
      <c r="D208" s="1">
        <v>45871</v>
      </c>
      <c r="E208">
        <v>88000</v>
      </c>
      <c r="F208" t="s">
        <v>1086</v>
      </c>
      <c r="G208">
        <v>1596</v>
      </c>
    </row>
    <row r="209" spans="1:7" x14ac:dyDescent="0.3">
      <c r="A209" t="s">
        <v>1039</v>
      </c>
      <c r="B209" t="s">
        <v>310</v>
      </c>
      <c r="C209">
        <v>15</v>
      </c>
      <c r="D209" s="1">
        <v>45861</v>
      </c>
      <c r="E209">
        <v>84700</v>
      </c>
      <c r="F209" t="s">
        <v>703</v>
      </c>
      <c r="G209">
        <v>604</v>
      </c>
    </row>
    <row r="210" spans="1:7" x14ac:dyDescent="0.3">
      <c r="A210" t="s">
        <v>1039</v>
      </c>
      <c r="B210" t="s">
        <v>310</v>
      </c>
      <c r="C210">
        <v>15</v>
      </c>
      <c r="D210" s="1">
        <v>45858</v>
      </c>
      <c r="E210">
        <v>69300</v>
      </c>
      <c r="F210" t="s">
        <v>937</v>
      </c>
      <c r="G210">
        <v>317</v>
      </c>
    </row>
    <row r="211" spans="1:7" x14ac:dyDescent="0.3">
      <c r="A211" t="s">
        <v>1039</v>
      </c>
      <c r="B211" t="s">
        <v>310</v>
      </c>
      <c r="C211">
        <v>15</v>
      </c>
      <c r="D211" s="1">
        <v>45869</v>
      </c>
      <c r="E211">
        <v>62700</v>
      </c>
      <c r="F211" t="s">
        <v>1323</v>
      </c>
      <c r="G211">
        <v>1276</v>
      </c>
    </row>
    <row r="212" spans="1:7" x14ac:dyDescent="0.3">
      <c r="A212" t="s">
        <v>1039</v>
      </c>
      <c r="B212" t="s">
        <v>310</v>
      </c>
      <c r="C212">
        <v>15</v>
      </c>
      <c r="D212" s="1">
        <v>45861</v>
      </c>
      <c r="E212">
        <v>62700</v>
      </c>
      <c r="F212" t="s">
        <v>802</v>
      </c>
      <c r="G212">
        <v>621</v>
      </c>
    </row>
    <row r="213" spans="1:7" x14ac:dyDescent="0.3">
      <c r="A213" t="s">
        <v>1039</v>
      </c>
      <c r="B213" t="s">
        <v>310</v>
      </c>
      <c r="C213">
        <v>15</v>
      </c>
      <c r="D213" s="1">
        <v>45860</v>
      </c>
      <c r="E213">
        <v>62700</v>
      </c>
      <c r="F213" t="s">
        <v>883</v>
      </c>
      <c r="G213">
        <v>536</v>
      </c>
    </row>
    <row r="214" spans="1:7" x14ac:dyDescent="0.3">
      <c r="A214" t="s">
        <v>1039</v>
      </c>
      <c r="B214" t="s">
        <v>310</v>
      </c>
      <c r="C214">
        <v>15</v>
      </c>
      <c r="D214" s="1">
        <v>45858</v>
      </c>
      <c r="E214">
        <v>62700</v>
      </c>
      <c r="F214" t="s">
        <v>970</v>
      </c>
      <c r="G214">
        <v>318</v>
      </c>
    </row>
    <row r="215" spans="1:7" x14ac:dyDescent="0.3">
      <c r="A215" t="s">
        <v>1039</v>
      </c>
      <c r="B215" t="s">
        <v>233</v>
      </c>
      <c r="C215">
        <v>15</v>
      </c>
      <c r="D215" s="1">
        <v>45856</v>
      </c>
      <c r="E215">
        <v>58300</v>
      </c>
      <c r="F215" t="s">
        <v>947</v>
      </c>
      <c r="G215">
        <v>260</v>
      </c>
    </row>
    <row r="216" spans="1:7" x14ac:dyDescent="0.3">
      <c r="A216" t="s">
        <v>1039</v>
      </c>
      <c r="B216" t="s">
        <v>235</v>
      </c>
      <c r="C216">
        <v>15</v>
      </c>
      <c r="D216" s="1">
        <v>45870</v>
      </c>
      <c r="E216">
        <v>55000</v>
      </c>
      <c r="F216" t="s">
        <v>1167</v>
      </c>
      <c r="G216">
        <v>1436</v>
      </c>
    </row>
    <row r="217" spans="1:7" x14ac:dyDescent="0.3">
      <c r="A217" t="s">
        <v>1039</v>
      </c>
      <c r="B217" t="s">
        <v>231</v>
      </c>
      <c r="C217">
        <v>15</v>
      </c>
      <c r="D217" s="1">
        <v>45861</v>
      </c>
      <c r="E217">
        <v>51700</v>
      </c>
      <c r="F217" t="s">
        <v>632</v>
      </c>
      <c r="G217">
        <v>602</v>
      </c>
    </row>
    <row r="218" spans="1:7" x14ac:dyDescent="0.3">
      <c r="A218" t="s">
        <v>1039</v>
      </c>
      <c r="B218" t="s">
        <v>235</v>
      </c>
      <c r="C218">
        <v>15</v>
      </c>
      <c r="D218" s="1">
        <v>45857</v>
      </c>
      <c r="E218">
        <v>47300</v>
      </c>
      <c r="F218" t="s">
        <v>896</v>
      </c>
      <c r="G218">
        <v>280</v>
      </c>
    </row>
    <row r="219" spans="1:7" x14ac:dyDescent="0.3">
      <c r="A219" t="s">
        <v>1039</v>
      </c>
      <c r="B219" t="s">
        <v>229</v>
      </c>
      <c r="C219">
        <v>15</v>
      </c>
      <c r="D219" s="1">
        <v>45856</v>
      </c>
      <c r="E219">
        <v>47300</v>
      </c>
      <c r="F219" t="s">
        <v>962</v>
      </c>
      <c r="G219">
        <v>256</v>
      </c>
    </row>
    <row r="220" spans="1:7" x14ac:dyDescent="0.3">
      <c r="A220" t="s">
        <v>1039</v>
      </c>
      <c r="B220" t="s">
        <v>233</v>
      </c>
      <c r="C220">
        <v>15</v>
      </c>
      <c r="D220" s="1">
        <v>45856</v>
      </c>
      <c r="E220">
        <v>46200</v>
      </c>
      <c r="F220" t="s">
        <v>1770</v>
      </c>
      <c r="G220">
        <v>247</v>
      </c>
    </row>
    <row r="221" spans="1:7" x14ac:dyDescent="0.3">
      <c r="A221" t="s">
        <v>1039</v>
      </c>
      <c r="B221" t="s">
        <v>310</v>
      </c>
      <c r="C221">
        <v>15</v>
      </c>
      <c r="D221" s="1">
        <v>45864</v>
      </c>
      <c r="E221">
        <v>44000</v>
      </c>
      <c r="F221" t="s">
        <v>593</v>
      </c>
      <c r="G221">
        <v>846</v>
      </c>
    </row>
    <row r="222" spans="1:7" x14ac:dyDescent="0.3">
      <c r="A222" t="s">
        <v>1039</v>
      </c>
      <c r="B222" t="s">
        <v>309</v>
      </c>
      <c r="C222">
        <v>15</v>
      </c>
      <c r="D222" s="1">
        <v>45858</v>
      </c>
      <c r="E222">
        <v>44000</v>
      </c>
      <c r="F222" t="s">
        <v>931</v>
      </c>
      <c r="G222">
        <v>319</v>
      </c>
    </row>
    <row r="223" spans="1:7" x14ac:dyDescent="0.3">
      <c r="A223" t="s">
        <v>1039</v>
      </c>
      <c r="B223" t="s">
        <v>310</v>
      </c>
      <c r="C223">
        <v>15</v>
      </c>
      <c r="D223" s="1">
        <v>45861</v>
      </c>
      <c r="E223">
        <v>41800</v>
      </c>
      <c r="F223" t="s">
        <v>787</v>
      </c>
      <c r="G223">
        <v>603</v>
      </c>
    </row>
    <row r="224" spans="1:7" x14ac:dyDescent="0.3">
      <c r="A224" t="s">
        <v>1039</v>
      </c>
      <c r="B224" t="s">
        <v>309</v>
      </c>
      <c r="C224">
        <v>15</v>
      </c>
      <c r="D224" s="1">
        <v>45864</v>
      </c>
      <c r="E224">
        <v>40700</v>
      </c>
      <c r="F224" t="s">
        <v>707</v>
      </c>
      <c r="G224">
        <v>727</v>
      </c>
    </row>
    <row r="225" spans="1:7" x14ac:dyDescent="0.3">
      <c r="A225" t="s">
        <v>1039</v>
      </c>
      <c r="B225" t="s">
        <v>310</v>
      </c>
      <c r="C225">
        <v>15</v>
      </c>
      <c r="D225" s="1">
        <v>45861</v>
      </c>
      <c r="E225">
        <v>40700</v>
      </c>
      <c r="F225" t="s">
        <v>800</v>
      </c>
      <c r="G225">
        <v>558</v>
      </c>
    </row>
    <row r="226" spans="1:7" x14ac:dyDescent="0.3">
      <c r="A226" t="s">
        <v>1039</v>
      </c>
      <c r="B226" t="s">
        <v>310</v>
      </c>
      <c r="C226">
        <v>15</v>
      </c>
      <c r="D226" s="1">
        <v>45858</v>
      </c>
      <c r="E226">
        <v>40700</v>
      </c>
      <c r="F226" t="s">
        <v>880</v>
      </c>
      <c r="G226">
        <v>349</v>
      </c>
    </row>
    <row r="227" spans="1:7" x14ac:dyDescent="0.3">
      <c r="A227" t="s">
        <v>1039</v>
      </c>
      <c r="B227" t="s">
        <v>235</v>
      </c>
      <c r="C227">
        <v>15</v>
      </c>
      <c r="D227" s="1">
        <v>45857</v>
      </c>
      <c r="E227">
        <v>40700</v>
      </c>
      <c r="F227" t="s">
        <v>1766</v>
      </c>
      <c r="G227">
        <v>321</v>
      </c>
    </row>
    <row r="228" spans="1:7" x14ac:dyDescent="0.3">
      <c r="A228" t="s">
        <v>1039</v>
      </c>
      <c r="B228" t="s">
        <v>309</v>
      </c>
      <c r="C228">
        <v>15</v>
      </c>
      <c r="D228" s="1">
        <v>45864</v>
      </c>
      <c r="E228">
        <v>33000</v>
      </c>
      <c r="F228" t="s">
        <v>711</v>
      </c>
      <c r="G228">
        <v>728</v>
      </c>
    </row>
    <row r="229" spans="1:7" x14ac:dyDescent="0.3">
      <c r="A229" t="s">
        <v>1039</v>
      </c>
      <c r="B229" t="s">
        <v>310</v>
      </c>
      <c r="C229">
        <v>15</v>
      </c>
      <c r="D229" s="1">
        <v>45857</v>
      </c>
      <c r="E229">
        <v>33000</v>
      </c>
      <c r="F229" t="s">
        <v>960</v>
      </c>
      <c r="G229">
        <v>300</v>
      </c>
    </row>
    <row r="230" spans="1:7" x14ac:dyDescent="0.3">
      <c r="A230" t="s">
        <v>1039</v>
      </c>
      <c r="B230" t="s">
        <v>235</v>
      </c>
      <c r="C230">
        <v>15</v>
      </c>
      <c r="D230" s="1">
        <v>45858</v>
      </c>
      <c r="E230">
        <v>31900</v>
      </c>
      <c r="F230" t="s">
        <v>1758</v>
      </c>
      <c r="G230">
        <v>329</v>
      </c>
    </row>
    <row r="231" spans="1:7" x14ac:dyDescent="0.3">
      <c r="A231" t="s">
        <v>1039</v>
      </c>
      <c r="B231" t="s">
        <v>309</v>
      </c>
      <c r="C231">
        <v>15</v>
      </c>
      <c r="D231" s="1">
        <v>45866</v>
      </c>
      <c r="E231">
        <v>30800</v>
      </c>
      <c r="F231" t="s">
        <v>531</v>
      </c>
      <c r="G231">
        <v>932</v>
      </c>
    </row>
    <row r="232" spans="1:7" x14ac:dyDescent="0.3">
      <c r="A232" t="s">
        <v>1039</v>
      </c>
      <c r="B232" t="s">
        <v>224</v>
      </c>
      <c r="C232">
        <v>15</v>
      </c>
      <c r="D232" s="1">
        <v>45857</v>
      </c>
      <c r="E232">
        <v>29700</v>
      </c>
      <c r="F232" t="s">
        <v>928</v>
      </c>
      <c r="G232">
        <v>283</v>
      </c>
    </row>
    <row r="233" spans="1:7" x14ac:dyDescent="0.3">
      <c r="A233" t="s">
        <v>1039</v>
      </c>
      <c r="B233" t="s">
        <v>229</v>
      </c>
      <c r="C233">
        <v>15</v>
      </c>
      <c r="D233" s="1">
        <v>45859</v>
      </c>
      <c r="E233">
        <v>28600</v>
      </c>
      <c r="F233" t="s">
        <v>1560</v>
      </c>
      <c r="G233">
        <v>1010</v>
      </c>
    </row>
    <row r="234" spans="1:7" x14ac:dyDescent="0.3">
      <c r="A234" t="s">
        <v>1039</v>
      </c>
      <c r="B234" t="s">
        <v>229</v>
      </c>
      <c r="C234">
        <v>15</v>
      </c>
      <c r="D234" s="1">
        <v>45862</v>
      </c>
      <c r="E234">
        <v>22000</v>
      </c>
      <c r="F234" t="s">
        <v>657</v>
      </c>
      <c r="G234">
        <v>674</v>
      </c>
    </row>
    <row r="235" spans="1:7" x14ac:dyDescent="0.3">
      <c r="A235" t="s">
        <v>1039</v>
      </c>
      <c r="B235" t="s">
        <v>233</v>
      </c>
      <c r="C235">
        <v>15</v>
      </c>
      <c r="D235" s="1">
        <v>45867</v>
      </c>
      <c r="E235">
        <v>19800</v>
      </c>
      <c r="F235" t="s">
        <v>1532</v>
      </c>
      <c r="G235">
        <v>1017</v>
      </c>
    </row>
    <row r="236" spans="1:7" x14ac:dyDescent="0.3">
      <c r="A236" t="s">
        <v>1039</v>
      </c>
      <c r="B236" t="s">
        <v>309</v>
      </c>
      <c r="C236">
        <v>15</v>
      </c>
      <c r="D236" s="1">
        <v>45871</v>
      </c>
      <c r="E236">
        <v>18700</v>
      </c>
      <c r="F236" t="s">
        <v>1190</v>
      </c>
      <c r="G236">
        <v>1395</v>
      </c>
    </row>
    <row r="237" spans="1:7" x14ac:dyDescent="0.3">
      <c r="A237" t="s">
        <v>1039</v>
      </c>
      <c r="B237" t="s">
        <v>235</v>
      </c>
      <c r="C237">
        <v>15</v>
      </c>
      <c r="D237" s="1">
        <v>45861</v>
      </c>
      <c r="E237">
        <v>18700</v>
      </c>
      <c r="F237" t="s">
        <v>975</v>
      </c>
      <c r="G237">
        <v>728</v>
      </c>
    </row>
    <row r="238" spans="1:7" x14ac:dyDescent="0.3">
      <c r="A238" t="s">
        <v>1039</v>
      </c>
      <c r="B238" t="s">
        <v>231</v>
      </c>
      <c r="C238">
        <v>15</v>
      </c>
      <c r="D238" s="1">
        <v>45859</v>
      </c>
      <c r="E238">
        <v>16500</v>
      </c>
      <c r="F238" t="s">
        <v>747</v>
      </c>
      <c r="G238">
        <v>473</v>
      </c>
    </row>
    <row r="239" spans="1:7" x14ac:dyDescent="0.3">
      <c r="A239" t="s">
        <v>1039</v>
      </c>
      <c r="B239" t="s">
        <v>233</v>
      </c>
      <c r="C239">
        <v>15</v>
      </c>
      <c r="D239" s="1">
        <v>45857</v>
      </c>
      <c r="E239">
        <v>15400</v>
      </c>
      <c r="F239" t="s">
        <v>843</v>
      </c>
      <c r="G239">
        <v>300</v>
      </c>
    </row>
    <row r="240" spans="1:7" x14ac:dyDescent="0.3">
      <c r="A240" t="s">
        <v>1039</v>
      </c>
      <c r="B240" t="s">
        <v>309</v>
      </c>
      <c r="C240">
        <v>15</v>
      </c>
      <c r="D240" s="1">
        <v>45872</v>
      </c>
      <c r="E240">
        <v>7700</v>
      </c>
      <c r="F240" t="s">
        <v>1088</v>
      </c>
      <c r="G240">
        <v>1595</v>
      </c>
    </row>
    <row r="241" spans="1:7" x14ac:dyDescent="0.3">
      <c r="A241" t="s">
        <v>1039</v>
      </c>
      <c r="B241" t="s">
        <v>309</v>
      </c>
      <c r="C241">
        <v>15</v>
      </c>
      <c r="D241" s="1">
        <v>45871</v>
      </c>
      <c r="E241">
        <v>7700</v>
      </c>
      <c r="F241" t="s">
        <v>1136</v>
      </c>
      <c r="G241">
        <v>1450</v>
      </c>
    </row>
    <row r="242" spans="1:7" x14ac:dyDescent="0.3">
      <c r="A242" t="s">
        <v>1039</v>
      </c>
      <c r="B242" t="s">
        <v>229</v>
      </c>
      <c r="C242">
        <v>15</v>
      </c>
      <c r="D242" s="1">
        <v>45870</v>
      </c>
      <c r="E242">
        <v>7700</v>
      </c>
      <c r="F242" t="s">
        <v>1309</v>
      </c>
      <c r="G242">
        <v>1316</v>
      </c>
    </row>
    <row r="243" spans="1:7" x14ac:dyDescent="0.3">
      <c r="A243" t="s">
        <v>1039</v>
      </c>
      <c r="B243" t="s">
        <v>235</v>
      </c>
      <c r="C243">
        <v>15</v>
      </c>
      <c r="D243" s="1">
        <v>45868</v>
      </c>
      <c r="E243">
        <v>7700</v>
      </c>
      <c r="F243" t="s">
        <v>1356</v>
      </c>
      <c r="G243">
        <v>1252</v>
      </c>
    </row>
    <row r="244" spans="1:7" x14ac:dyDescent="0.3">
      <c r="A244" t="s">
        <v>1039</v>
      </c>
      <c r="B244" t="s">
        <v>233</v>
      </c>
      <c r="C244">
        <v>15</v>
      </c>
      <c r="D244" s="1">
        <v>45869</v>
      </c>
      <c r="E244">
        <v>7700</v>
      </c>
      <c r="F244" t="s">
        <v>1363</v>
      </c>
      <c r="G244">
        <v>1209</v>
      </c>
    </row>
    <row r="245" spans="1:7" x14ac:dyDescent="0.3">
      <c r="A245" t="s">
        <v>1039</v>
      </c>
      <c r="B245" t="s">
        <v>235</v>
      </c>
      <c r="C245">
        <v>15</v>
      </c>
      <c r="D245" s="1">
        <v>45864</v>
      </c>
      <c r="E245">
        <v>7700</v>
      </c>
      <c r="F245" t="s">
        <v>443</v>
      </c>
      <c r="G245">
        <v>892</v>
      </c>
    </row>
    <row r="246" spans="1:7" x14ac:dyDescent="0.3">
      <c r="A246" t="s">
        <v>1039</v>
      </c>
      <c r="B246" t="s">
        <v>235</v>
      </c>
      <c r="C246">
        <v>15</v>
      </c>
      <c r="D246" s="1">
        <v>45864</v>
      </c>
      <c r="E246">
        <v>7700</v>
      </c>
      <c r="F246" t="s">
        <v>579</v>
      </c>
      <c r="G246">
        <v>742</v>
      </c>
    </row>
    <row r="247" spans="1:7" x14ac:dyDescent="0.3">
      <c r="A247" t="s">
        <v>1039</v>
      </c>
      <c r="B247" t="s">
        <v>226</v>
      </c>
      <c r="C247">
        <v>15</v>
      </c>
      <c r="D247" s="1">
        <v>45863</v>
      </c>
      <c r="E247">
        <v>7700</v>
      </c>
      <c r="F247" t="s">
        <v>647</v>
      </c>
      <c r="G247">
        <v>767</v>
      </c>
    </row>
    <row r="248" spans="1:7" x14ac:dyDescent="0.3">
      <c r="A248" t="s">
        <v>1039</v>
      </c>
      <c r="B248" t="s">
        <v>234</v>
      </c>
      <c r="C248">
        <v>15</v>
      </c>
      <c r="D248" s="1">
        <v>45863</v>
      </c>
      <c r="E248">
        <v>7700</v>
      </c>
      <c r="F248" t="s">
        <v>637</v>
      </c>
      <c r="G248">
        <v>688</v>
      </c>
    </row>
    <row r="249" spans="1:7" x14ac:dyDescent="0.3">
      <c r="A249" t="s">
        <v>1039</v>
      </c>
      <c r="B249" t="s">
        <v>309</v>
      </c>
      <c r="C249">
        <v>15</v>
      </c>
      <c r="D249" s="1">
        <v>45859</v>
      </c>
      <c r="E249">
        <v>7700</v>
      </c>
      <c r="F249" t="s">
        <v>842</v>
      </c>
      <c r="G249">
        <v>385</v>
      </c>
    </row>
    <row r="250" spans="1:7" x14ac:dyDescent="0.3">
      <c r="A250" t="s">
        <v>1039</v>
      </c>
      <c r="B250" t="s">
        <v>309</v>
      </c>
      <c r="C250">
        <v>15</v>
      </c>
      <c r="D250" s="1">
        <v>45857</v>
      </c>
      <c r="E250">
        <v>7700</v>
      </c>
      <c r="F250" t="s">
        <v>812</v>
      </c>
      <c r="G250">
        <v>344</v>
      </c>
    </row>
    <row r="251" spans="1:7" x14ac:dyDescent="0.3">
      <c r="A251" t="s">
        <v>1039</v>
      </c>
      <c r="B251" t="s">
        <v>310</v>
      </c>
      <c r="C251">
        <v>15</v>
      </c>
      <c r="D251" s="1">
        <v>45856</v>
      </c>
      <c r="E251">
        <v>7700</v>
      </c>
      <c r="F251" t="s">
        <v>964</v>
      </c>
      <c r="G251">
        <v>300</v>
      </c>
    </row>
    <row r="252" spans="1:7" x14ac:dyDescent="0.3">
      <c r="A252" t="s">
        <v>1039</v>
      </c>
      <c r="B252" t="s">
        <v>309</v>
      </c>
      <c r="C252">
        <v>15</v>
      </c>
      <c r="D252" s="1">
        <v>45856</v>
      </c>
      <c r="E252">
        <v>7700</v>
      </c>
      <c r="F252" t="s">
        <v>965</v>
      </c>
      <c r="G252">
        <v>307</v>
      </c>
    </row>
    <row r="253" spans="1:7" x14ac:dyDescent="0.3">
      <c r="A253" t="s">
        <v>1039</v>
      </c>
      <c r="B253" t="s">
        <v>310</v>
      </c>
      <c r="C253">
        <v>15</v>
      </c>
      <c r="D253" s="1">
        <v>45856</v>
      </c>
      <c r="E253">
        <v>7700</v>
      </c>
      <c r="F253" t="s">
        <v>973</v>
      </c>
      <c r="G253">
        <v>271</v>
      </c>
    </row>
    <row r="254" spans="1:7" x14ac:dyDescent="0.3">
      <c r="A254" t="s">
        <v>1039</v>
      </c>
      <c r="B254" t="s">
        <v>235</v>
      </c>
      <c r="C254">
        <v>15</v>
      </c>
      <c r="D254" s="1">
        <v>45856</v>
      </c>
      <c r="E254">
        <v>7700</v>
      </c>
      <c r="F254" t="s">
        <v>805</v>
      </c>
      <c r="G254">
        <v>241</v>
      </c>
    </row>
    <row r="255" spans="1:7" x14ac:dyDescent="0.3">
      <c r="A255" t="s">
        <v>1039</v>
      </c>
      <c r="B255" t="s">
        <v>226</v>
      </c>
      <c r="C255">
        <v>15</v>
      </c>
      <c r="D255" s="1">
        <v>45857</v>
      </c>
      <c r="E255">
        <v>0</v>
      </c>
      <c r="F255" t="s">
        <v>930</v>
      </c>
      <c r="G255">
        <v>307</v>
      </c>
    </row>
    <row r="256" spans="1:7" x14ac:dyDescent="0.3">
      <c r="A256" t="s">
        <v>1039</v>
      </c>
      <c r="B256" t="s">
        <v>224</v>
      </c>
      <c r="C256">
        <v>16</v>
      </c>
      <c r="D256" s="1">
        <v>45864</v>
      </c>
      <c r="E256">
        <v>352000</v>
      </c>
      <c r="F256" t="s">
        <v>1553</v>
      </c>
      <c r="G256">
        <v>1008</v>
      </c>
    </row>
    <row r="257" spans="1:7" x14ac:dyDescent="0.3">
      <c r="A257" t="s">
        <v>1039</v>
      </c>
      <c r="B257" t="s">
        <v>226</v>
      </c>
      <c r="C257">
        <v>16</v>
      </c>
      <c r="D257" s="1">
        <v>45870</v>
      </c>
      <c r="E257">
        <v>282700</v>
      </c>
      <c r="F257" t="s">
        <v>1218</v>
      </c>
      <c r="G257">
        <v>1391</v>
      </c>
    </row>
    <row r="258" spans="1:7" x14ac:dyDescent="0.3">
      <c r="A258" t="s">
        <v>1039</v>
      </c>
      <c r="B258" t="s">
        <v>310</v>
      </c>
      <c r="C258">
        <v>16</v>
      </c>
      <c r="D258" s="1">
        <v>45859</v>
      </c>
      <c r="E258">
        <v>256300</v>
      </c>
      <c r="F258" t="s">
        <v>624</v>
      </c>
      <c r="G258">
        <v>434</v>
      </c>
    </row>
    <row r="259" spans="1:7" x14ac:dyDescent="0.3">
      <c r="A259" t="s">
        <v>1039</v>
      </c>
      <c r="B259" t="s">
        <v>309</v>
      </c>
      <c r="C259">
        <v>16</v>
      </c>
      <c r="D259" s="1">
        <v>45855</v>
      </c>
      <c r="E259">
        <v>245300</v>
      </c>
      <c r="F259" t="s">
        <v>856</v>
      </c>
      <c r="G259">
        <v>583</v>
      </c>
    </row>
    <row r="260" spans="1:7" x14ac:dyDescent="0.3">
      <c r="A260" t="s">
        <v>1039</v>
      </c>
      <c r="B260" t="s">
        <v>309</v>
      </c>
      <c r="C260">
        <v>16</v>
      </c>
      <c r="D260" s="1">
        <v>45856</v>
      </c>
      <c r="E260">
        <v>162800</v>
      </c>
      <c r="F260" t="s">
        <v>1390</v>
      </c>
      <c r="G260">
        <v>1719</v>
      </c>
    </row>
    <row r="261" spans="1:7" x14ac:dyDescent="0.3">
      <c r="A261" t="s">
        <v>1039</v>
      </c>
      <c r="B261" t="s">
        <v>310</v>
      </c>
      <c r="C261">
        <v>16</v>
      </c>
      <c r="D261" s="1">
        <v>45856</v>
      </c>
      <c r="E261">
        <v>162800</v>
      </c>
      <c r="F261" t="s">
        <v>357</v>
      </c>
      <c r="G261">
        <v>261</v>
      </c>
    </row>
    <row r="262" spans="1:7" x14ac:dyDescent="0.3">
      <c r="A262" t="s">
        <v>1039</v>
      </c>
      <c r="B262" t="s">
        <v>231</v>
      </c>
      <c r="C262">
        <v>16</v>
      </c>
      <c r="D262" s="1">
        <v>45854</v>
      </c>
      <c r="E262">
        <v>150700</v>
      </c>
      <c r="F262" t="s">
        <v>349</v>
      </c>
      <c r="G262">
        <v>228</v>
      </c>
    </row>
    <row r="263" spans="1:7" x14ac:dyDescent="0.3">
      <c r="A263" t="s">
        <v>1039</v>
      </c>
      <c r="B263" t="s">
        <v>311</v>
      </c>
      <c r="C263">
        <v>16</v>
      </c>
      <c r="D263" s="1">
        <v>45865</v>
      </c>
      <c r="E263">
        <v>139700</v>
      </c>
      <c r="F263" t="s">
        <v>485</v>
      </c>
      <c r="G263">
        <v>1047</v>
      </c>
    </row>
    <row r="264" spans="1:7" x14ac:dyDescent="0.3">
      <c r="A264" t="s">
        <v>1039</v>
      </c>
      <c r="B264" t="s">
        <v>232</v>
      </c>
      <c r="C264">
        <v>16</v>
      </c>
      <c r="D264" s="1">
        <v>45859</v>
      </c>
      <c r="E264">
        <v>139700</v>
      </c>
      <c r="F264" t="s">
        <v>900</v>
      </c>
      <c r="G264">
        <v>455</v>
      </c>
    </row>
    <row r="265" spans="1:7" x14ac:dyDescent="0.3">
      <c r="A265" t="s">
        <v>1039</v>
      </c>
      <c r="B265" t="s">
        <v>233</v>
      </c>
      <c r="C265">
        <v>16</v>
      </c>
      <c r="D265" s="1">
        <v>45855</v>
      </c>
      <c r="E265">
        <v>134200</v>
      </c>
      <c r="F265" t="s">
        <v>1027</v>
      </c>
      <c r="G265">
        <v>235</v>
      </c>
    </row>
    <row r="266" spans="1:7" x14ac:dyDescent="0.3">
      <c r="A266" t="s">
        <v>1039</v>
      </c>
      <c r="B266" t="s">
        <v>234</v>
      </c>
      <c r="C266">
        <v>16</v>
      </c>
      <c r="D266" s="1">
        <v>45857</v>
      </c>
      <c r="E266">
        <v>129800</v>
      </c>
      <c r="F266" t="s">
        <v>926</v>
      </c>
      <c r="G266">
        <v>431</v>
      </c>
    </row>
    <row r="267" spans="1:7" x14ac:dyDescent="0.3">
      <c r="A267" t="s">
        <v>1039</v>
      </c>
      <c r="B267" t="s">
        <v>231</v>
      </c>
      <c r="C267">
        <v>16</v>
      </c>
      <c r="D267" s="1">
        <v>45862</v>
      </c>
      <c r="E267">
        <v>128700</v>
      </c>
      <c r="F267" t="s">
        <v>577</v>
      </c>
      <c r="G267">
        <v>721</v>
      </c>
    </row>
    <row r="268" spans="1:7" x14ac:dyDescent="0.3">
      <c r="A268" t="s">
        <v>1039</v>
      </c>
      <c r="B268" t="s">
        <v>231</v>
      </c>
      <c r="C268">
        <v>16</v>
      </c>
      <c r="D268" s="1">
        <v>45855</v>
      </c>
      <c r="E268">
        <v>119900</v>
      </c>
      <c r="F268" t="s">
        <v>1026</v>
      </c>
      <c r="G268">
        <v>254</v>
      </c>
    </row>
    <row r="269" spans="1:7" x14ac:dyDescent="0.3">
      <c r="A269" t="s">
        <v>1039</v>
      </c>
      <c r="B269" t="s">
        <v>309</v>
      </c>
      <c r="C269">
        <v>16</v>
      </c>
      <c r="D269" s="1">
        <v>45862</v>
      </c>
      <c r="E269">
        <v>113300</v>
      </c>
      <c r="F269" t="s">
        <v>1695</v>
      </c>
      <c r="G269">
        <v>671</v>
      </c>
    </row>
    <row r="270" spans="1:7" x14ac:dyDescent="0.3">
      <c r="A270" t="s">
        <v>1039</v>
      </c>
      <c r="B270" t="s">
        <v>231</v>
      </c>
      <c r="C270">
        <v>16</v>
      </c>
      <c r="D270" s="1">
        <v>45871</v>
      </c>
      <c r="E270">
        <v>102300</v>
      </c>
      <c r="F270" t="s">
        <v>1140</v>
      </c>
      <c r="G270">
        <v>1442</v>
      </c>
    </row>
    <row r="271" spans="1:7" x14ac:dyDescent="0.3">
      <c r="A271" t="s">
        <v>1039</v>
      </c>
      <c r="B271" t="s">
        <v>309</v>
      </c>
      <c r="C271">
        <v>16</v>
      </c>
      <c r="D271" s="1">
        <v>45860</v>
      </c>
      <c r="E271">
        <v>99000</v>
      </c>
      <c r="F271" t="s">
        <v>1726</v>
      </c>
      <c r="G271">
        <v>725</v>
      </c>
    </row>
    <row r="272" spans="1:7" x14ac:dyDescent="0.3">
      <c r="A272" t="s">
        <v>1039</v>
      </c>
      <c r="B272" t="s">
        <v>310</v>
      </c>
      <c r="C272">
        <v>16</v>
      </c>
      <c r="D272" s="1">
        <v>45857</v>
      </c>
      <c r="E272">
        <v>96800</v>
      </c>
      <c r="F272" t="s">
        <v>1752</v>
      </c>
      <c r="G272">
        <v>391</v>
      </c>
    </row>
    <row r="273" spans="1:7" x14ac:dyDescent="0.3">
      <c r="A273" t="s">
        <v>1039</v>
      </c>
      <c r="B273" t="s">
        <v>310</v>
      </c>
      <c r="C273">
        <v>16</v>
      </c>
      <c r="D273" s="1">
        <v>45872</v>
      </c>
      <c r="E273">
        <v>95700</v>
      </c>
      <c r="F273" t="s">
        <v>1048</v>
      </c>
      <c r="G273">
        <v>1540</v>
      </c>
    </row>
    <row r="274" spans="1:7" x14ac:dyDescent="0.3">
      <c r="A274" t="s">
        <v>1039</v>
      </c>
      <c r="B274" t="s">
        <v>310</v>
      </c>
      <c r="C274">
        <v>16</v>
      </c>
      <c r="D274" s="1">
        <v>45856</v>
      </c>
      <c r="E274">
        <v>95700</v>
      </c>
      <c r="F274" t="s">
        <v>942</v>
      </c>
      <c r="G274">
        <v>280</v>
      </c>
    </row>
    <row r="275" spans="1:7" x14ac:dyDescent="0.3">
      <c r="A275" t="s">
        <v>1039</v>
      </c>
      <c r="B275" t="s">
        <v>314</v>
      </c>
      <c r="C275">
        <v>16</v>
      </c>
      <c r="D275" s="1">
        <v>45863</v>
      </c>
      <c r="E275">
        <v>82500</v>
      </c>
      <c r="F275" t="s">
        <v>1661</v>
      </c>
      <c r="G275">
        <v>890</v>
      </c>
    </row>
    <row r="276" spans="1:7" x14ac:dyDescent="0.3">
      <c r="A276" t="s">
        <v>1039</v>
      </c>
      <c r="B276" t="s">
        <v>309</v>
      </c>
      <c r="C276">
        <v>16</v>
      </c>
      <c r="D276" s="1">
        <v>45864</v>
      </c>
      <c r="E276">
        <v>80300</v>
      </c>
      <c r="F276" t="s">
        <v>695</v>
      </c>
      <c r="G276">
        <v>831</v>
      </c>
    </row>
    <row r="277" spans="1:7" x14ac:dyDescent="0.3">
      <c r="A277" t="s">
        <v>1039</v>
      </c>
      <c r="B277" t="s">
        <v>310</v>
      </c>
      <c r="C277">
        <v>16</v>
      </c>
      <c r="D277" s="1">
        <v>45855</v>
      </c>
      <c r="E277">
        <v>77000</v>
      </c>
      <c r="F277" t="s">
        <v>1768</v>
      </c>
      <c r="G277">
        <v>268</v>
      </c>
    </row>
    <row r="278" spans="1:7" x14ac:dyDescent="0.3">
      <c r="A278" t="s">
        <v>1039</v>
      </c>
      <c r="B278" t="s">
        <v>233</v>
      </c>
      <c r="C278">
        <v>16</v>
      </c>
      <c r="D278" s="1">
        <v>45856</v>
      </c>
      <c r="E278">
        <v>75900</v>
      </c>
      <c r="F278" t="s">
        <v>815</v>
      </c>
      <c r="G278">
        <v>386</v>
      </c>
    </row>
    <row r="279" spans="1:7" x14ac:dyDescent="0.3">
      <c r="A279" t="s">
        <v>1039</v>
      </c>
      <c r="B279" t="s">
        <v>226</v>
      </c>
      <c r="C279">
        <v>16</v>
      </c>
      <c r="D279" s="1">
        <v>45855</v>
      </c>
      <c r="E279">
        <v>69300</v>
      </c>
      <c r="F279" t="s">
        <v>864</v>
      </c>
      <c r="G279">
        <v>247</v>
      </c>
    </row>
    <row r="280" spans="1:7" x14ac:dyDescent="0.3">
      <c r="A280" t="s">
        <v>1039</v>
      </c>
      <c r="B280" t="s">
        <v>226</v>
      </c>
      <c r="C280">
        <v>16</v>
      </c>
      <c r="D280" s="1">
        <v>45857</v>
      </c>
      <c r="E280">
        <v>64900</v>
      </c>
      <c r="F280" t="s">
        <v>831</v>
      </c>
      <c r="G280">
        <v>375</v>
      </c>
    </row>
    <row r="281" spans="1:7" x14ac:dyDescent="0.3">
      <c r="A281" t="s">
        <v>1039</v>
      </c>
      <c r="B281" t="s">
        <v>310</v>
      </c>
      <c r="C281">
        <v>16</v>
      </c>
      <c r="D281" s="1">
        <v>45867</v>
      </c>
      <c r="E281">
        <v>62700</v>
      </c>
      <c r="F281" t="s">
        <v>466</v>
      </c>
      <c r="G281">
        <v>1208</v>
      </c>
    </row>
    <row r="282" spans="1:7" x14ac:dyDescent="0.3">
      <c r="A282" t="s">
        <v>1039</v>
      </c>
      <c r="B282" t="s">
        <v>310</v>
      </c>
      <c r="C282">
        <v>16</v>
      </c>
      <c r="D282" s="1">
        <v>45858</v>
      </c>
      <c r="E282">
        <v>62700</v>
      </c>
      <c r="F282" t="s">
        <v>949</v>
      </c>
      <c r="G282">
        <v>432</v>
      </c>
    </row>
    <row r="283" spans="1:7" x14ac:dyDescent="0.3">
      <c r="A283" t="s">
        <v>1039</v>
      </c>
      <c r="B283" t="s">
        <v>309</v>
      </c>
      <c r="C283">
        <v>16</v>
      </c>
      <c r="D283" s="1">
        <v>45859</v>
      </c>
      <c r="E283">
        <v>61600</v>
      </c>
      <c r="F283" t="s">
        <v>699</v>
      </c>
      <c r="G283">
        <v>512</v>
      </c>
    </row>
    <row r="284" spans="1:7" x14ac:dyDescent="0.3">
      <c r="A284" t="s">
        <v>1039</v>
      </c>
      <c r="B284" t="s">
        <v>310</v>
      </c>
      <c r="C284">
        <v>16</v>
      </c>
      <c r="D284" s="1">
        <v>45857</v>
      </c>
      <c r="E284">
        <v>61600</v>
      </c>
      <c r="F284" t="s">
        <v>963</v>
      </c>
      <c r="G284">
        <v>312</v>
      </c>
    </row>
    <row r="285" spans="1:7" x14ac:dyDescent="0.3">
      <c r="A285" t="s">
        <v>1039</v>
      </c>
      <c r="B285" t="s">
        <v>311</v>
      </c>
      <c r="C285">
        <v>16</v>
      </c>
      <c r="D285" s="1">
        <v>45870</v>
      </c>
      <c r="E285">
        <v>60500</v>
      </c>
      <c r="F285" t="s">
        <v>1111</v>
      </c>
      <c r="G285">
        <v>1473</v>
      </c>
    </row>
    <row r="286" spans="1:7" x14ac:dyDescent="0.3">
      <c r="A286" t="s">
        <v>1039</v>
      </c>
      <c r="B286" t="s">
        <v>310</v>
      </c>
      <c r="C286">
        <v>16</v>
      </c>
      <c r="D286" s="1">
        <v>45858</v>
      </c>
      <c r="E286">
        <v>58300</v>
      </c>
      <c r="F286" t="s">
        <v>828</v>
      </c>
      <c r="G286">
        <v>378</v>
      </c>
    </row>
    <row r="287" spans="1:7" x14ac:dyDescent="0.3">
      <c r="A287" t="s">
        <v>1039</v>
      </c>
      <c r="B287" t="s">
        <v>310</v>
      </c>
      <c r="C287">
        <v>16</v>
      </c>
      <c r="D287" s="1">
        <v>45855</v>
      </c>
      <c r="E287">
        <v>57200</v>
      </c>
      <c r="F287" t="s">
        <v>967</v>
      </c>
      <c r="G287">
        <v>258</v>
      </c>
    </row>
    <row r="288" spans="1:7" x14ac:dyDescent="0.3">
      <c r="A288" t="s">
        <v>1039</v>
      </c>
      <c r="B288" t="s">
        <v>310</v>
      </c>
      <c r="C288">
        <v>16</v>
      </c>
      <c r="D288" s="1">
        <v>45854</v>
      </c>
      <c r="E288">
        <v>56100</v>
      </c>
      <c r="F288" t="s">
        <v>320</v>
      </c>
      <c r="G288">
        <v>260</v>
      </c>
    </row>
    <row r="289" spans="1:7" x14ac:dyDescent="0.3">
      <c r="A289" t="s">
        <v>1039</v>
      </c>
      <c r="B289" t="s">
        <v>434</v>
      </c>
      <c r="C289">
        <v>16</v>
      </c>
      <c r="D289" s="1">
        <v>45869</v>
      </c>
      <c r="E289">
        <v>55000</v>
      </c>
      <c r="F289" t="s">
        <v>1241</v>
      </c>
      <c r="G289">
        <v>1370</v>
      </c>
    </row>
    <row r="290" spans="1:7" x14ac:dyDescent="0.3">
      <c r="A290" t="s">
        <v>1039</v>
      </c>
      <c r="B290" t="s">
        <v>235</v>
      </c>
      <c r="C290">
        <v>16</v>
      </c>
      <c r="D290" s="1">
        <v>45857</v>
      </c>
      <c r="E290">
        <v>51700</v>
      </c>
      <c r="F290" t="s">
        <v>886</v>
      </c>
      <c r="G290">
        <v>347</v>
      </c>
    </row>
    <row r="291" spans="1:7" x14ac:dyDescent="0.3">
      <c r="A291" t="s">
        <v>1039</v>
      </c>
      <c r="B291" t="s">
        <v>309</v>
      </c>
      <c r="C291">
        <v>16</v>
      </c>
      <c r="D291" s="1">
        <v>45857</v>
      </c>
      <c r="E291">
        <v>47300</v>
      </c>
      <c r="F291" t="s">
        <v>955</v>
      </c>
      <c r="G291">
        <v>326</v>
      </c>
    </row>
    <row r="292" spans="1:7" x14ac:dyDescent="0.3">
      <c r="A292" t="s">
        <v>1039</v>
      </c>
      <c r="B292" t="s">
        <v>310</v>
      </c>
      <c r="C292">
        <v>16</v>
      </c>
      <c r="D292" s="1">
        <v>45858</v>
      </c>
      <c r="E292">
        <v>41800</v>
      </c>
      <c r="F292" t="s">
        <v>1728</v>
      </c>
      <c r="G292">
        <v>489</v>
      </c>
    </row>
    <row r="293" spans="1:7" x14ac:dyDescent="0.3">
      <c r="A293" t="s">
        <v>1039</v>
      </c>
      <c r="B293" t="s">
        <v>310</v>
      </c>
      <c r="C293">
        <v>16</v>
      </c>
      <c r="D293" s="1">
        <v>45871</v>
      </c>
      <c r="E293">
        <v>40700</v>
      </c>
      <c r="F293" t="s">
        <v>1119</v>
      </c>
      <c r="G293">
        <v>1433</v>
      </c>
    </row>
    <row r="294" spans="1:7" x14ac:dyDescent="0.3">
      <c r="A294" t="s">
        <v>1039</v>
      </c>
      <c r="B294" t="s">
        <v>231</v>
      </c>
      <c r="C294">
        <v>16</v>
      </c>
      <c r="D294" s="1">
        <v>45868</v>
      </c>
      <c r="E294">
        <v>40700</v>
      </c>
      <c r="F294" t="s">
        <v>1262</v>
      </c>
      <c r="G294">
        <v>1308</v>
      </c>
    </row>
    <row r="295" spans="1:7" x14ac:dyDescent="0.3">
      <c r="A295" t="s">
        <v>1039</v>
      </c>
      <c r="B295" t="s">
        <v>233</v>
      </c>
      <c r="C295">
        <v>16</v>
      </c>
      <c r="D295" s="1">
        <v>45868</v>
      </c>
      <c r="E295">
        <v>40700</v>
      </c>
      <c r="F295" t="s">
        <v>1365</v>
      </c>
      <c r="G295">
        <v>1215</v>
      </c>
    </row>
    <row r="296" spans="1:7" x14ac:dyDescent="0.3">
      <c r="A296" t="s">
        <v>1039</v>
      </c>
      <c r="B296" t="s">
        <v>233</v>
      </c>
      <c r="C296">
        <v>16</v>
      </c>
      <c r="D296" s="1">
        <v>45867</v>
      </c>
      <c r="E296">
        <v>40700</v>
      </c>
      <c r="F296" t="s">
        <v>448</v>
      </c>
      <c r="G296">
        <v>1142</v>
      </c>
    </row>
    <row r="297" spans="1:7" x14ac:dyDescent="0.3">
      <c r="A297" t="s">
        <v>1039</v>
      </c>
      <c r="B297" t="s">
        <v>228</v>
      </c>
      <c r="C297">
        <v>16</v>
      </c>
      <c r="D297" s="1">
        <v>45862</v>
      </c>
      <c r="E297">
        <v>40700</v>
      </c>
      <c r="F297" t="s">
        <v>655</v>
      </c>
      <c r="G297">
        <v>685</v>
      </c>
    </row>
    <row r="298" spans="1:7" x14ac:dyDescent="0.3">
      <c r="A298" t="s">
        <v>1039</v>
      </c>
      <c r="B298" t="s">
        <v>310</v>
      </c>
      <c r="C298">
        <v>16</v>
      </c>
      <c r="D298" s="1">
        <v>45857</v>
      </c>
      <c r="E298">
        <v>40700</v>
      </c>
      <c r="F298" t="s">
        <v>885</v>
      </c>
      <c r="G298">
        <v>420</v>
      </c>
    </row>
    <row r="299" spans="1:7" x14ac:dyDescent="0.3">
      <c r="A299" t="s">
        <v>1039</v>
      </c>
      <c r="B299" t="s">
        <v>310</v>
      </c>
      <c r="C299">
        <v>16</v>
      </c>
      <c r="D299" s="1">
        <v>45864</v>
      </c>
      <c r="E299">
        <v>35200</v>
      </c>
      <c r="F299" t="s">
        <v>462</v>
      </c>
      <c r="G299">
        <v>854</v>
      </c>
    </row>
    <row r="300" spans="1:7" x14ac:dyDescent="0.3">
      <c r="A300" t="s">
        <v>1039</v>
      </c>
      <c r="B300" t="s">
        <v>310</v>
      </c>
      <c r="C300">
        <v>16</v>
      </c>
      <c r="D300" s="1">
        <v>45871</v>
      </c>
      <c r="E300">
        <v>33000</v>
      </c>
      <c r="F300" t="s">
        <v>1074</v>
      </c>
      <c r="G300">
        <v>1519</v>
      </c>
    </row>
    <row r="301" spans="1:7" x14ac:dyDescent="0.3">
      <c r="A301" t="s">
        <v>1039</v>
      </c>
      <c r="B301" t="s">
        <v>236</v>
      </c>
      <c r="C301">
        <v>16</v>
      </c>
      <c r="D301" s="1">
        <v>45863</v>
      </c>
      <c r="E301">
        <v>33000</v>
      </c>
      <c r="F301" t="s">
        <v>676</v>
      </c>
      <c r="G301">
        <v>773</v>
      </c>
    </row>
    <row r="302" spans="1:7" x14ac:dyDescent="0.3">
      <c r="A302" t="s">
        <v>1039</v>
      </c>
      <c r="B302" t="s">
        <v>233</v>
      </c>
      <c r="C302">
        <v>16</v>
      </c>
      <c r="D302" s="1">
        <v>45855</v>
      </c>
      <c r="E302">
        <v>33000</v>
      </c>
      <c r="F302" t="s">
        <v>1680</v>
      </c>
      <c r="G302">
        <v>741</v>
      </c>
    </row>
    <row r="303" spans="1:7" x14ac:dyDescent="0.3">
      <c r="A303" t="s">
        <v>1039</v>
      </c>
      <c r="B303" t="s">
        <v>310</v>
      </c>
      <c r="C303">
        <v>16</v>
      </c>
      <c r="D303" s="1">
        <v>45871</v>
      </c>
      <c r="E303">
        <v>29700</v>
      </c>
      <c r="F303" t="s">
        <v>1114</v>
      </c>
      <c r="G303">
        <v>1470</v>
      </c>
    </row>
    <row r="304" spans="1:7" x14ac:dyDescent="0.3">
      <c r="A304" t="s">
        <v>1039</v>
      </c>
      <c r="B304" t="s">
        <v>226</v>
      </c>
      <c r="C304">
        <v>16</v>
      </c>
      <c r="D304" s="1">
        <v>45859</v>
      </c>
      <c r="E304">
        <v>29700</v>
      </c>
      <c r="F304" t="s">
        <v>683</v>
      </c>
      <c r="G304">
        <v>505</v>
      </c>
    </row>
    <row r="305" spans="1:7" x14ac:dyDescent="0.3">
      <c r="A305" t="s">
        <v>1039</v>
      </c>
      <c r="B305" t="s">
        <v>309</v>
      </c>
      <c r="C305">
        <v>16</v>
      </c>
      <c r="D305" s="1">
        <v>45859</v>
      </c>
      <c r="E305">
        <v>29700</v>
      </c>
      <c r="F305" t="s">
        <v>722</v>
      </c>
      <c r="G305">
        <v>472</v>
      </c>
    </row>
    <row r="306" spans="1:7" x14ac:dyDescent="0.3">
      <c r="A306" t="s">
        <v>1039</v>
      </c>
      <c r="B306" t="s">
        <v>233</v>
      </c>
      <c r="C306">
        <v>16</v>
      </c>
      <c r="D306" s="1">
        <v>45856</v>
      </c>
      <c r="E306">
        <v>28600</v>
      </c>
      <c r="F306" t="s">
        <v>820</v>
      </c>
      <c r="G306">
        <v>348</v>
      </c>
    </row>
    <row r="307" spans="1:7" x14ac:dyDescent="0.3">
      <c r="A307" t="s">
        <v>1039</v>
      </c>
      <c r="B307" t="s">
        <v>310</v>
      </c>
      <c r="C307">
        <v>16</v>
      </c>
      <c r="D307" s="1">
        <v>45871</v>
      </c>
      <c r="E307">
        <v>27500</v>
      </c>
      <c r="F307" t="s">
        <v>1137</v>
      </c>
      <c r="G307">
        <v>1445</v>
      </c>
    </row>
    <row r="308" spans="1:7" x14ac:dyDescent="0.3">
      <c r="A308" t="s">
        <v>1039</v>
      </c>
      <c r="B308" t="s">
        <v>310</v>
      </c>
      <c r="C308">
        <v>16</v>
      </c>
      <c r="D308" s="1">
        <v>45867</v>
      </c>
      <c r="E308">
        <v>27500</v>
      </c>
      <c r="F308" t="s">
        <v>1401</v>
      </c>
      <c r="G308">
        <v>1175</v>
      </c>
    </row>
    <row r="309" spans="1:7" x14ac:dyDescent="0.3">
      <c r="A309" t="s">
        <v>1039</v>
      </c>
      <c r="B309" t="s">
        <v>310</v>
      </c>
      <c r="C309">
        <v>16</v>
      </c>
      <c r="D309" s="1">
        <v>45864</v>
      </c>
      <c r="E309">
        <v>27500</v>
      </c>
      <c r="F309" t="s">
        <v>1647</v>
      </c>
      <c r="G309">
        <v>818</v>
      </c>
    </row>
    <row r="310" spans="1:7" x14ac:dyDescent="0.3">
      <c r="A310" t="s">
        <v>1039</v>
      </c>
      <c r="B310" t="s">
        <v>235</v>
      </c>
      <c r="C310">
        <v>16</v>
      </c>
      <c r="D310" s="1">
        <v>45856</v>
      </c>
      <c r="E310">
        <v>27500</v>
      </c>
      <c r="F310" t="s">
        <v>835</v>
      </c>
      <c r="G310">
        <v>588</v>
      </c>
    </row>
    <row r="311" spans="1:7" x14ac:dyDescent="0.3">
      <c r="A311" t="s">
        <v>1039</v>
      </c>
      <c r="B311" t="s">
        <v>310</v>
      </c>
      <c r="C311">
        <v>16</v>
      </c>
      <c r="D311" s="1">
        <v>45862</v>
      </c>
      <c r="E311">
        <v>25300</v>
      </c>
      <c r="F311" t="s">
        <v>538</v>
      </c>
      <c r="G311">
        <v>662</v>
      </c>
    </row>
    <row r="312" spans="1:7" x14ac:dyDescent="0.3">
      <c r="A312" t="s">
        <v>1039</v>
      </c>
      <c r="B312" t="s">
        <v>310</v>
      </c>
      <c r="C312">
        <v>16</v>
      </c>
      <c r="D312" s="1">
        <v>45867</v>
      </c>
      <c r="E312">
        <v>22000</v>
      </c>
      <c r="F312" t="s">
        <v>1415</v>
      </c>
      <c r="G312">
        <v>1161</v>
      </c>
    </row>
    <row r="313" spans="1:7" x14ac:dyDescent="0.3">
      <c r="A313" t="s">
        <v>1039</v>
      </c>
      <c r="B313" t="s">
        <v>224</v>
      </c>
      <c r="C313">
        <v>16</v>
      </c>
      <c r="D313" s="1">
        <v>45857</v>
      </c>
      <c r="E313">
        <v>22000</v>
      </c>
      <c r="F313" t="s">
        <v>810</v>
      </c>
      <c r="G313">
        <v>519</v>
      </c>
    </row>
    <row r="314" spans="1:7" x14ac:dyDescent="0.3">
      <c r="A314" t="s">
        <v>1039</v>
      </c>
      <c r="B314" t="s">
        <v>310</v>
      </c>
      <c r="C314">
        <v>16</v>
      </c>
      <c r="D314" s="1">
        <v>45855</v>
      </c>
      <c r="E314">
        <v>18700</v>
      </c>
      <c r="F314" t="s">
        <v>891</v>
      </c>
      <c r="G314">
        <v>316</v>
      </c>
    </row>
    <row r="315" spans="1:7" x14ac:dyDescent="0.3">
      <c r="A315" t="s">
        <v>1039</v>
      </c>
      <c r="B315" t="s">
        <v>310</v>
      </c>
      <c r="C315">
        <v>16</v>
      </c>
      <c r="D315" s="1">
        <v>45864</v>
      </c>
      <c r="E315">
        <v>11000</v>
      </c>
      <c r="F315" t="s">
        <v>539</v>
      </c>
      <c r="G315">
        <v>996</v>
      </c>
    </row>
    <row r="316" spans="1:7" x14ac:dyDescent="0.3">
      <c r="A316" t="s">
        <v>1039</v>
      </c>
      <c r="B316" t="s">
        <v>231</v>
      </c>
      <c r="C316">
        <v>16</v>
      </c>
      <c r="D316" s="1">
        <v>45857</v>
      </c>
      <c r="E316">
        <v>8800</v>
      </c>
      <c r="F316" t="s">
        <v>726</v>
      </c>
      <c r="G316">
        <v>423</v>
      </c>
    </row>
    <row r="317" spans="1:7" x14ac:dyDescent="0.3">
      <c r="A317" t="s">
        <v>1039</v>
      </c>
      <c r="B317" t="s">
        <v>310</v>
      </c>
      <c r="C317">
        <v>16</v>
      </c>
      <c r="D317" s="1">
        <v>45871</v>
      </c>
      <c r="E317">
        <v>7700</v>
      </c>
      <c r="F317" t="s">
        <v>1123</v>
      </c>
      <c r="G317">
        <v>1456</v>
      </c>
    </row>
    <row r="318" spans="1:7" x14ac:dyDescent="0.3">
      <c r="A318" t="s">
        <v>1039</v>
      </c>
      <c r="B318" t="s">
        <v>230</v>
      </c>
      <c r="C318">
        <v>16</v>
      </c>
      <c r="D318" s="1">
        <v>45868</v>
      </c>
      <c r="E318">
        <v>7700</v>
      </c>
      <c r="F318" t="s">
        <v>1270</v>
      </c>
      <c r="G318">
        <v>1330</v>
      </c>
    </row>
    <row r="319" spans="1:7" x14ac:dyDescent="0.3">
      <c r="A319" t="s">
        <v>1039</v>
      </c>
      <c r="B319" t="s">
        <v>310</v>
      </c>
      <c r="C319">
        <v>16</v>
      </c>
      <c r="D319" s="1">
        <v>45869</v>
      </c>
      <c r="E319">
        <v>7700</v>
      </c>
      <c r="F319" t="s">
        <v>1271</v>
      </c>
      <c r="G319">
        <v>1311</v>
      </c>
    </row>
    <row r="320" spans="1:7" x14ac:dyDescent="0.3">
      <c r="A320" t="s">
        <v>1039</v>
      </c>
      <c r="B320" t="s">
        <v>235</v>
      </c>
      <c r="C320">
        <v>16</v>
      </c>
      <c r="D320" s="1">
        <v>45864</v>
      </c>
      <c r="E320">
        <v>7700</v>
      </c>
      <c r="F320" t="s">
        <v>1575</v>
      </c>
      <c r="G320">
        <v>1069</v>
      </c>
    </row>
    <row r="321" spans="1:7" x14ac:dyDescent="0.3">
      <c r="A321" t="s">
        <v>1039</v>
      </c>
      <c r="B321" t="s">
        <v>310</v>
      </c>
      <c r="C321">
        <v>16</v>
      </c>
      <c r="D321" s="1">
        <v>45865</v>
      </c>
      <c r="E321">
        <v>7700</v>
      </c>
      <c r="F321" t="s">
        <v>1592</v>
      </c>
      <c r="G321">
        <v>944</v>
      </c>
    </row>
    <row r="322" spans="1:7" x14ac:dyDescent="0.3">
      <c r="A322" t="s">
        <v>1039</v>
      </c>
      <c r="B322" t="s">
        <v>309</v>
      </c>
      <c r="C322">
        <v>16</v>
      </c>
      <c r="D322" s="1">
        <v>45861</v>
      </c>
      <c r="E322">
        <v>7700</v>
      </c>
      <c r="F322" t="s">
        <v>1696</v>
      </c>
      <c r="G322">
        <v>668</v>
      </c>
    </row>
    <row r="323" spans="1:7" x14ac:dyDescent="0.3">
      <c r="A323" t="s">
        <v>1039</v>
      </c>
      <c r="B323" t="s">
        <v>310</v>
      </c>
      <c r="C323">
        <v>16</v>
      </c>
      <c r="D323" s="1">
        <v>45860</v>
      </c>
      <c r="E323">
        <v>7700</v>
      </c>
      <c r="F323" t="s">
        <v>778</v>
      </c>
      <c r="G323">
        <v>533</v>
      </c>
    </row>
    <row r="324" spans="1:7" x14ac:dyDescent="0.3">
      <c r="A324" t="s">
        <v>1039</v>
      </c>
      <c r="B324" t="s">
        <v>224</v>
      </c>
      <c r="C324">
        <v>16</v>
      </c>
      <c r="D324" s="1">
        <v>45860</v>
      </c>
      <c r="E324">
        <v>7700</v>
      </c>
      <c r="F324" t="s">
        <v>870</v>
      </c>
      <c r="G324">
        <v>541</v>
      </c>
    </row>
    <row r="325" spans="1:7" x14ac:dyDescent="0.3">
      <c r="A325" t="s">
        <v>1039</v>
      </c>
      <c r="B325" t="s">
        <v>309</v>
      </c>
      <c r="C325">
        <v>16</v>
      </c>
      <c r="D325" s="1">
        <v>45860</v>
      </c>
      <c r="E325">
        <v>7700</v>
      </c>
      <c r="F325" t="s">
        <v>1723</v>
      </c>
      <c r="G325">
        <v>530</v>
      </c>
    </row>
    <row r="326" spans="1:7" x14ac:dyDescent="0.3">
      <c r="A326" t="s">
        <v>1039</v>
      </c>
      <c r="B326" t="s">
        <v>233</v>
      </c>
      <c r="C326">
        <v>16</v>
      </c>
      <c r="D326" s="1">
        <v>45858</v>
      </c>
      <c r="E326">
        <v>7700</v>
      </c>
      <c r="F326" t="s">
        <v>984</v>
      </c>
      <c r="G326">
        <v>452</v>
      </c>
    </row>
    <row r="327" spans="1:7" x14ac:dyDescent="0.3">
      <c r="A327" t="s">
        <v>1039</v>
      </c>
      <c r="B327" t="s">
        <v>309</v>
      </c>
      <c r="C327">
        <v>16</v>
      </c>
      <c r="D327" s="1">
        <v>45857</v>
      </c>
      <c r="E327">
        <v>7700</v>
      </c>
      <c r="F327" t="s">
        <v>838</v>
      </c>
      <c r="G327">
        <v>428</v>
      </c>
    </row>
    <row r="328" spans="1:7" x14ac:dyDescent="0.3">
      <c r="A328" t="s">
        <v>1039</v>
      </c>
      <c r="B328" t="s">
        <v>235</v>
      </c>
      <c r="C328">
        <v>16</v>
      </c>
      <c r="D328" s="1">
        <v>45857</v>
      </c>
      <c r="E328">
        <v>7700</v>
      </c>
      <c r="F328" t="s">
        <v>1751</v>
      </c>
      <c r="G328">
        <v>365</v>
      </c>
    </row>
    <row r="329" spans="1:7" x14ac:dyDescent="0.3">
      <c r="A329" t="s">
        <v>1039</v>
      </c>
      <c r="B329" t="s">
        <v>309</v>
      </c>
      <c r="C329">
        <v>16</v>
      </c>
      <c r="D329" s="1">
        <v>45857</v>
      </c>
      <c r="E329">
        <v>7700</v>
      </c>
      <c r="F329" t="s">
        <v>862</v>
      </c>
      <c r="G329">
        <v>356</v>
      </c>
    </row>
    <row r="330" spans="1:7" x14ac:dyDescent="0.3">
      <c r="A330" t="s">
        <v>1039</v>
      </c>
      <c r="B330" t="s">
        <v>232</v>
      </c>
      <c r="C330">
        <v>16</v>
      </c>
      <c r="D330" s="1">
        <v>45857</v>
      </c>
      <c r="E330">
        <v>7700</v>
      </c>
      <c r="F330" t="s">
        <v>1755</v>
      </c>
      <c r="G330">
        <v>357</v>
      </c>
    </row>
    <row r="331" spans="1:7" x14ac:dyDescent="0.3">
      <c r="A331" t="s">
        <v>1039</v>
      </c>
      <c r="B331" t="s">
        <v>309</v>
      </c>
      <c r="C331">
        <v>16</v>
      </c>
      <c r="D331" s="1">
        <v>45856</v>
      </c>
      <c r="E331">
        <v>7700</v>
      </c>
      <c r="F331" t="s">
        <v>811</v>
      </c>
      <c r="G331">
        <v>328</v>
      </c>
    </row>
    <row r="332" spans="1:7" x14ac:dyDescent="0.3">
      <c r="A332" t="s">
        <v>1039</v>
      </c>
      <c r="B332" t="s">
        <v>310</v>
      </c>
      <c r="C332">
        <v>16</v>
      </c>
      <c r="D332" s="1">
        <v>45855</v>
      </c>
      <c r="E332">
        <v>7700</v>
      </c>
      <c r="F332" t="s">
        <v>813</v>
      </c>
      <c r="G332">
        <v>329</v>
      </c>
    </row>
    <row r="333" spans="1:7" x14ac:dyDescent="0.3">
      <c r="A333" t="s">
        <v>1039</v>
      </c>
      <c r="B333" t="s">
        <v>235</v>
      </c>
      <c r="C333">
        <v>16</v>
      </c>
      <c r="D333" s="1">
        <v>45856</v>
      </c>
      <c r="E333">
        <v>7700</v>
      </c>
      <c r="F333" t="s">
        <v>1763</v>
      </c>
      <c r="G333">
        <v>295</v>
      </c>
    </row>
    <row r="334" spans="1:7" x14ac:dyDescent="0.3">
      <c r="A334" t="s">
        <v>1039</v>
      </c>
      <c r="B334" t="s">
        <v>228</v>
      </c>
      <c r="C334">
        <v>16</v>
      </c>
      <c r="D334" s="1">
        <v>45856</v>
      </c>
      <c r="E334">
        <v>7700</v>
      </c>
      <c r="F334" t="s">
        <v>938</v>
      </c>
      <c r="G334">
        <v>272</v>
      </c>
    </row>
    <row r="335" spans="1:7" x14ac:dyDescent="0.3">
      <c r="A335" t="s">
        <v>1039</v>
      </c>
      <c r="B335" t="s">
        <v>226</v>
      </c>
      <c r="C335">
        <v>16</v>
      </c>
      <c r="D335" s="1">
        <v>45855</v>
      </c>
      <c r="E335">
        <v>7700</v>
      </c>
      <c r="F335" t="s">
        <v>914</v>
      </c>
      <c r="G335">
        <v>264</v>
      </c>
    </row>
    <row r="336" spans="1:7" x14ac:dyDescent="0.3">
      <c r="A336" t="s">
        <v>1039</v>
      </c>
      <c r="B336" t="s">
        <v>309</v>
      </c>
      <c r="C336">
        <v>16</v>
      </c>
      <c r="D336" s="1">
        <v>45855</v>
      </c>
      <c r="E336">
        <v>7700</v>
      </c>
      <c r="F336" t="s">
        <v>957</v>
      </c>
      <c r="G336">
        <v>242</v>
      </c>
    </row>
    <row r="337" spans="1:7" x14ac:dyDescent="0.3">
      <c r="A337" t="s">
        <v>1039</v>
      </c>
      <c r="B337" t="s">
        <v>309</v>
      </c>
      <c r="C337">
        <v>16</v>
      </c>
      <c r="D337" s="1">
        <v>45855</v>
      </c>
      <c r="E337">
        <v>7700</v>
      </c>
      <c r="F337" t="s">
        <v>981</v>
      </c>
      <c r="G337">
        <v>220</v>
      </c>
    </row>
    <row r="338" spans="1:7" x14ac:dyDescent="0.3">
      <c r="A338" t="s">
        <v>1039</v>
      </c>
      <c r="B338" t="s">
        <v>310</v>
      </c>
      <c r="C338">
        <v>16</v>
      </c>
      <c r="D338" s="1">
        <v>45855</v>
      </c>
      <c r="E338">
        <v>7700</v>
      </c>
      <c r="F338" t="s">
        <v>977</v>
      </c>
      <c r="G338">
        <v>219</v>
      </c>
    </row>
    <row r="339" spans="1:7" x14ac:dyDescent="0.3">
      <c r="A339" t="s">
        <v>1039</v>
      </c>
      <c r="B339" t="s">
        <v>233</v>
      </c>
      <c r="C339">
        <v>17</v>
      </c>
      <c r="D339" s="1">
        <v>45866</v>
      </c>
      <c r="E339">
        <v>172700</v>
      </c>
      <c r="F339" t="s">
        <v>500</v>
      </c>
      <c r="G339">
        <v>1242</v>
      </c>
    </row>
    <row r="340" spans="1:7" x14ac:dyDescent="0.3">
      <c r="A340" t="s">
        <v>1039</v>
      </c>
      <c r="B340" t="s">
        <v>309</v>
      </c>
      <c r="C340">
        <v>17</v>
      </c>
      <c r="D340" s="1">
        <v>45861</v>
      </c>
      <c r="E340">
        <v>150700</v>
      </c>
      <c r="F340" t="s">
        <v>641</v>
      </c>
      <c r="G340">
        <v>864</v>
      </c>
    </row>
    <row r="341" spans="1:7" x14ac:dyDescent="0.3">
      <c r="A341" t="s">
        <v>1039</v>
      </c>
      <c r="B341" t="s">
        <v>310</v>
      </c>
      <c r="C341">
        <v>17</v>
      </c>
      <c r="D341" s="1">
        <v>45860</v>
      </c>
      <c r="E341">
        <v>129800</v>
      </c>
      <c r="F341" t="s">
        <v>630</v>
      </c>
      <c r="G341">
        <v>641</v>
      </c>
    </row>
    <row r="342" spans="1:7" x14ac:dyDescent="0.3">
      <c r="A342" t="s">
        <v>1039</v>
      </c>
      <c r="B342" t="s">
        <v>310</v>
      </c>
      <c r="C342">
        <v>17</v>
      </c>
      <c r="D342" s="1">
        <v>45859</v>
      </c>
      <c r="E342">
        <v>126500</v>
      </c>
      <c r="F342" t="s">
        <v>788</v>
      </c>
      <c r="G342">
        <v>502</v>
      </c>
    </row>
    <row r="343" spans="1:7" x14ac:dyDescent="0.3">
      <c r="A343" t="s">
        <v>1039</v>
      </c>
      <c r="B343" t="s">
        <v>233</v>
      </c>
      <c r="C343">
        <v>17</v>
      </c>
      <c r="D343" s="1">
        <v>45865</v>
      </c>
      <c r="E343">
        <v>118800</v>
      </c>
      <c r="F343" t="s">
        <v>689</v>
      </c>
      <c r="G343">
        <v>933</v>
      </c>
    </row>
    <row r="344" spans="1:7" x14ac:dyDescent="0.3">
      <c r="A344" t="s">
        <v>1039</v>
      </c>
      <c r="B344" t="s">
        <v>311</v>
      </c>
      <c r="C344">
        <v>17</v>
      </c>
      <c r="D344" s="1">
        <v>45854</v>
      </c>
      <c r="E344">
        <v>113300</v>
      </c>
      <c r="F344">
        <v>13453</v>
      </c>
      <c r="G344">
        <v>271</v>
      </c>
    </row>
    <row r="345" spans="1:7" x14ac:dyDescent="0.3">
      <c r="A345" t="s">
        <v>1039</v>
      </c>
      <c r="B345" t="s">
        <v>224</v>
      </c>
      <c r="C345">
        <v>17</v>
      </c>
      <c r="D345" s="1">
        <v>45860</v>
      </c>
      <c r="E345">
        <v>110000</v>
      </c>
      <c r="F345" t="s">
        <v>679</v>
      </c>
      <c r="G345">
        <v>644</v>
      </c>
    </row>
    <row r="346" spans="1:7" x14ac:dyDescent="0.3">
      <c r="A346" t="s">
        <v>1039</v>
      </c>
      <c r="B346" t="s">
        <v>235</v>
      </c>
      <c r="C346">
        <v>17</v>
      </c>
      <c r="D346" s="1">
        <v>45864</v>
      </c>
      <c r="E346">
        <v>106700</v>
      </c>
      <c r="F346" t="s">
        <v>1497</v>
      </c>
      <c r="G346">
        <v>1526</v>
      </c>
    </row>
    <row r="347" spans="1:7" x14ac:dyDescent="0.3">
      <c r="A347" t="s">
        <v>1039</v>
      </c>
      <c r="B347" t="s">
        <v>310</v>
      </c>
      <c r="C347">
        <v>17</v>
      </c>
      <c r="D347" s="1">
        <v>45856</v>
      </c>
      <c r="E347">
        <v>95700</v>
      </c>
      <c r="F347" t="s">
        <v>373</v>
      </c>
      <c r="G347">
        <v>326</v>
      </c>
    </row>
    <row r="348" spans="1:7" x14ac:dyDescent="0.3">
      <c r="A348" t="s">
        <v>1039</v>
      </c>
      <c r="B348" t="s">
        <v>311</v>
      </c>
      <c r="C348">
        <v>17</v>
      </c>
      <c r="D348" s="1">
        <v>45862</v>
      </c>
      <c r="E348">
        <v>93500</v>
      </c>
      <c r="F348" t="s">
        <v>1678</v>
      </c>
      <c r="G348">
        <v>744</v>
      </c>
    </row>
    <row r="349" spans="1:7" x14ac:dyDescent="0.3">
      <c r="A349" t="s">
        <v>1039</v>
      </c>
      <c r="B349" t="s">
        <v>310</v>
      </c>
      <c r="C349">
        <v>17</v>
      </c>
      <c r="D349" s="1">
        <v>45861</v>
      </c>
      <c r="E349">
        <v>84700</v>
      </c>
      <c r="F349" t="s">
        <v>642</v>
      </c>
      <c r="G349">
        <v>829</v>
      </c>
    </row>
    <row r="350" spans="1:7" x14ac:dyDescent="0.3">
      <c r="A350" t="s">
        <v>1039</v>
      </c>
      <c r="B350" t="s">
        <v>309</v>
      </c>
      <c r="C350">
        <v>17</v>
      </c>
      <c r="D350" s="1">
        <v>45862</v>
      </c>
      <c r="E350">
        <v>84700</v>
      </c>
      <c r="F350" t="s">
        <v>1669</v>
      </c>
      <c r="G350">
        <v>770</v>
      </c>
    </row>
    <row r="351" spans="1:7" x14ac:dyDescent="0.3">
      <c r="A351" t="s">
        <v>1039</v>
      </c>
      <c r="B351" t="s">
        <v>233</v>
      </c>
      <c r="C351">
        <v>17</v>
      </c>
      <c r="D351" s="1">
        <v>45856</v>
      </c>
      <c r="E351">
        <v>80300</v>
      </c>
      <c r="F351" t="s">
        <v>906</v>
      </c>
      <c r="G351">
        <v>383</v>
      </c>
    </row>
    <row r="352" spans="1:7" x14ac:dyDescent="0.3">
      <c r="A352" t="s">
        <v>1039</v>
      </c>
      <c r="B352" t="s">
        <v>311</v>
      </c>
      <c r="C352">
        <v>17</v>
      </c>
      <c r="D352" s="1">
        <v>45858</v>
      </c>
      <c r="E352">
        <v>79200</v>
      </c>
      <c r="F352" t="s">
        <v>656</v>
      </c>
      <c r="G352">
        <v>516</v>
      </c>
    </row>
    <row r="353" spans="1:7" x14ac:dyDescent="0.3">
      <c r="A353" t="s">
        <v>1039</v>
      </c>
      <c r="B353" t="s">
        <v>310</v>
      </c>
      <c r="C353">
        <v>17</v>
      </c>
      <c r="D353" s="1">
        <v>45871</v>
      </c>
      <c r="E353">
        <v>77000</v>
      </c>
      <c r="F353" t="s">
        <v>1080</v>
      </c>
      <c r="G353">
        <v>1731</v>
      </c>
    </row>
    <row r="354" spans="1:7" x14ac:dyDescent="0.3">
      <c r="A354" t="s">
        <v>1039</v>
      </c>
      <c r="B354" t="s">
        <v>310</v>
      </c>
      <c r="C354">
        <v>17</v>
      </c>
      <c r="D354" s="1">
        <v>45869</v>
      </c>
      <c r="E354">
        <v>73700</v>
      </c>
      <c r="F354" t="s">
        <v>1154</v>
      </c>
      <c r="G354">
        <v>1648</v>
      </c>
    </row>
    <row r="355" spans="1:7" x14ac:dyDescent="0.3">
      <c r="A355" t="s">
        <v>1039</v>
      </c>
      <c r="B355" t="s">
        <v>225</v>
      </c>
      <c r="C355">
        <v>17</v>
      </c>
      <c r="D355" s="1">
        <v>45867</v>
      </c>
      <c r="E355">
        <v>69300</v>
      </c>
      <c r="F355" t="s">
        <v>1280</v>
      </c>
      <c r="G355">
        <v>1339</v>
      </c>
    </row>
    <row r="356" spans="1:7" x14ac:dyDescent="0.3">
      <c r="A356" t="s">
        <v>1039</v>
      </c>
      <c r="B356" t="s">
        <v>310</v>
      </c>
      <c r="C356">
        <v>17</v>
      </c>
      <c r="D356" s="1">
        <v>45870</v>
      </c>
      <c r="E356">
        <v>67100</v>
      </c>
      <c r="F356" t="s">
        <v>1149</v>
      </c>
      <c r="G356">
        <v>1433</v>
      </c>
    </row>
    <row r="357" spans="1:7" x14ac:dyDescent="0.3">
      <c r="A357" t="s">
        <v>1039</v>
      </c>
      <c r="B357" t="s">
        <v>310</v>
      </c>
      <c r="C357">
        <v>17</v>
      </c>
      <c r="D357" s="1">
        <v>45857</v>
      </c>
      <c r="E357">
        <v>66000</v>
      </c>
      <c r="F357" t="s">
        <v>639</v>
      </c>
      <c r="G357">
        <v>467</v>
      </c>
    </row>
    <row r="358" spans="1:7" x14ac:dyDescent="0.3">
      <c r="A358" t="s">
        <v>1039</v>
      </c>
      <c r="B358" t="s">
        <v>310</v>
      </c>
      <c r="C358">
        <v>17</v>
      </c>
      <c r="D358" s="1">
        <v>45864</v>
      </c>
      <c r="E358">
        <v>62700</v>
      </c>
      <c r="F358" t="s">
        <v>615</v>
      </c>
      <c r="G358">
        <v>926</v>
      </c>
    </row>
    <row r="359" spans="1:7" x14ac:dyDescent="0.3">
      <c r="A359" t="s">
        <v>1039</v>
      </c>
      <c r="B359" t="s">
        <v>310</v>
      </c>
      <c r="C359">
        <v>17</v>
      </c>
      <c r="D359" s="1">
        <v>45861</v>
      </c>
      <c r="E359">
        <v>62700</v>
      </c>
      <c r="F359" t="s">
        <v>700</v>
      </c>
      <c r="G359">
        <v>767</v>
      </c>
    </row>
    <row r="360" spans="1:7" x14ac:dyDescent="0.3">
      <c r="A360" t="s">
        <v>1039</v>
      </c>
      <c r="B360" t="s">
        <v>231</v>
      </c>
      <c r="C360">
        <v>17</v>
      </c>
      <c r="D360" s="1">
        <v>45857</v>
      </c>
      <c r="E360">
        <v>62700</v>
      </c>
      <c r="F360" t="s">
        <v>878</v>
      </c>
      <c r="G360">
        <v>429</v>
      </c>
    </row>
    <row r="361" spans="1:7" x14ac:dyDescent="0.3">
      <c r="A361" t="s">
        <v>1039</v>
      </c>
      <c r="B361" t="s">
        <v>233</v>
      </c>
      <c r="C361">
        <v>17</v>
      </c>
      <c r="D361" s="1">
        <v>45857</v>
      </c>
      <c r="E361">
        <v>62700</v>
      </c>
      <c r="F361" t="s">
        <v>1749</v>
      </c>
      <c r="G361">
        <v>385</v>
      </c>
    </row>
    <row r="362" spans="1:7" x14ac:dyDescent="0.3">
      <c r="A362" t="s">
        <v>1039</v>
      </c>
      <c r="B362" t="s">
        <v>309</v>
      </c>
      <c r="C362">
        <v>17</v>
      </c>
      <c r="D362" s="1">
        <v>45858</v>
      </c>
      <c r="E362">
        <v>60500</v>
      </c>
      <c r="F362" t="s">
        <v>859</v>
      </c>
      <c r="G362">
        <v>673</v>
      </c>
    </row>
    <row r="363" spans="1:7" x14ac:dyDescent="0.3">
      <c r="A363" t="s">
        <v>1039</v>
      </c>
      <c r="B363" t="s">
        <v>234</v>
      </c>
      <c r="C363">
        <v>17</v>
      </c>
      <c r="D363" s="1">
        <v>45863</v>
      </c>
      <c r="E363">
        <v>48400</v>
      </c>
      <c r="F363" t="s">
        <v>1630</v>
      </c>
      <c r="G363">
        <v>897</v>
      </c>
    </row>
    <row r="364" spans="1:7" x14ac:dyDescent="0.3">
      <c r="A364" t="s">
        <v>1039</v>
      </c>
      <c r="B364" t="s">
        <v>310</v>
      </c>
      <c r="C364">
        <v>17</v>
      </c>
      <c r="D364" s="1">
        <v>45865</v>
      </c>
      <c r="E364">
        <v>47300</v>
      </c>
      <c r="F364" t="s">
        <v>445</v>
      </c>
      <c r="G364">
        <v>1061</v>
      </c>
    </row>
    <row r="365" spans="1:7" x14ac:dyDescent="0.3">
      <c r="A365" t="s">
        <v>1039</v>
      </c>
      <c r="B365" t="s">
        <v>310</v>
      </c>
      <c r="C365">
        <v>17</v>
      </c>
      <c r="D365" s="1">
        <v>45864</v>
      </c>
      <c r="E365">
        <v>40700</v>
      </c>
      <c r="F365" t="s">
        <v>1400</v>
      </c>
      <c r="G365">
        <v>1178</v>
      </c>
    </row>
    <row r="366" spans="1:7" x14ac:dyDescent="0.3">
      <c r="A366" t="s">
        <v>1039</v>
      </c>
      <c r="B366" t="s">
        <v>310</v>
      </c>
      <c r="C366">
        <v>17</v>
      </c>
      <c r="D366" s="1">
        <v>45860</v>
      </c>
      <c r="E366">
        <v>40700</v>
      </c>
      <c r="F366" t="s">
        <v>1684</v>
      </c>
      <c r="G366">
        <v>712</v>
      </c>
    </row>
    <row r="367" spans="1:7" x14ac:dyDescent="0.3">
      <c r="A367" t="s">
        <v>1039</v>
      </c>
      <c r="B367" t="s">
        <v>310</v>
      </c>
      <c r="C367">
        <v>17</v>
      </c>
      <c r="D367" s="1">
        <v>45860</v>
      </c>
      <c r="E367">
        <v>40700</v>
      </c>
      <c r="F367" t="s">
        <v>860</v>
      </c>
      <c r="G367">
        <v>555</v>
      </c>
    </row>
    <row r="368" spans="1:7" x14ac:dyDescent="0.3">
      <c r="A368" t="s">
        <v>1039</v>
      </c>
      <c r="B368" t="s">
        <v>310</v>
      </c>
      <c r="C368">
        <v>17</v>
      </c>
      <c r="D368" s="1">
        <v>45854</v>
      </c>
      <c r="E368">
        <v>40700</v>
      </c>
      <c r="F368" t="s">
        <v>894</v>
      </c>
      <c r="G368">
        <v>388</v>
      </c>
    </row>
    <row r="369" spans="1:7" x14ac:dyDescent="0.3">
      <c r="A369" t="s">
        <v>1039</v>
      </c>
      <c r="B369" t="s">
        <v>309</v>
      </c>
      <c r="C369">
        <v>17</v>
      </c>
      <c r="D369" s="1">
        <v>45855</v>
      </c>
      <c r="E369">
        <v>40700</v>
      </c>
      <c r="F369" t="s">
        <v>1762</v>
      </c>
      <c r="G369">
        <v>281</v>
      </c>
    </row>
    <row r="370" spans="1:7" x14ac:dyDescent="0.3">
      <c r="A370" t="s">
        <v>1039</v>
      </c>
      <c r="B370" t="s">
        <v>310</v>
      </c>
      <c r="C370">
        <v>17</v>
      </c>
      <c r="D370" s="1">
        <v>45856</v>
      </c>
      <c r="E370">
        <v>39600</v>
      </c>
      <c r="F370" t="s">
        <v>950</v>
      </c>
      <c r="G370">
        <v>362</v>
      </c>
    </row>
    <row r="371" spans="1:7" x14ac:dyDescent="0.3">
      <c r="A371" t="s">
        <v>1039</v>
      </c>
      <c r="B371" t="s">
        <v>233</v>
      </c>
      <c r="C371">
        <v>17</v>
      </c>
      <c r="D371" s="1">
        <v>45863</v>
      </c>
      <c r="E371">
        <v>38500</v>
      </c>
      <c r="F371" t="s">
        <v>1650</v>
      </c>
      <c r="G371">
        <v>825</v>
      </c>
    </row>
    <row r="372" spans="1:7" x14ac:dyDescent="0.3">
      <c r="A372" t="s">
        <v>1039</v>
      </c>
      <c r="B372" t="s">
        <v>231</v>
      </c>
      <c r="C372">
        <v>17</v>
      </c>
      <c r="D372" s="1">
        <v>45861</v>
      </c>
      <c r="E372">
        <v>36300</v>
      </c>
      <c r="F372" t="s">
        <v>662</v>
      </c>
      <c r="G372">
        <v>711</v>
      </c>
    </row>
    <row r="373" spans="1:7" x14ac:dyDescent="0.3">
      <c r="A373" t="s">
        <v>1039</v>
      </c>
      <c r="B373" t="s">
        <v>310</v>
      </c>
      <c r="C373">
        <v>17</v>
      </c>
      <c r="D373" s="1">
        <v>45866</v>
      </c>
      <c r="E373">
        <v>33000</v>
      </c>
      <c r="F373" t="s">
        <v>1341</v>
      </c>
      <c r="G373">
        <v>1241</v>
      </c>
    </row>
    <row r="374" spans="1:7" x14ac:dyDescent="0.3">
      <c r="A374" t="s">
        <v>1039</v>
      </c>
      <c r="B374" t="s">
        <v>311</v>
      </c>
      <c r="C374">
        <v>17</v>
      </c>
      <c r="D374" s="1">
        <v>45858</v>
      </c>
      <c r="E374">
        <v>33000</v>
      </c>
      <c r="F374" t="s">
        <v>1738</v>
      </c>
      <c r="G374">
        <v>452</v>
      </c>
    </row>
    <row r="375" spans="1:7" x14ac:dyDescent="0.3">
      <c r="A375" t="s">
        <v>1039</v>
      </c>
      <c r="B375" t="s">
        <v>231</v>
      </c>
      <c r="C375">
        <v>17</v>
      </c>
      <c r="D375" s="1">
        <v>45870</v>
      </c>
      <c r="E375">
        <v>29700</v>
      </c>
      <c r="F375" t="s">
        <v>1118</v>
      </c>
      <c r="G375">
        <v>1464</v>
      </c>
    </row>
    <row r="376" spans="1:7" x14ac:dyDescent="0.3">
      <c r="A376" t="s">
        <v>1039</v>
      </c>
      <c r="B376" t="s">
        <v>226</v>
      </c>
      <c r="C376">
        <v>17</v>
      </c>
      <c r="D376" s="1">
        <v>45865</v>
      </c>
      <c r="E376">
        <v>29700</v>
      </c>
      <c r="F376" t="s">
        <v>1494</v>
      </c>
      <c r="G376">
        <v>1142</v>
      </c>
    </row>
    <row r="377" spans="1:7" x14ac:dyDescent="0.3">
      <c r="A377" t="s">
        <v>1039</v>
      </c>
      <c r="B377" t="s">
        <v>310</v>
      </c>
      <c r="C377">
        <v>17</v>
      </c>
      <c r="D377" s="1">
        <v>45861</v>
      </c>
      <c r="E377">
        <v>29700</v>
      </c>
      <c r="F377" t="s">
        <v>684</v>
      </c>
      <c r="G377">
        <v>650</v>
      </c>
    </row>
    <row r="378" spans="1:7" x14ac:dyDescent="0.3">
      <c r="A378" t="s">
        <v>1039</v>
      </c>
      <c r="B378" t="s">
        <v>310</v>
      </c>
      <c r="C378">
        <v>17</v>
      </c>
      <c r="D378" s="1">
        <v>45854</v>
      </c>
      <c r="E378">
        <v>29700</v>
      </c>
      <c r="F378" t="s">
        <v>318</v>
      </c>
      <c r="G378">
        <v>249</v>
      </c>
    </row>
    <row r="379" spans="1:7" x14ac:dyDescent="0.3">
      <c r="A379" t="s">
        <v>1039</v>
      </c>
      <c r="B379" t="s">
        <v>310</v>
      </c>
      <c r="C379">
        <v>17</v>
      </c>
      <c r="D379" s="1">
        <v>45861</v>
      </c>
      <c r="E379">
        <v>27500</v>
      </c>
      <c r="F379" t="s">
        <v>597</v>
      </c>
      <c r="G379">
        <v>718</v>
      </c>
    </row>
    <row r="380" spans="1:7" x14ac:dyDescent="0.3">
      <c r="A380" t="s">
        <v>1039</v>
      </c>
      <c r="B380" t="s">
        <v>233</v>
      </c>
      <c r="C380">
        <v>17</v>
      </c>
      <c r="D380" s="1">
        <v>45857</v>
      </c>
      <c r="E380">
        <v>25300</v>
      </c>
      <c r="F380" t="s">
        <v>821</v>
      </c>
      <c r="G380">
        <v>498</v>
      </c>
    </row>
    <row r="381" spans="1:7" x14ac:dyDescent="0.3">
      <c r="A381" t="s">
        <v>1039</v>
      </c>
      <c r="B381" t="s">
        <v>233</v>
      </c>
      <c r="C381">
        <v>17</v>
      </c>
      <c r="D381" s="1">
        <v>45867</v>
      </c>
      <c r="E381">
        <v>20900</v>
      </c>
      <c r="F381" t="s">
        <v>1275</v>
      </c>
      <c r="G381">
        <v>1309</v>
      </c>
    </row>
    <row r="382" spans="1:7" x14ac:dyDescent="0.3">
      <c r="A382" t="s">
        <v>1039</v>
      </c>
      <c r="B382" t="s">
        <v>309</v>
      </c>
      <c r="C382">
        <v>17</v>
      </c>
      <c r="D382" s="1">
        <v>45866</v>
      </c>
      <c r="E382">
        <v>20900</v>
      </c>
      <c r="F382" t="s">
        <v>1417</v>
      </c>
      <c r="G382">
        <v>1161</v>
      </c>
    </row>
    <row r="383" spans="1:7" x14ac:dyDescent="0.3">
      <c r="A383" t="s">
        <v>1039</v>
      </c>
      <c r="B383" t="s">
        <v>309</v>
      </c>
      <c r="C383">
        <v>17</v>
      </c>
      <c r="D383" s="1">
        <v>45864</v>
      </c>
      <c r="E383">
        <v>17600</v>
      </c>
      <c r="F383" t="s">
        <v>534</v>
      </c>
      <c r="G383">
        <v>966</v>
      </c>
    </row>
    <row r="384" spans="1:7" x14ac:dyDescent="0.3">
      <c r="A384" t="s">
        <v>1039</v>
      </c>
      <c r="B384" t="s">
        <v>231</v>
      </c>
      <c r="C384">
        <v>17</v>
      </c>
      <c r="D384" s="1">
        <v>45857</v>
      </c>
      <c r="E384">
        <v>15400</v>
      </c>
      <c r="F384" t="s">
        <v>850</v>
      </c>
      <c r="G384">
        <v>433</v>
      </c>
    </row>
    <row r="385" spans="1:7" x14ac:dyDescent="0.3">
      <c r="A385" t="s">
        <v>1039</v>
      </c>
      <c r="B385" t="s">
        <v>229</v>
      </c>
      <c r="C385">
        <v>17</v>
      </c>
      <c r="D385" s="1">
        <v>45868</v>
      </c>
      <c r="E385">
        <v>14300</v>
      </c>
      <c r="F385" t="s">
        <v>1318</v>
      </c>
      <c r="G385">
        <v>1256</v>
      </c>
    </row>
    <row r="386" spans="1:7" x14ac:dyDescent="0.3">
      <c r="A386" t="s">
        <v>1039</v>
      </c>
      <c r="B386" t="s">
        <v>310</v>
      </c>
      <c r="C386">
        <v>17</v>
      </c>
      <c r="D386" s="1">
        <v>45863</v>
      </c>
      <c r="E386">
        <v>14300</v>
      </c>
      <c r="F386" t="s">
        <v>549</v>
      </c>
      <c r="G386">
        <v>976</v>
      </c>
    </row>
    <row r="387" spans="1:7" x14ac:dyDescent="0.3">
      <c r="A387" t="s">
        <v>1039</v>
      </c>
      <c r="B387" t="s">
        <v>233</v>
      </c>
      <c r="C387">
        <v>17</v>
      </c>
      <c r="D387" s="1">
        <v>45857</v>
      </c>
      <c r="E387">
        <v>14300</v>
      </c>
      <c r="F387" t="s">
        <v>879</v>
      </c>
      <c r="G387">
        <v>478</v>
      </c>
    </row>
    <row r="388" spans="1:7" x14ac:dyDescent="0.3">
      <c r="A388" t="s">
        <v>1039</v>
      </c>
      <c r="B388" t="s">
        <v>309</v>
      </c>
      <c r="C388">
        <v>17</v>
      </c>
      <c r="D388" s="1">
        <v>45855</v>
      </c>
      <c r="E388">
        <v>14300</v>
      </c>
      <c r="F388" t="s">
        <v>979</v>
      </c>
      <c r="G388">
        <v>310</v>
      </c>
    </row>
    <row r="389" spans="1:7" x14ac:dyDescent="0.3">
      <c r="A389" t="s">
        <v>1039</v>
      </c>
      <c r="B389" t="s">
        <v>310</v>
      </c>
      <c r="C389">
        <v>17</v>
      </c>
      <c r="D389" s="1">
        <v>45869</v>
      </c>
      <c r="E389">
        <v>11000</v>
      </c>
      <c r="F389" t="s">
        <v>1183</v>
      </c>
      <c r="G389">
        <v>1393</v>
      </c>
    </row>
    <row r="390" spans="1:7" x14ac:dyDescent="0.3">
      <c r="A390" t="s">
        <v>1039</v>
      </c>
      <c r="B390" t="s">
        <v>229</v>
      </c>
      <c r="C390">
        <v>17</v>
      </c>
      <c r="D390" s="1">
        <v>45868</v>
      </c>
      <c r="E390">
        <v>11000</v>
      </c>
      <c r="F390" t="s">
        <v>1276</v>
      </c>
      <c r="G390">
        <v>1308</v>
      </c>
    </row>
    <row r="391" spans="1:7" x14ac:dyDescent="0.3">
      <c r="A391" t="s">
        <v>1039</v>
      </c>
      <c r="B391" t="s">
        <v>310</v>
      </c>
      <c r="C391">
        <v>17</v>
      </c>
      <c r="D391" s="1">
        <v>45856</v>
      </c>
      <c r="E391">
        <v>11000</v>
      </c>
      <c r="F391" t="s">
        <v>888</v>
      </c>
      <c r="G391">
        <v>412</v>
      </c>
    </row>
    <row r="392" spans="1:7" x14ac:dyDescent="0.3">
      <c r="A392" t="s">
        <v>1039</v>
      </c>
      <c r="B392" t="s">
        <v>309</v>
      </c>
      <c r="C392">
        <v>17</v>
      </c>
      <c r="D392" s="1">
        <v>45855</v>
      </c>
      <c r="E392">
        <v>11000</v>
      </c>
      <c r="F392" t="s">
        <v>808</v>
      </c>
      <c r="G392">
        <v>346</v>
      </c>
    </row>
    <row r="393" spans="1:7" x14ac:dyDescent="0.3">
      <c r="A393" t="s">
        <v>1039</v>
      </c>
      <c r="B393" t="s">
        <v>309</v>
      </c>
      <c r="C393">
        <v>17</v>
      </c>
      <c r="D393" s="1">
        <v>45853</v>
      </c>
      <c r="E393">
        <v>11000</v>
      </c>
      <c r="F393" t="s">
        <v>901</v>
      </c>
      <c r="G393">
        <v>259</v>
      </c>
    </row>
    <row r="394" spans="1:7" x14ac:dyDescent="0.3">
      <c r="A394" t="s">
        <v>1039</v>
      </c>
      <c r="B394" t="s">
        <v>310</v>
      </c>
      <c r="C394">
        <v>17</v>
      </c>
      <c r="D394" s="1">
        <v>45871</v>
      </c>
      <c r="E394">
        <v>7700</v>
      </c>
      <c r="F394" t="s">
        <v>1097</v>
      </c>
      <c r="G394">
        <v>1501</v>
      </c>
    </row>
    <row r="395" spans="1:7" x14ac:dyDescent="0.3">
      <c r="A395" t="s">
        <v>1039</v>
      </c>
      <c r="B395" t="s">
        <v>231</v>
      </c>
      <c r="C395">
        <v>17</v>
      </c>
      <c r="D395" s="1">
        <v>45870</v>
      </c>
      <c r="E395">
        <v>7700</v>
      </c>
      <c r="F395" t="s">
        <v>1127</v>
      </c>
      <c r="G395">
        <v>1524</v>
      </c>
    </row>
    <row r="396" spans="1:7" x14ac:dyDescent="0.3">
      <c r="A396" t="s">
        <v>1039</v>
      </c>
      <c r="B396" t="s">
        <v>226</v>
      </c>
      <c r="C396">
        <v>17</v>
      </c>
      <c r="D396" s="1">
        <v>45870</v>
      </c>
      <c r="E396">
        <v>7700</v>
      </c>
      <c r="F396" t="s">
        <v>1148</v>
      </c>
      <c r="G396">
        <v>1498</v>
      </c>
    </row>
    <row r="397" spans="1:7" x14ac:dyDescent="0.3">
      <c r="A397" t="s">
        <v>1039</v>
      </c>
      <c r="B397" t="s">
        <v>231</v>
      </c>
      <c r="C397">
        <v>17</v>
      </c>
      <c r="D397" s="1">
        <v>45867</v>
      </c>
      <c r="E397">
        <v>7700</v>
      </c>
      <c r="F397" t="s">
        <v>1339</v>
      </c>
      <c r="G397">
        <v>1262</v>
      </c>
    </row>
    <row r="398" spans="1:7" x14ac:dyDescent="0.3">
      <c r="A398" t="s">
        <v>1039</v>
      </c>
      <c r="B398" t="s">
        <v>310</v>
      </c>
      <c r="C398">
        <v>17</v>
      </c>
      <c r="D398" s="1">
        <v>45867</v>
      </c>
      <c r="E398">
        <v>7700</v>
      </c>
      <c r="F398" t="s">
        <v>1351</v>
      </c>
      <c r="G398">
        <v>1203</v>
      </c>
    </row>
    <row r="399" spans="1:7" x14ac:dyDescent="0.3">
      <c r="A399" t="s">
        <v>1039</v>
      </c>
      <c r="B399" t="s">
        <v>224</v>
      </c>
      <c r="C399">
        <v>17</v>
      </c>
      <c r="D399" s="1">
        <v>45865</v>
      </c>
      <c r="E399">
        <v>7700</v>
      </c>
      <c r="F399" t="s">
        <v>1435</v>
      </c>
      <c r="G399">
        <v>1133</v>
      </c>
    </row>
    <row r="400" spans="1:7" x14ac:dyDescent="0.3">
      <c r="A400" t="s">
        <v>1039</v>
      </c>
      <c r="B400" t="s">
        <v>310</v>
      </c>
      <c r="C400">
        <v>17</v>
      </c>
      <c r="D400" s="1">
        <v>45865</v>
      </c>
      <c r="E400">
        <v>7700</v>
      </c>
      <c r="F400">
        <v>4827</v>
      </c>
      <c r="G400">
        <v>1062</v>
      </c>
    </row>
    <row r="401" spans="1:7" x14ac:dyDescent="0.3">
      <c r="A401" t="s">
        <v>1039</v>
      </c>
      <c r="B401" t="s">
        <v>225</v>
      </c>
      <c r="C401">
        <v>17</v>
      </c>
      <c r="D401" s="1">
        <v>45864</v>
      </c>
      <c r="E401">
        <v>7700</v>
      </c>
      <c r="F401" t="s">
        <v>472</v>
      </c>
      <c r="G401">
        <v>1072</v>
      </c>
    </row>
    <row r="402" spans="1:7" x14ac:dyDescent="0.3">
      <c r="A402" t="s">
        <v>1039</v>
      </c>
      <c r="B402" t="s">
        <v>311</v>
      </c>
      <c r="C402">
        <v>17</v>
      </c>
      <c r="D402" s="1">
        <v>45863</v>
      </c>
      <c r="E402">
        <v>7700</v>
      </c>
      <c r="F402" t="s">
        <v>527</v>
      </c>
      <c r="G402">
        <v>856</v>
      </c>
    </row>
    <row r="403" spans="1:7" x14ac:dyDescent="0.3">
      <c r="A403" t="s">
        <v>1039</v>
      </c>
      <c r="B403" t="s">
        <v>233</v>
      </c>
      <c r="C403">
        <v>17</v>
      </c>
      <c r="D403" s="1">
        <v>45863</v>
      </c>
      <c r="E403">
        <v>7700</v>
      </c>
      <c r="F403" t="s">
        <v>616</v>
      </c>
      <c r="G403">
        <v>836</v>
      </c>
    </row>
    <row r="404" spans="1:7" x14ac:dyDescent="0.3">
      <c r="A404" t="s">
        <v>1039</v>
      </c>
      <c r="B404" t="s">
        <v>310</v>
      </c>
      <c r="C404">
        <v>17</v>
      </c>
      <c r="D404" s="1">
        <v>45862</v>
      </c>
      <c r="E404">
        <v>7700</v>
      </c>
      <c r="F404" t="s">
        <v>607</v>
      </c>
      <c r="G404">
        <v>778</v>
      </c>
    </row>
    <row r="405" spans="1:7" x14ac:dyDescent="0.3">
      <c r="A405" t="s">
        <v>1039</v>
      </c>
      <c r="B405" t="s">
        <v>310</v>
      </c>
      <c r="C405">
        <v>17</v>
      </c>
      <c r="D405" s="1">
        <v>45862</v>
      </c>
      <c r="E405">
        <v>7700</v>
      </c>
      <c r="F405" t="s">
        <v>488</v>
      </c>
      <c r="G405">
        <v>741</v>
      </c>
    </row>
    <row r="406" spans="1:7" x14ac:dyDescent="0.3">
      <c r="A406" t="s">
        <v>1039</v>
      </c>
      <c r="B406" t="s">
        <v>224</v>
      </c>
      <c r="C406">
        <v>17</v>
      </c>
      <c r="D406" s="1">
        <v>45861</v>
      </c>
      <c r="E406">
        <v>7700</v>
      </c>
      <c r="F406" t="s">
        <v>668</v>
      </c>
      <c r="G406">
        <v>707</v>
      </c>
    </row>
    <row r="407" spans="1:7" x14ac:dyDescent="0.3">
      <c r="A407" t="s">
        <v>1039</v>
      </c>
      <c r="B407" t="s">
        <v>235</v>
      </c>
      <c r="C407">
        <v>17</v>
      </c>
      <c r="D407" s="1">
        <v>45861</v>
      </c>
      <c r="E407">
        <v>7700</v>
      </c>
      <c r="F407" t="s">
        <v>440</v>
      </c>
      <c r="G407">
        <v>708</v>
      </c>
    </row>
    <row r="408" spans="1:7" x14ac:dyDescent="0.3">
      <c r="A408" t="s">
        <v>1039</v>
      </c>
      <c r="B408" t="s">
        <v>231</v>
      </c>
      <c r="C408">
        <v>17</v>
      </c>
      <c r="D408" s="1">
        <v>45861</v>
      </c>
      <c r="E408">
        <v>7700</v>
      </c>
      <c r="F408" t="s">
        <v>705</v>
      </c>
      <c r="G408">
        <v>675</v>
      </c>
    </row>
    <row r="409" spans="1:7" x14ac:dyDescent="0.3">
      <c r="A409" t="s">
        <v>1039</v>
      </c>
      <c r="B409" t="s">
        <v>231</v>
      </c>
      <c r="C409">
        <v>17</v>
      </c>
      <c r="D409" s="1">
        <v>45860</v>
      </c>
      <c r="E409">
        <v>7700</v>
      </c>
      <c r="F409" t="s">
        <v>554</v>
      </c>
      <c r="G409">
        <v>642</v>
      </c>
    </row>
    <row r="410" spans="1:7" x14ac:dyDescent="0.3">
      <c r="A410" t="s">
        <v>1039</v>
      </c>
      <c r="B410" t="s">
        <v>231</v>
      </c>
      <c r="C410">
        <v>17</v>
      </c>
      <c r="D410" s="1">
        <v>45860</v>
      </c>
      <c r="E410">
        <v>7700</v>
      </c>
      <c r="F410" t="s">
        <v>780</v>
      </c>
      <c r="G410">
        <v>631</v>
      </c>
    </row>
    <row r="411" spans="1:7" x14ac:dyDescent="0.3">
      <c r="A411" t="s">
        <v>1039</v>
      </c>
      <c r="B411" t="s">
        <v>233</v>
      </c>
      <c r="C411">
        <v>17</v>
      </c>
      <c r="D411" s="1">
        <v>45857</v>
      </c>
      <c r="E411">
        <v>7700</v>
      </c>
      <c r="F411" t="s">
        <v>478</v>
      </c>
      <c r="G411">
        <v>725</v>
      </c>
    </row>
    <row r="412" spans="1:7" x14ac:dyDescent="0.3">
      <c r="A412" t="s">
        <v>1039</v>
      </c>
      <c r="B412" t="s">
        <v>309</v>
      </c>
      <c r="C412">
        <v>17</v>
      </c>
      <c r="D412" s="1">
        <v>45859</v>
      </c>
      <c r="E412">
        <v>7700</v>
      </c>
      <c r="F412" t="s">
        <v>575</v>
      </c>
      <c r="G412">
        <v>544</v>
      </c>
    </row>
    <row r="413" spans="1:7" x14ac:dyDescent="0.3">
      <c r="A413" t="s">
        <v>1039</v>
      </c>
      <c r="B413" t="s">
        <v>228</v>
      </c>
      <c r="C413">
        <v>17</v>
      </c>
      <c r="D413" s="1">
        <v>45859</v>
      </c>
      <c r="E413">
        <v>7700</v>
      </c>
      <c r="F413" t="s">
        <v>816</v>
      </c>
      <c r="G413">
        <v>1087</v>
      </c>
    </row>
    <row r="414" spans="1:7" x14ac:dyDescent="0.3">
      <c r="A414" t="s">
        <v>1039</v>
      </c>
      <c r="B414" t="s">
        <v>309</v>
      </c>
      <c r="C414">
        <v>17</v>
      </c>
      <c r="D414" s="1">
        <v>45858</v>
      </c>
      <c r="E414">
        <v>7700</v>
      </c>
      <c r="F414" t="s">
        <v>557</v>
      </c>
      <c r="G414">
        <v>518</v>
      </c>
    </row>
    <row r="415" spans="1:7" x14ac:dyDescent="0.3">
      <c r="A415" t="s">
        <v>1039</v>
      </c>
      <c r="B415" t="s">
        <v>235</v>
      </c>
      <c r="C415">
        <v>17</v>
      </c>
      <c r="D415" s="1">
        <v>45858</v>
      </c>
      <c r="E415">
        <v>7700</v>
      </c>
      <c r="F415" t="s">
        <v>971</v>
      </c>
      <c r="G415">
        <v>634</v>
      </c>
    </row>
    <row r="416" spans="1:7" x14ac:dyDescent="0.3">
      <c r="A416" t="s">
        <v>1039</v>
      </c>
      <c r="B416" t="s">
        <v>226</v>
      </c>
      <c r="C416">
        <v>17</v>
      </c>
      <c r="D416" s="1">
        <v>45858</v>
      </c>
      <c r="E416">
        <v>7700</v>
      </c>
      <c r="F416" t="s">
        <v>911</v>
      </c>
      <c r="G416">
        <v>482</v>
      </c>
    </row>
    <row r="417" spans="1:7" x14ac:dyDescent="0.3">
      <c r="A417" t="s">
        <v>1039</v>
      </c>
      <c r="B417" t="s">
        <v>309</v>
      </c>
      <c r="C417">
        <v>17</v>
      </c>
      <c r="D417" s="1">
        <v>45857</v>
      </c>
      <c r="E417">
        <v>7700</v>
      </c>
      <c r="F417" t="s">
        <v>450</v>
      </c>
      <c r="G417">
        <v>463</v>
      </c>
    </row>
    <row r="418" spans="1:7" x14ac:dyDescent="0.3">
      <c r="A418" t="s">
        <v>1039</v>
      </c>
      <c r="B418" t="s">
        <v>230</v>
      </c>
      <c r="C418">
        <v>17</v>
      </c>
      <c r="D418" s="1">
        <v>45857</v>
      </c>
      <c r="E418">
        <v>7700</v>
      </c>
      <c r="F418" t="s">
        <v>905</v>
      </c>
      <c r="G418">
        <v>419</v>
      </c>
    </row>
    <row r="419" spans="1:7" x14ac:dyDescent="0.3">
      <c r="A419" t="s">
        <v>1039</v>
      </c>
      <c r="B419" t="s">
        <v>309</v>
      </c>
      <c r="C419">
        <v>17</v>
      </c>
      <c r="D419" s="1">
        <v>45857</v>
      </c>
      <c r="E419">
        <v>7700</v>
      </c>
      <c r="F419" t="s">
        <v>925</v>
      </c>
      <c r="G419">
        <v>423</v>
      </c>
    </row>
    <row r="420" spans="1:7" x14ac:dyDescent="0.3">
      <c r="A420" t="s">
        <v>1039</v>
      </c>
      <c r="B420" t="s">
        <v>309</v>
      </c>
      <c r="C420">
        <v>17</v>
      </c>
      <c r="D420" s="1">
        <v>45857</v>
      </c>
      <c r="E420">
        <v>7700</v>
      </c>
      <c r="F420" t="s">
        <v>934</v>
      </c>
      <c r="G420">
        <v>387</v>
      </c>
    </row>
    <row r="421" spans="1:7" x14ac:dyDescent="0.3">
      <c r="A421" t="s">
        <v>1039</v>
      </c>
      <c r="B421" t="s">
        <v>229</v>
      </c>
      <c r="C421">
        <v>17</v>
      </c>
      <c r="D421" s="1">
        <v>45856</v>
      </c>
      <c r="E421">
        <v>7700</v>
      </c>
      <c r="F421" t="s">
        <v>646</v>
      </c>
      <c r="G421">
        <v>398</v>
      </c>
    </row>
    <row r="422" spans="1:7" x14ac:dyDescent="0.3">
      <c r="A422" t="s">
        <v>1039</v>
      </c>
      <c r="B422" t="s">
        <v>233</v>
      </c>
      <c r="C422">
        <v>17</v>
      </c>
      <c r="D422" s="1">
        <v>45855</v>
      </c>
      <c r="E422">
        <v>7700</v>
      </c>
      <c r="F422" t="s">
        <v>796</v>
      </c>
      <c r="G422">
        <v>381</v>
      </c>
    </row>
    <row r="423" spans="1:7" x14ac:dyDescent="0.3">
      <c r="A423" t="s">
        <v>1039</v>
      </c>
      <c r="B423" t="s">
        <v>309</v>
      </c>
      <c r="C423">
        <v>17</v>
      </c>
      <c r="D423" s="1">
        <v>45856</v>
      </c>
      <c r="E423">
        <v>7700</v>
      </c>
      <c r="F423" t="s">
        <v>1756</v>
      </c>
      <c r="G423">
        <v>343</v>
      </c>
    </row>
    <row r="424" spans="1:7" x14ac:dyDescent="0.3">
      <c r="A424" t="s">
        <v>1039</v>
      </c>
      <c r="B424" t="s">
        <v>310</v>
      </c>
      <c r="C424">
        <v>17</v>
      </c>
      <c r="D424" s="1">
        <v>45856</v>
      </c>
      <c r="E424">
        <v>7700</v>
      </c>
      <c r="F424" t="s">
        <v>909</v>
      </c>
      <c r="G424">
        <v>373</v>
      </c>
    </row>
    <row r="425" spans="1:7" x14ac:dyDescent="0.3">
      <c r="A425" t="s">
        <v>1039</v>
      </c>
      <c r="B425" t="s">
        <v>310</v>
      </c>
      <c r="C425">
        <v>17</v>
      </c>
      <c r="D425" s="1">
        <v>45856</v>
      </c>
      <c r="E425">
        <v>7700</v>
      </c>
      <c r="F425" t="s">
        <v>866</v>
      </c>
      <c r="G425">
        <v>337</v>
      </c>
    </row>
    <row r="426" spans="1:7" x14ac:dyDescent="0.3">
      <c r="A426" t="s">
        <v>1039</v>
      </c>
      <c r="B426" t="s">
        <v>310</v>
      </c>
      <c r="C426">
        <v>17</v>
      </c>
      <c r="D426" s="1">
        <v>45856</v>
      </c>
      <c r="E426">
        <v>7700</v>
      </c>
      <c r="F426" t="s">
        <v>845</v>
      </c>
      <c r="G426">
        <v>354</v>
      </c>
    </row>
    <row r="427" spans="1:7" x14ac:dyDescent="0.3">
      <c r="A427" t="s">
        <v>1039</v>
      </c>
      <c r="B427" t="s">
        <v>235</v>
      </c>
      <c r="C427">
        <v>17</v>
      </c>
      <c r="D427" s="1">
        <v>45855</v>
      </c>
      <c r="E427">
        <v>7700</v>
      </c>
      <c r="F427" t="s">
        <v>976</v>
      </c>
      <c r="G427">
        <v>323</v>
      </c>
    </row>
    <row r="428" spans="1:7" x14ac:dyDescent="0.3">
      <c r="A428" t="s">
        <v>1039</v>
      </c>
      <c r="B428" t="s">
        <v>310</v>
      </c>
      <c r="C428">
        <v>17</v>
      </c>
      <c r="D428" s="1">
        <v>45854</v>
      </c>
      <c r="E428">
        <v>7700</v>
      </c>
      <c r="F428" t="s">
        <v>944</v>
      </c>
      <c r="G428">
        <v>308</v>
      </c>
    </row>
    <row r="429" spans="1:7" x14ac:dyDescent="0.3">
      <c r="A429" t="s">
        <v>1039</v>
      </c>
      <c r="B429" t="s">
        <v>233</v>
      </c>
      <c r="C429">
        <v>17</v>
      </c>
      <c r="D429" s="1">
        <v>45855</v>
      </c>
      <c r="E429">
        <v>7700</v>
      </c>
      <c r="F429" t="s">
        <v>1765</v>
      </c>
      <c r="G429">
        <v>290</v>
      </c>
    </row>
    <row r="430" spans="1:7" x14ac:dyDescent="0.3">
      <c r="A430" t="s">
        <v>1039</v>
      </c>
      <c r="B430" t="s">
        <v>310</v>
      </c>
      <c r="C430">
        <v>17</v>
      </c>
      <c r="D430" s="1">
        <v>45854</v>
      </c>
      <c r="E430">
        <v>7700</v>
      </c>
      <c r="F430" t="s">
        <v>974</v>
      </c>
      <c r="G430">
        <v>242</v>
      </c>
    </row>
    <row r="431" spans="1:7" x14ac:dyDescent="0.3">
      <c r="A431" t="s">
        <v>1039</v>
      </c>
      <c r="B431" t="s">
        <v>436</v>
      </c>
      <c r="C431">
        <v>17</v>
      </c>
      <c r="D431" s="1">
        <v>45854</v>
      </c>
      <c r="E431">
        <v>7700</v>
      </c>
      <c r="F431" t="s">
        <v>849</v>
      </c>
      <c r="G431">
        <v>224</v>
      </c>
    </row>
    <row r="432" spans="1:7" x14ac:dyDescent="0.3">
      <c r="A432" t="s">
        <v>1039</v>
      </c>
      <c r="B432" t="s">
        <v>231</v>
      </c>
      <c r="C432">
        <v>17</v>
      </c>
      <c r="D432" s="1">
        <v>45856</v>
      </c>
      <c r="E432">
        <v>0</v>
      </c>
      <c r="F432" t="s">
        <v>922</v>
      </c>
      <c r="G432">
        <v>401</v>
      </c>
    </row>
    <row r="433" spans="1:7" x14ac:dyDescent="0.3">
      <c r="A433" t="s">
        <v>1039</v>
      </c>
      <c r="B433" t="s">
        <v>233</v>
      </c>
      <c r="C433">
        <v>17</v>
      </c>
      <c r="D433" s="1">
        <v>45854</v>
      </c>
      <c r="E433">
        <v>0</v>
      </c>
      <c r="F433" t="s">
        <v>935</v>
      </c>
      <c r="G433">
        <v>225</v>
      </c>
    </row>
    <row r="434" spans="1:7" x14ac:dyDescent="0.3">
      <c r="A434" t="s">
        <v>1039</v>
      </c>
      <c r="B434" t="s">
        <v>310</v>
      </c>
      <c r="C434">
        <v>18</v>
      </c>
      <c r="D434" s="1">
        <v>45855</v>
      </c>
      <c r="E434">
        <v>243100</v>
      </c>
      <c r="F434" t="s">
        <v>1735</v>
      </c>
      <c r="G434">
        <v>470</v>
      </c>
    </row>
    <row r="435" spans="1:7" x14ac:dyDescent="0.3">
      <c r="A435" t="s">
        <v>1039</v>
      </c>
      <c r="B435" t="s">
        <v>234</v>
      </c>
      <c r="C435">
        <v>18</v>
      </c>
      <c r="D435" s="1">
        <v>45855</v>
      </c>
      <c r="E435">
        <v>227700</v>
      </c>
      <c r="F435" t="s">
        <v>623</v>
      </c>
      <c r="G435">
        <v>344</v>
      </c>
    </row>
    <row r="436" spans="1:7" x14ac:dyDescent="0.3">
      <c r="A436" t="s">
        <v>1039</v>
      </c>
      <c r="B436" t="s">
        <v>309</v>
      </c>
      <c r="C436">
        <v>18</v>
      </c>
      <c r="D436" s="1">
        <v>45857</v>
      </c>
      <c r="E436">
        <v>88000</v>
      </c>
      <c r="F436" t="s">
        <v>910</v>
      </c>
      <c r="G436">
        <v>521</v>
      </c>
    </row>
    <row r="437" spans="1:7" x14ac:dyDescent="0.3">
      <c r="A437" t="s">
        <v>1039</v>
      </c>
      <c r="B437" t="s">
        <v>236</v>
      </c>
      <c r="C437">
        <v>18</v>
      </c>
      <c r="D437" s="1">
        <v>45860</v>
      </c>
      <c r="E437">
        <v>83600</v>
      </c>
      <c r="F437" t="s">
        <v>638</v>
      </c>
      <c r="G437">
        <v>754</v>
      </c>
    </row>
    <row r="438" spans="1:7" x14ac:dyDescent="0.3">
      <c r="A438" t="s">
        <v>1039</v>
      </c>
      <c r="B438" t="s">
        <v>309</v>
      </c>
      <c r="C438">
        <v>18</v>
      </c>
      <c r="D438" s="1">
        <v>45864</v>
      </c>
      <c r="E438">
        <v>73700</v>
      </c>
      <c r="F438" t="s">
        <v>665</v>
      </c>
      <c r="G438">
        <v>1179</v>
      </c>
    </row>
    <row r="439" spans="1:7" x14ac:dyDescent="0.3">
      <c r="A439" t="s">
        <v>1039</v>
      </c>
      <c r="B439" t="s">
        <v>310</v>
      </c>
      <c r="C439">
        <v>18</v>
      </c>
      <c r="D439" s="1">
        <v>45859</v>
      </c>
      <c r="E439">
        <v>73700</v>
      </c>
      <c r="F439" t="s">
        <v>688</v>
      </c>
      <c r="G439">
        <v>598</v>
      </c>
    </row>
    <row r="440" spans="1:7" x14ac:dyDescent="0.3">
      <c r="A440" t="s">
        <v>1039</v>
      </c>
      <c r="B440" t="s">
        <v>310</v>
      </c>
      <c r="C440">
        <v>18</v>
      </c>
      <c r="D440" s="1">
        <v>45855</v>
      </c>
      <c r="E440">
        <v>73700</v>
      </c>
      <c r="F440" t="s">
        <v>863</v>
      </c>
      <c r="G440">
        <v>377</v>
      </c>
    </row>
    <row r="441" spans="1:7" x14ac:dyDescent="0.3">
      <c r="A441" t="s">
        <v>1039</v>
      </c>
      <c r="B441" t="s">
        <v>233</v>
      </c>
      <c r="C441">
        <v>18</v>
      </c>
      <c r="D441" s="1">
        <v>45858</v>
      </c>
      <c r="E441">
        <v>69300</v>
      </c>
      <c r="F441" t="s">
        <v>682</v>
      </c>
      <c r="G441">
        <v>504</v>
      </c>
    </row>
    <row r="442" spans="1:7" x14ac:dyDescent="0.3">
      <c r="A442" t="s">
        <v>1039</v>
      </c>
      <c r="B442" t="s">
        <v>310</v>
      </c>
      <c r="C442">
        <v>18</v>
      </c>
      <c r="D442" s="1">
        <v>45855</v>
      </c>
      <c r="E442">
        <v>63800</v>
      </c>
      <c r="F442" t="s">
        <v>868</v>
      </c>
      <c r="G442">
        <v>402</v>
      </c>
    </row>
    <row r="443" spans="1:7" x14ac:dyDescent="0.3">
      <c r="A443" t="s">
        <v>1039</v>
      </c>
      <c r="B443" t="s">
        <v>310</v>
      </c>
      <c r="C443">
        <v>18</v>
      </c>
      <c r="D443" s="1">
        <v>45869</v>
      </c>
      <c r="E443">
        <v>62700</v>
      </c>
      <c r="F443" t="s">
        <v>1056</v>
      </c>
      <c r="G443">
        <v>1548</v>
      </c>
    </row>
    <row r="444" spans="1:7" x14ac:dyDescent="0.3">
      <c r="A444" t="s">
        <v>1039</v>
      </c>
      <c r="B444" t="s">
        <v>310</v>
      </c>
      <c r="C444">
        <v>18</v>
      </c>
      <c r="D444" s="1">
        <v>45856</v>
      </c>
      <c r="E444">
        <v>62700</v>
      </c>
      <c r="F444" t="s">
        <v>874</v>
      </c>
      <c r="G444">
        <v>387</v>
      </c>
    </row>
    <row r="445" spans="1:7" x14ac:dyDescent="0.3">
      <c r="A445" t="s">
        <v>1039</v>
      </c>
      <c r="B445" t="s">
        <v>233</v>
      </c>
      <c r="C445">
        <v>18</v>
      </c>
      <c r="D445" s="1">
        <v>45857</v>
      </c>
      <c r="E445">
        <v>58300</v>
      </c>
      <c r="F445" t="s">
        <v>515</v>
      </c>
      <c r="G445">
        <v>536</v>
      </c>
    </row>
    <row r="446" spans="1:7" x14ac:dyDescent="0.3">
      <c r="A446" t="s">
        <v>1039</v>
      </c>
      <c r="B446" t="s">
        <v>310</v>
      </c>
      <c r="C446">
        <v>18</v>
      </c>
      <c r="D446" s="1">
        <v>45859</v>
      </c>
      <c r="E446">
        <v>57200</v>
      </c>
      <c r="F446" t="s">
        <v>839</v>
      </c>
      <c r="G446">
        <v>643</v>
      </c>
    </row>
    <row r="447" spans="1:7" x14ac:dyDescent="0.3">
      <c r="A447" t="s">
        <v>1039</v>
      </c>
      <c r="B447" t="s">
        <v>1040</v>
      </c>
      <c r="C447">
        <v>18</v>
      </c>
      <c r="D447" s="1">
        <v>45863</v>
      </c>
      <c r="E447">
        <v>52800</v>
      </c>
      <c r="F447" t="s">
        <v>1511</v>
      </c>
      <c r="G447">
        <v>1053</v>
      </c>
    </row>
    <row r="448" spans="1:7" x14ac:dyDescent="0.3">
      <c r="A448" t="s">
        <v>1039</v>
      </c>
      <c r="B448" t="s">
        <v>309</v>
      </c>
      <c r="C448">
        <v>18</v>
      </c>
      <c r="D448" s="1">
        <v>45862</v>
      </c>
      <c r="E448">
        <v>52800</v>
      </c>
      <c r="F448" t="s">
        <v>1619</v>
      </c>
      <c r="G448">
        <v>977</v>
      </c>
    </row>
    <row r="449" spans="1:7" x14ac:dyDescent="0.3">
      <c r="A449" t="s">
        <v>1039</v>
      </c>
      <c r="B449" t="s">
        <v>233</v>
      </c>
      <c r="C449">
        <v>18</v>
      </c>
      <c r="D449" s="1">
        <v>45855</v>
      </c>
      <c r="E449">
        <v>52800</v>
      </c>
      <c r="F449" t="s">
        <v>884</v>
      </c>
      <c r="G449">
        <v>391</v>
      </c>
    </row>
    <row r="450" spans="1:7" x14ac:dyDescent="0.3">
      <c r="A450" t="s">
        <v>1039</v>
      </c>
      <c r="B450" t="s">
        <v>234</v>
      </c>
      <c r="C450">
        <v>18</v>
      </c>
      <c r="D450" s="1">
        <v>45863</v>
      </c>
      <c r="E450">
        <v>51700</v>
      </c>
      <c r="F450" t="s">
        <v>556</v>
      </c>
      <c r="G450">
        <v>908</v>
      </c>
    </row>
    <row r="451" spans="1:7" x14ac:dyDescent="0.3">
      <c r="A451" t="s">
        <v>1039</v>
      </c>
      <c r="B451" t="s">
        <v>310</v>
      </c>
      <c r="C451">
        <v>18</v>
      </c>
      <c r="D451" s="1">
        <v>45862</v>
      </c>
      <c r="E451">
        <v>51700</v>
      </c>
      <c r="F451" t="s">
        <v>801</v>
      </c>
      <c r="G451">
        <v>879</v>
      </c>
    </row>
    <row r="452" spans="1:7" x14ac:dyDescent="0.3">
      <c r="A452" t="s">
        <v>1039</v>
      </c>
      <c r="B452" t="s">
        <v>311</v>
      </c>
      <c r="C452">
        <v>18</v>
      </c>
      <c r="D452" s="1">
        <v>45863</v>
      </c>
      <c r="E452">
        <v>47300</v>
      </c>
      <c r="F452" t="s">
        <v>1580</v>
      </c>
      <c r="G452">
        <v>990</v>
      </c>
    </row>
    <row r="453" spans="1:7" x14ac:dyDescent="0.3">
      <c r="A453" t="s">
        <v>1039</v>
      </c>
      <c r="B453" t="s">
        <v>309</v>
      </c>
      <c r="C453">
        <v>18</v>
      </c>
      <c r="D453" s="1">
        <v>45867</v>
      </c>
      <c r="E453">
        <v>46200</v>
      </c>
      <c r="F453" t="s">
        <v>1070</v>
      </c>
      <c r="G453">
        <v>1515</v>
      </c>
    </row>
    <row r="454" spans="1:7" x14ac:dyDescent="0.3">
      <c r="A454" t="s">
        <v>1039</v>
      </c>
      <c r="B454" t="s">
        <v>229</v>
      </c>
      <c r="C454">
        <v>18</v>
      </c>
      <c r="D454" s="1">
        <v>45867</v>
      </c>
      <c r="E454">
        <v>42900</v>
      </c>
      <c r="F454" t="s">
        <v>1316</v>
      </c>
      <c r="G454">
        <v>1259</v>
      </c>
    </row>
    <row r="455" spans="1:7" x14ac:dyDescent="0.3">
      <c r="A455" t="s">
        <v>1039</v>
      </c>
      <c r="B455" t="s">
        <v>236</v>
      </c>
      <c r="C455">
        <v>18</v>
      </c>
      <c r="D455" s="1">
        <v>45863</v>
      </c>
      <c r="E455">
        <v>41800</v>
      </c>
      <c r="F455" t="s">
        <v>1424</v>
      </c>
      <c r="G455">
        <v>1168</v>
      </c>
    </row>
    <row r="456" spans="1:7" x14ac:dyDescent="0.3">
      <c r="A456" t="s">
        <v>1039</v>
      </c>
      <c r="B456" t="s">
        <v>310</v>
      </c>
      <c r="C456">
        <v>18</v>
      </c>
      <c r="D456" s="1">
        <v>45856</v>
      </c>
      <c r="E456">
        <v>40700</v>
      </c>
      <c r="F456" t="s">
        <v>746</v>
      </c>
      <c r="G456">
        <v>429</v>
      </c>
    </row>
    <row r="457" spans="1:7" x14ac:dyDescent="0.3">
      <c r="A457" t="s">
        <v>1039</v>
      </c>
      <c r="B457" t="s">
        <v>311</v>
      </c>
      <c r="C457">
        <v>18</v>
      </c>
      <c r="D457" s="1">
        <v>45855</v>
      </c>
      <c r="E457">
        <v>40700</v>
      </c>
      <c r="F457" t="s">
        <v>929</v>
      </c>
      <c r="G457">
        <v>395</v>
      </c>
    </row>
    <row r="458" spans="1:7" x14ac:dyDescent="0.3">
      <c r="A458" t="s">
        <v>1039</v>
      </c>
      <c r="B458" t="s">
        <v>310</v>
      </c>
      <c r="C458">
        <v>18</v>
      </c>
      <c r="D458" s="1">
        <v>45855</v>
      </c>
      <c r="E458">
        <v>39600</v>
      </c>
      <c r="F458" t="s">
        <v>923</v>
      </c>
      <c r="G458">
        <v>342</v>
      </c>
    </row>
    <row r="459" spans="1:7" x14ac:dyDescent="0.3">
      <c r="A459" t="s">
        <v>1039</v>
      </c>
      <c r="B459" t="s">
        <v>310</v>
      </c>
      <c r="C459">
        <v>18</v>
      </c>
      <c r="D459" s="1">
        <v>45857</v>
      </c>
      <c r="E459">
        <v>37400</v>
      </c>
      <c r="F459" t="s">
        <v>1739</v>
      </c>
      <c r="G459">
        <v>457</v>
      </c>
    </row>
    <row r="460" spans="1:7" x14ac:dyDescent="0.3">
      <c r="A460" t="s">
        <v>1039</v>
      </c>
      <c r="B460" t="s">
        <v>310</v>
      </c>
      <c r="C460">
        <v>18</v>
      </c>
      <c r="D460" s="1">
        <v>45859</v>
      </c>
      <c r="E460">
        <v>36300</v>
      </c>
      <c r="F460" t="s">
        <v>759</v>
      </c>
      <c r="G460">
        <v>646</v>
      </c>
    </row>
    <row r="461" spans="1:7" x14ac:dyDescent="0.3">
      <c r="A461" t="s">
        <v>1039</v>
      </c>
      <c r="B461" t="s">
        <v>233</v>
      </c>
      <c r="C461">
        <v>18</v>
      </c>
      <c r="D461" s="1">
        <v>45857</v>
      </c>
      <c r="E461">
        <v>35200</v>
      </c>
      <c r="F461" t="s">
        <v>936</v>
      </c>
      <c r="G461">
        <v>480</v>
      </c>
    </row>
    <row r="462" spans="1:7" x14ac:dyDescent="0.3">
      <c r="A462" t="s">
        <v>1039</v>
      </c>
      <c r="B462" t="s">
        <v>310</v>
      </c>
      <c r="C462">
        <v>18</v>
      </c>
      <c r="D462" s="1">
        <v>45868</v>
      </c>
      <c r="E462">
        <v>34100</v>
      </c>
      <c r="F462" t="s">
        <v>1175</v>
      </c>
      <c r="G462">
        <v>1431</v>
      </c>
    </row>
    <row r="463" spans="1:7" x14ac:dyDescent="0.3">
      <c r="A463" t="s">
        <v>1039</v>
      </c>
      <c r="B463" t="s">
        <v>310</v>
      </c>
      <c r="C463">
        <v>18</v>
      </c>
      <c r="D463" s="1">
        <v>45859</v>
      </c>
      <c r="E463">
        <v>29700</v>
      </c>
      <c r="F463" t="s">
        <v>714</v>
      </c>
      <c r="G463">
        <v>743</v>
      </c>
    </row>
    <row r="464" spans="1:7" x14ac:dyDescent="0.3">
      <c r="A464" t="s">
        <v>1039</v>
      </c>
      <c r="B464" t="s">
        <v>233</v>
      </c>
      <c r="C464">
        <v>18</v>
      </c>
      <c r="D464" s="1">
        <v>45858</v>
      </c>
      <c r="E464">
        <v>29700</v>
      </c>
      <c r="F464" t="s">
        <v>710</v>
      </c>
      <c r="G464">
        <v>586</v>
      </c>
    </row>
    <row r="465" spans="1:7" x14ac:dyDescent="0.3">
      <c r="A465" t="s">
        <v>1039</v>
      </c>
      <c r="B465" t="s">
        <v>224</v>
      </c>
      <c r="C465">
        <v>18</v>
      </c>
      <c r="D465" s="1">
        <v>45857</v>
      </c>
      <c r="E465">
        <v>29700</v>
      </c>
      <c r="F465" t="s">
        <v>1732</v>
      </c>
      <c r="G465">
        <v>1056</v>
      </c>
    </row>
    <row r="466" spans="1:7" x14ac:dyDescent="0.3">
      <c r="A466" t="s">
        <v>1039</v>
      </c>
      <c r="B466" t="s">
        <v>310</v>
      </c>
      <c r="C466">
        <v>18</v>
      </c>
      <c r="D466" s="1">
        <v>45856</v>
      </c>
      <c r="E466">
        <v>29700</v>
      </c>
      <c r="F466" t="s">
        <v>875</v>
      </c>
      <c r="G466">
        <v>387</v>
      </c>
    </row>
    <row r="467" spans="1:7" x14ac:dyDescent="0.3">
      <c r="A467" t="s">
        <v>1039</v>
      </c>
      <c r="B467" t="s">
        <v>311</v>
      </c>
      <c r="C467">
        <v>18</v>
      </c>
      <c r="D467" s="1">
        <v>45870</v>
      </c>
      <c r="E467">
        <v>27500</v>
      </c>
      <c r="F467" t="s">
        <v>1054</v>
      </c>
      <c r="G467">
        <v>1530</v>
      </c>
    </row>
    <row r="468" spans="1:7" x14ac:dyDescent="0.3">
      <c r="A468" t="s">
        <v>1039</v>
      </c>
      <c r="B468" t="s">
        <v>233</v>
      </c>
      <c r="C468">
        <v>18</v>
      </c>
      <c r="D468" s="1">
        <v>45864</v>
      </c>
      <c r="E468">
        <v>27500</v>
      </c>
      <c r="F468" t="s">
        <v>1112</v>
      </c>
      <c r="G468">
        <v>1487</v>
      </c>
    </row>
    <row r="469" spans="1:7" x14ac:dyDescent="0.3">
      <c r="A469" t="s">
        <v>1039</v>
      </c>
      <c r="B469" t="s">
        <v>310</v>
      </c>
      <c r="C469">
        <v>18</v>
      </c>
      <c r="D469" s="1">
        <v>45863</v>
      </c>
      <c r="E469">
        <v>27500</v>
      </c>
      <c r="F469" t="s">
        <v>1570</v>
      </c>
      <c r="G469">
        <v>954</v>
      </c>
    </row>
    <row r="470" spans="1:7" x14ac:dyDescent="0.3">
      <c r="A470" t="s">
        <v>1039</v>
      </c>
      <c r="B470" t="s">
        <v>310</v>
      </c>
      <c r="C470">
        <v>18</v>
      </c>
      <c r="D470" s="1">
        <v>45854</v>
      </c>
      <c r="E470">
        <v>27500</v>
      </c>
      <c r="F470" t="s">
        <v>902</v>
      </c>
      <c r="G470">
        <v>287</v>
      </c>
    </row>
    <row r="471" spans="1:7" x14ac:dyDescent="0.3">
      <c r="A471" t="s">
        <v>1039</v>
      </c>
      <c r="B471" t="s">
        <v>310</v>
      </c>
      <c r="C471">
        <v>18</v>
      </c>
      <c r="D471" s="1">
        <v>45854</v>
      </c>
      <c r="E471">
        <v>26400</v>
      </c>
      <c r="F471" t="s">
        <v>899</v>
      </c>
      <c r="G471">
        <v>319</v>
      </c>
    </row>
    <row r="472" spans="1:7" x14ac:dyDescent="0.3">
      <c r="A472" t="s">
        <v>1039</v>
      </c>
      <c r="B472" t="s">
        <v>310</v>
      </c>
      <c r="C472">
        <v>18</v>
      </c>
      <c r="D472" s="1">
        <v>45864</v>
      </c>
      <c r="E472">
        <v>25300</v>
      </c>
      <c r="F472" t="s">
        <v>1526</v>
      </c>
      <c r="G472">
        <v>1029</v>
      </c>
    </row>
    <row r="473" spans="1:7" x14ac:dyDescent="0.3">
      <c r="A473" t="s">
        <v>1039</v>
      </c>
      <c r="B473" t="s">
        <v>310</v>
      </c>
      <c r="C473">
        <v>18</v>
      </c>
      <c r="D473" s="1">
        <v>45854</v>
      </c>
      <c r="E473">
        <v>25300</v>
      </c>
      <c r="F473" t="s">
        <v>1764</v>
      </c>
      <c r="G473">
        <v>295</v>
      </c>
    </row>
    <row r="474" spans="1:7" x14ac:dyDescent="0.3">
      <c r="A474" t="s">
        <v>1039</v>
      </c>
      <c r="B474" t="s">
        <v>309</v>
      </c>
      <c r="C474">
        <v>18</v>
      </c>
      <c r="D474" s="1">
        <v>45869</v>
      </c>
      <c r="E474">
        <v>22000</v>
      </c>
      <c r="F474" t="s">
        <v>1147</v>
      </c>
      <c r="G474">
        <v>1449</v>
      </c>
    </row>
    <row r="475" spans="1:7" x14ac:dyDescent="0.3">
      <c r="A475" t="s">
        <v>1039</v>
      </c>
      <c r="B475" t="s">
        <v>311</v>
      </c>
      <c r="C475">
        <v>18</v>
      </c>
      <c r="D475" s="1">
        <v>45862</v>
      </c>
      <c r="E475">
        <v>19800</v>
      </c>
      <c r="F475" t="s">
        <v>533</v>
      </c>
      <c r="G475">
        <v>885</v>
      </c>
    </row>
    <row r="476" spans="1:7" x14ac:dyDescent="0.3">
      <c r="A476" t="s">
        <v>1039</v>
      </c>
      <c r="B476" t="s">
        <v>230</v>
      </c>
      <c r="C476">
        <v>18</v>
      </c>
      <c r="D476" s="1">
        <v>45868</v>
      </c>
      <c r="E476">
        <v>18700</v>
      </c>
      <c r="F476" t="s">
        <v>1131</v>
      </c>
      <c r="G476">
        <v>1456</v>
      </c>
    </row>
    <row r="477" spans="1:7" x14ac:dyDescent="0.3">
      <c r="A477" t="s">
        <v>1039</v>
      </c>
      <c r="B477" t="s">
        <v>309</v>
      </c>
      <c r="C477">
        <v>18</v>
      </c>
      <c r="D477" s="1">
        <v>45865</v>
      </c>
      <c r="E477">
        <v>18700</v>
      </c>
      <c r="F477" t="s">
        <v>1471</v>
      </c>
      <c r="G477">
        <v>1117</v>
      </c>
    </row>
    <row r="478" spans="1:7" x14ac:dyDescent="0.3">
      <c r="A478" t="s">
        <v>1039</v>
      </c>
      <c r="B478" t="s">
        <v>311</v>
      </c>
      <c r="C478">
        <v>18</v>
      </c>
      <c r="D478" s="1">
        <v>45856</v>
      </c>
      <c r="E478">
        <v>16500</v>
      </c>
      <c r="F478" t="s">
        <v>833</v>
      </c>
      <c r="G478">
        <v>420</v>
      </c>
    </row>
    <row r="479" spans="1:7" x14ac:dyDescent="0.3">
      <c r="A479" t="s">
        <v>1039</v>
      </c>
      <c r="B479" t="s">
        <v>309</v>
      </c>
      <c r="C479">
        <v>18</v>
      </c>
      <c r="D479" s="1">
        <v>45865</v>
      </c>
      <c r="E479">
        <v>14300</v>
      </c>
      <c r="F479" t="s">
        <v>442</v>
      </c>
      <c r="G479">
        <v>1136</v>
      </c>
    </row>
    <row r="480" spans="1:7" x14ac:dyDescent="0.3">
      <c r="A480" t="s">
        <v>1039</v>
      </c>
      <c r="B480" t="s">
        <v>310</v>
      </c>
      <c r="C480">
        <v>18</v>
      </c>
      <c r="D480" s="1">
        <v>45861</v>
      </c>
      <c r="E480">
        <v>14300</v>
      </c>
      <c r="F480" t="s">
        <v>626</v>
      </c>
      <c r="G480">
        <v>803</v>
      </c>
    </row>
    <row r="481" spans="1:7" x14ac:dyDescent="0.3">
      <c r="A481" t="s">
        <v>1039</v>
      </c>
      <c r="B481" t="s">
        <v>231</v>
      </c>
      <c r="C481">
        <v>18</v>
      </c>
      <c r="D481" s="1">
        <v>45854</v>
      </c>
      <c r="E481">
        <v>14300</v>
      </c>
      <c r="F481" t="s">
        <v>1725</v>
      </c>
      <c r="G481">
        <v>577</v>
      </c>
    </row>
    <row r="482" spans="1:7" x14ac:dyDescent="0.3">
      <c r="A482" t="s">
        <v>1039</v>
      </c>
      <c r="B482" t="s">
        <v>231</v>
      </c>
      <c r="C482">
        <v>18</v>
      </c>
      <c r="D482" s="1">
        <v>45855</v>
      </c>
      <c r="E482">
        <v>14300</v>
      </c>
      <c r="F482" t="s">
        <v>953</v>
      </c>
      <c r="G482">
        <v>351</v>
      </c>
    </row>
    <row r="483" spans="1:7" x14ac:dyDescent="0.3">
      <c r="A483" t="s">
        <v>1039</v>
      </c>
      <c r="B483" t="s">
        <v>233</v>
      </c>
      <c r="C483">
        <v>18</v>
      </c>
      <c r="D483" s="1">
        <v>45856</v>
      </c>
      <c r="E483">
        <v>13200</v>
      </c>
      <c r="F483" t="s">
        <v>889</v>
      </c>
      <c r="G483">
        <v>399</v>
      </c>
    </row>
    <row r="484" spans="1:7" x14ac:dyDescent="0.3">
      <c r="A484" t="s">
        <v>1039</v>
      </c>
      <c r="B484" t="s">
        <v>309</v>
      </c>
      <c r="C484">
        <v>18</v>
      </c>
      <c r="D484" s="1">
        <v>45870</v>
      </c>
      <c r="E484">
        <v>7700</v>
      </c>
      <c r="F484" t="s">
        <v>1061</v>
      </c>
      <c r="G484">
        <v>1784</v>
      </c>
    </row>
    <row r="485" spans="1:7" x14ac:dyDescent="0.3">
      <c r="A485" t="s">
        <v>1039</v>
      </c>
      <c r="B485" t="s">
        <v>310</v>
      </c>
      <c r="C485">
        <v>18</v>
      </c>
      <c r="D485" s="1">
        <v>45870</v>
      </c>
      <c r="E485">
        <v>7700</v>
      </c>
      <c r="F485" t="s">
        <v>1101</v>
      </c>
      <c r="G485">
        <v>1498</v>
      </c>
    </row>
    <row r="486" spans="1:7" x14ac:dyDescent="0.3">
      <c r="A486" t="s">
        <v>1039</v>
      </c>
      <c r="B486" t="s">
        <v>310</v>
      </c>
      <c r="C486">
        <v>18</v>
      </c>
      <c r="D486" s="1">
        <v>45869</v>
      </c>
      <c r="E486">
        <v>7700</v>
      </c>
      <c r="F486" t="s">
        <v>1159</v>
      </c>
      <c r="G486">
        <v>1428</v>
      </c>
    </row>
    <row r="487" spans="1:7" x14ac:dyDescent="0.3">
      <c r="A487" t="s">
        <v>1039</v>
      </c>
      <c r="B487" t="s">
        <v>310</v>
      </c>
      <c r="C487">
        <v>18</v>
      </c>
      <c r="D487" s="1">
        <v>45859</v>
      </c>
      <c r="E487">
        <v>7700</v>
      </c>
      <c r="F487" t="s">
        <v>1258</v>
      </c>
      <c r="G487">
        <v>1348</v>
      </c>
    </row>
    <row r="488" spans="1:7" x14ac:dyDescent="0.3">
      <c r="A488" t="s">
        <v>1039</v>
      </c>
      <c r="B488" t="s">
        <v>310</v>
      </c>
      <c r="C488">
        <v>18</v>
      </c>
      <c r="D488" s="1">
        <v>45867</v>
      </c>
      <c r="E488">
        <v>7700</v>
      </c>
      <c r="F488" t="s">
        <v>1272</v>
      </c>
      <c r="G488">
        <v>1308</v>
      </c>
    </row>
    <row r="489" spans="1:7" x14ac:dyDescent="0.3">
      <c r="A489" t="s">
        <v>1039</v>
      </c>
      <c r="B489" t="s">
        <v>309</v>
      </c>
      <c r="C489">
        <v>18</v>
      </c>
      <c r="D489" s="1">
        <v>45864</v>
      </c>
      <c r="E489">
        <v>7700</v>
      </c>
      <c r="F489" t="s">
        <v>1474</v>
      </c>
      <c r="G489">
        <v>1102</v>
      </c>
    </row>
    <row r="490" spans="1:7" x14ac:dyDescent="0.3">
      <c r="A490" t="s">
        <v>1039</v>
      </c>
      <c r="B490" t="s">
        <v>310</v>
      </c>
      <c r="C490">
        <v>18</v>
      </c>
      <c r="D490" s="1">
        <v>45863</v>
      </c>
      <c r="E490">
        <v>7700</v>
      </c>
      <c r="F490" t="s">
        <v>1493</v>
      </c>
      <c r="G490">
        <v>1073</v>
      </c>
    </row>
    <row r="491" spans="1:7" x14ac:dyDescent="0.3">
      <c r="A491" t="s">
        <v>1039</v>
      </c>
      <c r="B491" t="s">
        <v>309</v>
      </c>
      <c r="C491">
        <v>18</v>
      </c>
      <c r="D491" s="1">
        <v>45864</v>
      </c>
      <c r="E491">
        <v>7700</v>
      </c>
      <c r="F491" t="s">
        <v>1506</v>
      </c>
      <c r="G491">
        <v>1339</v>
      </c>
    </row>
    <row r="492" spans="1:7" x14ac:dyDescent="0.3">
      <c r="A492" t="s">
        <v>1039</v>
      </c>
      <c r="B492" t="s">
        <v>309</v>
      </c>
      <c r="C492">
        <v>18</v>
      </c>
      <c r="D492" s="1">
        <v>45864</v>
      </c>
      <c r="E492">
        <v>7700</v>
      </c>
      <c r="F492" t="s">
        <v>528</v>
      </c>
      <c r="G492">
        <v>1103</v>
      </c>
    </row>
    <row r="493" spans="1:7" x14ac:dyDescent="0.3">
      <c r="A493" t="s">
        <v>1039</v>
      </c>
      <c r="B493" t="s">
        <v>309</v>
      </c>
      <c r="C493">
        <v>18</v>
      </c>
      <c r="D493" s="1">
        <v>45863</v>
      </c>
      <c r="E493">
        <v>7700</v>
      </c>
      <c r="F493" t="s">
        <v>456</v>
      </c>
      <c r="G493">
        <v>1299</v>
      </c>
    </row>
    <row r="494" spans="1:7" x14ac:dyDescent="0.3">
      <c r="A494" t="s">
        <v>1039</v>
      </c>
      <c r="B494" t="s">
        <v>309</v>
      </c>
      <c r="C494">
        <v>18</v>
      </c>
      <c r="D494" s="1">
        <v>45864</v>
      </c>
      <c r="E494">
        <v>7700</v>
      </c>
      <c r="F494" t="s">
        <v>473</v>
      </c>
      <c r="G494">
        <v>1036</v>
      </c>
    </row>
    <row r="495" spans="1:7" x14ac:dyDescent="0.3">
      <c r="A495" t="s">
        <v>1039</v>
      </c>
      <c r="B495" t="s">
        <v>310</v>
      </c>
      <c r="C495">
        <v>18</v>
      </c>
      <c r="D495" s="1">
        <v>45863</v>
      </c>
      <c r="E495">
        <v>7700</v>
      </c>
      <c r="F495" t="s">
        <v>1550</v>
      </c>
      <c r="G495">
        <v>1074</v>
      </c>
    </row>
    <row r="496" spans="1:7" x14ac:dyDescent="0.3">
      <c r="A496" t="s">
        <v>1039</v>
      </c>
      <c r="B496" t="s">
        <v>309</v>
      </c>
      <c r="C496">
        <v>18</v>
      </c>
      <c r="D496" s="1">
        <v>45863</v>
      </c>
      <c r="E496">
        <v>7700</v>
      </c>
      <c r="F496" t="s">
        <v>1612</v>
      </c>
      <c r="G496">
        <v>986</v>
      </c>
    </row>
    <row r="497" spans="1:7" x14ac:dyDescent="0.3">
      <c r="A497" t="s">
        <v>1039</v>
      </c>
      <c r="B497" t="s">
        <v>233</v>
      </c>
      <c r="C497">
        <v>18</v>
      </c>
      <c r="D497" s="1">
        <v>45862</v>
      </c>
      <c r="E497">
        <v>7700</v>
      </c>
      <c r="F497" t="s">
        <v>1614</v>
      </c>
      <c r="G497">
        <v>979</v>
      </c>
    </row>
    <row r="498" spans="1:7" x14ac:dyDescent="0.3">
      <c r="A498" t="s">
        <v>1039</v>
      </c>
      <c r="B498" t="s">
        <v>309</v>
      </c>
      <c r="C498">
        <v>18</v>
      </c>
      <c r="D498" s="1">
        <v>45862</v>
      </c>
      <c r="E498">
        <v>7700</v>
      </c>
      <c r="F498" t="s">
        <v>1627</v>
      </c>
      <c r="G498">
        <v>898</v>
      </c>
    </row>
    <row r="499" spans="1:7" x14ac:dyDescent="0.3">
      <c r="A499" t="s">
        <v>1039</v>
      </c>
      <c r="B499" t="s">
        <v>310</v>
      </c>
      <c r="C499">
        <v>18</v>
      </c>
      <c r="D499" s="1">
        <v>45862</v>
      </c>
      <c r="E499">
        <v>7700</v>
      </c>
      <c r="F499" t="s">
        <v>586</v>
      </c>
      <c r="G499">
        <v>967</v>
      </c>
    </row>
    <row r="500" spans="1:7" x14ac:dyDescent="0.3">
      <c r="A500" t="s">
        <v>1039</v>
      </c>
      <c r="B500" t="s">
        <v>233</v>
      </c>
      <c r="C500">
        <v>18</v>
      </c>
      <c r="D500" s="1">
        <v>45862</v>
      </c>
      <c r="E500">
        <v>7700</v>
      </c>
      <c r="F500" t="s">
        <v>559</v>
      </c>
      <c r="G500">
        <v>826</v>
      </c>
    </row>
    <row r="501" spans="1:7" x14ac:dyDescent="0.3">
      <c r="A501" t="s">
        <v>1039</v>
      </c>
      <c r="B501" t="s">
        <v>314</v>
      </c>
      <c r="C501">
        <v>18</v>
      </c>
      <c r="D501" s="1">
        <v>45861</v>
      </c>
      <c r="E501">
        <v>7700</v>
      </c>
      <c r="F501" t="s">
        <v>648</v>
      </c>
      <c r="G501">
        <v>816</v>
      </c>
    </row>
    <row r="502" spans="1:7" x14ac:dyDescent="0.3">
      <c r="A502" t="s">
        <v>1039</v>
      </c>
      <c r="B502" t="s">
        <v>309</v>
      </c>
      <c r="C502">
        <v>18</v>
      </c>
      <c r="D502" s="1">
        <v>45861</v>
      </c>
      <c r="E502">
        <v>7700</v>
      </c>
      <c r="F502" t="s">
        <v>489</v>
      </c>
      <c r="G502">
        <v>772</v>
      </c>
    </row>
    <row r="503" spans="1:7" x14ac:dyDescent="0.3">
      <c r="A503" t="s">
        <v>1039</v>
      </c>
      <c r="B503" t="s">
        <v>310</v>
      </c>
      <c r="C503">
        <v>18</v>
      </c>
      <c r="D503" s="1">
        <v>45861</v>
      </c>
      <c r="E503">
        <v>7700</v>
      </c>
      <c r="F503" t="s">
        <v>671</v>
      </c>
      <c r="G503">
        <v>745</v>
      </c>
    </row>
    <row r="504" spans="1:7" x14ac:dyDescent="0.3">
      <c r="A504" t="s">
        <v>1039</v>
      </c>
      <c r="B504" t="s">
        <v>233</v>
      </c>
      <c r="C504">
        <v>18</v>
      </c>
      <c r="D504" s="1">
        <v>45860</v>
      </c>
      <c r="E504">
        <v>7700</v>
      </c>
      <c r="F504" t="s">
        <v>535</v>
      </c>
      <c r="G504">
        <v>806</v>
      </c>
    </row>
    <row r="505" spans="1:7" x14ac:dyDescent="0.3">
      <c r="A505" t="s">
        <v>1039</v>
      </c>
      <c r="B505" t="s">
        <v>235</v>
      </c>
      <c r="C505">
        <v>18</v>
      </c>
      <c r="D505" s="1">
        <v>45858</v>
      </c>
      <c r="E505">
        <v>7700</v>
      </c>
      <c r="F505" t="s">
        <v>1688</v>
      </c>
      <c r="G505">
        <v>723</v>
      </c>
    </row>
    <row r="506" spans="1:7" x14ac:dyDescent="0.3">
      <c r="A506" t="s">
        <v>1039</v>
      </c>
      <c r="B506" t="s">
        <v>310</v>
      </c>
      <c r="C506">
        <v>18</v>
      </c>
      <c r="D506" s="1">
        <v>45860</v>
      </c>
      <c r="E506">
        <v>7700</v>
      </c>
      <c r="F506" t="s">
        <v>1699</v>
      </c>
      <c r="G506">
        <v>651</v>
      </c>
    </row>
    <row r="507" spans="1:7" x14ac:dyDescent="0.3">
      <c r="A507" t="s">
        <v>1039</v>
      </c>
      <c r="B507" t="s">
        <v>310</v>
      </c>
      <c r="C507">
        <v>18</v>
      </c>
      <c r="D507" s="1">
        <v>45857</v>
      </c>
      <c r="E507">
        <v>7700</v>
      </c>
      <c r="F507" t="s">
        <v>576</v>
      </c>
      <c r="G507">
        <v>628</v>
      </c>
    </row>
    <row r="508" spans="1:7" x14ac:dyDescent="0.3">
      <c r="A508" t="s">
        <v>1039</v>
      </c>
      <c r="B508" t="s">
        <v>310</v>
      </c>
      <c r="C508">
        <v>18</v>
      </c>
      <c r="D508" s="1">
        <v>45858</v>
      </c>
      <c r="E508">
        <v>7700</v>
      </c>
      <c r="F508" t="s">
        <v>1707</v>
      </c>
      <c r="G508">
        <v>615</v>
      </c>
    </row>
    <row r="509" spans="1:7" x14ac:dyDescent="0.3">
      <c r="A509" t="s">
        <v>1039</v>
      </c>
      <c r="B509" t="s">
        <v>233</v>
      </c>
      <c r="C509">
        <v>18</v>
      </c>
      <c r="D509" s="1">
        <v>45858</v>
      </c>
      <c r="E509">
        <v>7700</v>
      </c>
      <c r="F509" t="s">
        <v>740</v>
      </c>
      <c r="G509">
        <v>580</v>
      </c>
    </row>
    <row r="510" spans="1:7" x14ac:dyDescent="0.3">
      <c r="A510" t="s">
        <v>1039</v>
      </c>
      <c r="B510" t="s">
        <v>233</v>
      </c>
      <c r="C510">
        <v>18</v>
      </c>
      <c r="D510" s="1">
        <v>45858</v>
      </c>
      <c r="E510">
        <v>7700</v>
      </c>
      <c r="F510" t="s">
        <v>782</v>
      </c>
      <c r="G510">
        <v>597</v>
      </c>
    </row>
    <row r="511" spans="1:7" x14ac:dyDescent="0.3">
      <c r="A511" t="s">
        <v>1039</v>
      </c>
      <c r="B511" t="s">
        <v>233</v>
      </c>
      <c r="C511">
        <v>18</v>
      </c>
      <c r="D511" s="1">
        <v>45859</v>
      </c>
      <c r="E511">
        <v>7700</v>
      </c>
      <c r="F511" t="s">
        <v>732</v>
      </c>
      <c r="G511">
        <v>597</v>
      </c>
    </row>
    <row r="512" spans="1:7" x14ac:dyDescent="0.3">
      <c r="A512" t="s">
        <v>1039</v>
      </c>
      <c r="B512" t="s">
        <v>309</v>
      </c>
      <c r="C512">
        <v>18</v>
      </c>
      <c r="D512" s="1">
        <v>45857</v>
      </c>
      <c r="E512">
        <v>7700</v>
      </c>
      <c r="F512" t="s">
        <v>552</v>
      </c>
      <c r="G512">
        <v>614</v>
      </c>
    </row>
    <row r="513" spans="1:7" x14ac:dyDescent="0.3">
      <c r="A513" t="s">
        <v>1039</v>
      </c>
      <c r="B513" t="s">
        <v>231</v>
      </c>
      <c r="C513">
        <v>18</v>
      </c>
      <c r="D513" s="1">
        <v>45858</v>
      </c>
      <c r="E513">
        <v>7700</v>
      </c>
      <c r="F513" t="s">
        <v>785</v>
      </c>
      <c r="G513">
        <v>546</v>
      </c>
    </row>
    <row r="514" spans="1:7" x14ac:dyDescent="0.3">
      <c r="A514" t="s">
        <v>1039</v>
      </c>
      <c r="B514" t="s">
        <v>309</v>
      </c>
      <c r="C514">
        <v>18</v>
      </c>
      <c r="D514" s="1">
        <v>45858</v>
      </c>
      <c r="E514">
        <v>7700</v>
      </c>
      <c r="F514" t="s">
        <v>645</v>
      </c>
      <c r="G514">
        <v>539</v>
      </c>
    </row>
    <row r="515" spans="1:7" x14ac:dyDescent="0.3">
      <c r="A515" t="s">
        <v>1039</v>
      </c>
      <c r="B515" t="s">
        <v>310</v>
      </c>
      <c r="C515">
        <v>18</v>
      </c>
      <c r="D515" s="1">
        <v>45858</v>
      </c>
      <c r="E515">
        <v>7700</v>
      </c>
      <c r="F515" t="s">
        <v>1724</v>
      </c>
      <c r="G515">
        <v>515</v>
      </c>
    </row>
    <row r="516" spans="1:7" x14ac:dyDescent="0.3">
      <c r="A516" t="s">
        <v>1039</v>
      </c>
      <c r="B516" t="s">
        <v>233</v>
      </c>
      <c r="C516">
        <v>18</v>
      </c>
      <c r="D516" s="1">
        <v>45857</v>
      </c>
      <c r="E516">
        <v>7700</v>
      </c>
      <c r="F516" t="s">
        <v>795</v>
      </c>
      <c r="G516">
        <v>555</v>
      </c>
    </row>
    <row r="517" spans="1:7" x14ac:dyDescent="0.3">
      <c r="A517" t="s">
        <v>1039</v>
      </c>
      <c r="B517" t="s">
        <v>310</v>
      </c>
      <c r="C517">
        <v>18</v>
      </c>
      <c r="D517" s="1">
        <v>45856</v>
      </c>
      <c r="E517">
        <v>7700</v>
      </c>
      <c r="F517" t="s">
        <v>758</v>
      </c>
      <c r="G517">
        <v>478</v>
      </c>
    </row>
    <row r="518" spans="1:7" x14ac:dyDescent="0.3">
      <c r="A518" t="s">
        <v>1039</v>
      </c>
      <c r="B518" t="s">
        <v>228</v>
      </c>
      <c r="C518">
        <v>18</v>
      </c>
      <c r="D518" s="1">
        <v>45856</v>
      </c>
      <c r="E518">
        <v>7700</v>
      </c>
      <c r="F518" t="s">
        <v>858</v>
      </c>
      <c r="G518">
        <v>678</v>
      </c>
    </row>
    <row r="519" spans="1:7" x14ac:dyDescent="0.3">
      <c r="A519" t="s">
        <v>1039</v>
      </c>
      <c r="B519" t="s">
        <v>233</v>
      </c>
      <c r="C519">
        <v>18</v>
      </c>
      <c r="D519" s="1">
        <v>45857</v>
      </c>
      <c r="E519">
        <v>7700</v>
      </c>
      <c r="F519" t="s">
        <v>1736</v>
      </c>
      <c r="G519">
        <v>476</v>
      </c>
    </row>
    <row r="520" spans="1:7" x14ac:dyDescent="0.3">
      <c r="A520" t="s">
        <v>1039</v>
      </c>
      <c r="B520" t="s">
        <v>309</v>
      </c>
      <c r="C520">
        <v>18</v>
      </c>
      <c r="D520" s="1">
        <v>45857</v>
      </c>
      <c r="E520">
        <v>7700</v>
      </c>
      <c r="F520" t="s">
        <v>798</v>
      </c>
      <c r="G520">
        <v>458</v>
      </c>
    </row>
    <row r="521" spans="1:7" x14ac:dyDescent="0.3">
      <c r="A521" t="s">
        <v>1039</v>
      </c>
      <c r="B521" t="s">
        <v>310</v>
      </c>
      <c r="C521">
        <v>18</v>
      </c>
      <c r="D521" s="1">
        <v>45857</v>
      </c>
      <c r="E521">
        <v>7700</v>
      </c>
      <c r="F521" t="s">
        <v>766</v>
      </c>
      <c r="G521">
        <v>460</v>
      </c>
    </row>
    <row r="522" spans="1:7" x14ac:dyDescent="0.3">
      <c r="A522" t="s">
        <v>1039</v>
      </c>
      <c r="B522" t="s">
        <v>309</v>
      </c>
      <c r="C522">
        <v>18</v>
      </c>
      <c r="D522" s="1">
        <v>45856</v>
      </c>
      <c r="E522">
        <v>7700</v>
      </c>
      <c r="F522" t="s">
        <v>765</v>
      </c>
      <c r="G522">
        <v>431</v>
      </c>
    </row>
    <row r="523" spans="1:7" x14ac:dyDescent="0.3">
      <c r="A523" t="s">
        <v>1039</v>
      </c>
      <c r="B523" t="s">
        <v>310</v>
      </c>
      <c r="C523">
        <v>18</v>
      </c>
      <c r="D523" s="1">
        <v>45856</v>
      </c>
      <c r="E523">
        <v>7700</v>
      </c>
      <c r="F523" t="s">
        <v>1741</v>
      </c>
      <c r="G523">
        <v>425</v>
      </c>
    </row>
    <row r="524" spans="1:7" x14ac:dyDescent="0.3">
      <c r="A524" t="s">
        <v>1039</v>
      </c>
      <c r="B524" t="s">
        <v>309</v>
      </c>
      <c r="C524">
        <v>18</v>
      </c>
      <c r="D524" s="1">
        <v>45855</v>
      </c>
      <c r="E524">
        <v>7700</v>
      </c>
      <c r="F524" t="s">
        <v>674</v>
      </c>
      <c r="G524">
        <v>452</v>
      </c>
    </row>
    <row r="525" spans="1:7" x14ac:dyDescent="0.3">
      <c r="A525" t="s">
        <v>1039</v>
      </c>
      <c r="B525" t="s">
        <v>310</v>
      </c>
      <c r="C525">
        <v>18</v>
      </c>
      <c r="D525" s="1">
        <v>45856</v>
      </c>
      <c r="E525">
        <v>7700</v>
      </c>
      <c r="F525" t="s">
        <v>871</v>
      </c>
      <c r="G525">
        <v>407</v>
      </c>
    </row>
    <row r="526" spans="1:7" x14ac:dyDescent="0.3">
      <c r="A526" t="s">
        <v>1039</v>
      </c>
      <c r="B526" t="s">
        <v>233</v>
      </c>
      <c r="C526">
        <v>18</v>
      </c>
      <c r="D526" s="1">
        <v>45856</v>
      </c>
      <c r="E526">
        <v>7700</v>
      </c>
      <c r="F526" t="s">
        <v>939</v>
      </c>
      <c r="G526">
        <v>408</v>
      </c>
    </row>
    <row r="527" spans="1:7" x14ac:dyDescent="0.3">
      <c r="A527" t="s">
        <v>1039</v>
      </c>
      <c r="B527" t="s">
        <v>229</v>
      </c>
      <c r="C527">
        <v>18</v>
      </c>
      <c r="D527" s="1">
        <v>45855</v>
      </c>
      <c r="E527">
        <v>7700</v>
      </c>
      <c r="F527" t="s">
        <v>1759</v>
      </c>
      <c r="G527">
        <v>378</v>
      </c>
    </row>
    <row r="528" spans="1:7" x14ac:dyDescent="0.3">
      <c r="A528" t="s">
        <v>1039</v>
      </c>
      <c r="B528" t="s">
        <v>310</v>
      </c>
      <c r="C528">
        <v>18</v>
      </c>
      <c r="D528" s="1">
        <v>45855</v>
      </c>
      <c r="E528">
        <v>7700</v>
      </c>
      <c r="F528" t="s">
        <v>807</v>
      </c>
      <c r="G528">
        <v>350</v>
      </c>
    </row>
    <row r="529" spans="1:7" x14ac:dyDescent="0.3">
      <c r="A529" t="s">
        <v>1039</v>
      </c>
      <c r="B529" t="s">
        <v>310</v>
      </c>
      <c r="C529">
        <v>18</v>
      </c>
      <c r="D529" s="1">
        <v>45854</v>
      </c>
      <c r="E529">
        <v>7700</v>
      </c>
      <c r="F529" t="s">
        <v>903</v>
      </c>
      <c r="G529">
        <v>323</v>
      </c>
    </row>
    <row r="530" spans="1:7" x14ac:dyDescent="0.3">
      <c r="A530" t="s">
        <v>1039</v>
      </c>
      <c r="B530" t="s">
        <v>231</v>
      </c>
      <c r="C530">
        <v>18</v>
      </c>
      <c r="D530" s="1">
        <v>45854</v>
      </c>
      <c r="E530">
        <v>7700</v>
      </c>
      <c r="F530" t="s">
        <v>1761</v>
      </c>
      <c r="G530">
        <v>328</v>
      </c>
    </row>
    <row r="531" spans="1:7" x14ac:dyDescent="0.3">
      <c r="A531" t="s">
        <v>1039</v>
      </c>
      <c r="B531" t="s">
        <v>309</v>
      </c>
      <c r="C531">
        <v>18</v>
      </c>
      <c r="D531" s="1">
        <v>45854</v>
      </c>
      <c r="E531">
        <v>7700</v>
      </c>
      <c r="F531" t="s">
        <v>912</v>
      </c>
      <c r="G531">
        <v>300</v>
      </c>
    </row>
    <row r="532" spans="1:7" x14ac:dyDescent="0.3">
      <c r="A532" t="s">
        <v>1039</v>
      </c>
      <c r="B532" t="s">
        <v>310</v>
      </c>
      <c r="C532">
        <v>18</v>
      </c>
      <c r="D532" s="1">
        <v>45854</v>
      </c>
      <c r="E532">
        <v>7700</v>
      </c>
      <c r="F532" t="s">
        <v>1767</v>
      </c>
      <c r="G532">
        <v>318</v>
      </c>
    </row>
    <row r="533" spans="1:7" x14ac:dyDescent="0.3">
      <c r="A533" t="s">
        <v>1039</v>
      </c>
      <c r="B533" t="s">
        <v>233</v>
      </c>
      <c r="C533">
        <v>18</v>
      </c>
      <c r="D533" s="1">
        <v>45853</v>
      </c>
      <c r="E533">
        <v>7700</v>
      </c>
      <c r="F533" t="s">
        <v>927</v>
      </c>
      <c r="G533">
        <v>272</v>
      </c>
    </row>
    <row r="534" spans="1:7" x14ac:dyDescent="0.3">
      <c r="A534" t="s">
        <v>1039</v>
      </c>
      <c r="B534" t="s">
        <v>233</v>
      </c>
      <c r="C534">
        <v>18</v>
      </c>
      <c r="D534" s="1">
        <v>45865</v>
      </c>
      <c r="E534">
        <v>0</v>
      </c>
      <c r="F534" t="s">
        <v>1476</v>
      </c>
      <c r="G534">
        <v>1109</v>
      </c>
    </row>
    <row r="535" spans="1:7" x14ac:dyDescent="0.3">
      <c r="A535" t="s">
        <v>1039</v>
      </c>
      <c r="B535" t="s">
        <v>310</v>
      </c>
      <c r="C535">
        <v>18</v>
      </c>
      <c r="D535" s="1">
        <v>45857</v>
      </c>
      <c r="E535">
        <v>0</v>
      </c>
      <c r="F535" t="s">
        <v>855</v>
      </c>
      <c r="G535">
        <v>499</v>
      </c>
    </row>
    <row r="536" spans="1:7" x14ac:dyDescent="0.3">
      <c r="A536" t="s">
        <v>1039</v>
      </c>
      <c r="B536" t="s">
        <v>310</v>
      </c>
      <c r="C536">
        <v>18</v>
      </c>
      <c r="D536" s="1">
        <v>45857</v>
      </c>
      <c r="E536">
        <v>0</v>
      </c>
      <c r="F536" t="s">
        <v>562</v>
      </c>
      <c r="G536">
        <v>435</v>
      </c>
    </row>
    <row r="537" spans="1:7" x14ac:dyDescent="0.3">
      <c r="A537" t="s">
        <v>1039</v>
      </c>
      <c r="B537" t="s">
        <v>226</v>
      </c>
      <c r="C537">
        <v>19</v>
      </c>
      <c r="D537" s="1">
        <v>45857</v>
      </c>
      <c r="E537">
        <v>407000</v>
      </c>
      <c r="F537" t="s">
        <v>1638</v>
      </c>
      <c r="G537">
        <v>1148</v>
      </c>
    </row>
    <row r="538" spans="1:7" x14ac:dyDescent="0.3">
      <c r="A538" t="s">
        <v>1039</v>
      </c>
      <c r="B538" t="s">
        <v>231</v>
      </c>
      <c r="C538">
        <v>19</v>
      </c>
      <c r="D538" s="1">
        <v>45857</v>
      </c>
      <c r="E538">
        <v>315700</v>
      </c>
      <c r="F538" t="s">
        <v>329</v>
      </c>
      <c r="G538">
        <v>969</v>
      </c>
    </row>
    <row r="539" spans="1:7" x14ac:dyDescent="0.3">
      <c r="A539" t="s">
        <v>1039</v>
      </c>
      <c r="B539" t="s">
        <v>234</v>
      </c>
      <c r="C539">
        <v>19</v>
      </c>
      <c r="D539" s="1">
        <v>45858</v>
      </c>
      <c r="E539">
        <v>271700</v>
      </c>
      <c r="F539" t="s">
        <v>1708</v>
      </c>
      <c r="G539">
        <v>617</v>
      </c>
    </row>
    <row r="540" spans="1:7" x14ac:dyDescent="0.3">
      <c r="A540" t="s">
        <v>1039</v>
      </c>
      <c r="B540" t="s">
        <v>236</v>
      </c>
      <c r="C540">
        <v>19</v>
      </c>
      <c r="D540" s="1">
        <v>45869</v>
      </c>
      <c r="E540">
        <v>135300</v>
      </c>
      <c r="F540" t="s">
        <v>1096</v>
      </c>
      <c r="G540">
        <v>1483</v>
      </c>
    </row>
    <row r="541" spans="1:7" x14ac:dyDescent="0.3">
      <c r="A541" t="s">
        <v>1039</v>
      </c>
      <c r="B541" t="s">
        <v>310</v>
      </c>
      <c r="C541">
        <v>19</v>
      </c>
      <c r="D541" s="1">
        <v>45855</v>
      </c>
      <c r="E541">
        <v>124300</v>
      </c>
      <c r="F541" t="s">
        <v>857</v>
      </c>
      <c r="G541">
        <v>399</v>
      </c>
    </row>
    <row r="542" spans="1:7" x14ac:dyDescent="0.3">
      <c r="A542" t="s">
        <v>1039</v>
      </c>
      <c r="B542" t="s">
        <v>309</v>
      </c>
      <c r="C542">
        <v>19</v>
      </c>
      <c r="D542" s="1">
        <v>45862</v>
      </c>
      <c r="E542">
        <v>115500</v>
      </c>
      <c r="F542" t="s">
        <v>1501</v>
      </c>
      <c r="G542">
        <v>1086</v>
      </c>
    </row>
    <row r="543" spans="1:7" x14ac:dyDescent="0.3">
      <c r="A543" t="s">
        <v>1039</v>
      </c>
      <c r="B543" t="s">
        <v>310</v>
      </c>
      <c r="C543">
        <v>19</v>
      </c>
      <c r="D543" s="1">
        <v>45860</v>
      </c>
      <c r="E543">
        <v>100100</v>
      </c>
      <c r="F543" t="s">
        <v>751</v>
      </c>
      <c r="G543">
        <v>887</v>
      </c>
    </row>
    <row r="544" spans="1:7" x14ac:dyDescent="0.3">
      <c r="A544" t="s">
        <v>1039</v>
      </c>
      <c r="B544" t="s">
        <v>226</v>
      </c>
      <c r="C544">
        <v>19</v>
      </c>
      <c r="D544" s="1">
        <v>45855</v>
      </c>
      <c r="E544">
        <v>84700</v>
      </c>
      <c r="F544" t="s">
        <v>1747</v>
      </c>
      <c r="G544">
        <v>438</v>
      </c>
    </row>
    <row r="545" spans="1:7" x14ac:dyDescent="0.3">
      <c r="A545" t="s">
        <v>1039</v>
      </c>
      <c r="B545" t="s">
        <v>234</v>
      </c>
      <c r="C545">
        <v>19</v>
      </c>
      <c r="D545" s="1">
        <v>45862</v>
      </c>
      <c r="E545">
        <v>73700</v>
      </c>
      <c r="F545" t="s">
        <v>752</v>
      </c>
      <c r="G545">
        <v>949</v>
      </c>
    </row>
    <row r="546" spans="1:7" x14ac:dyDescent="0.3">
      <c r="A546" t="s">
        <v>1039</v>
      </c>
      <c r="B546" t="s">
        <v>309</v>
      </c>
      <c r="C546">
        <v>19</v>
      </c>
      <c r="D546" s="1">
        <v>45864</v>
      </c>
      <c r="E546">
        <v>66000</v>
      </c>
      <c r="F546" t="s">
        <v>518</v>
      </c>
      <c r="G546">
        <v>1272</v>
      </c>
    </row>
    <row r="547" spans="1:7" x14ac:dyDescent="0.3">
      <c r="A547" t="s">
        <v>1039</v>
      </c>
      <c r="B547" t="s">
        <v>309</v>
      </c>
      <c r="C547">
        <v>19</v>
      </c>
      <c r="D547" s="1">
        <v>45861</v>
      </c>
      <c r="E547">
        <v>64900</v>
      </c>
      <c r="F547" t="s">
        <v>636</v>
      </c>
      <c r="G547">
        <v>882</v>
      </c>
    </row>
    <row r="548" spans="1:7" x14ac:dyDescent="0.3">
      <c r="A548" t="s">
        <v>1039</v>
      </c>
      <c r="B548" t="s">
        <v>229</v>
      </c>
      <c r="C548">
        <v>19</v>
      </c>
      <c r="D548" s="1">
        <v>45854</v>
      </c>
      <c r="E548">
        <v>64900</v>
      </c>
      <c r="F548" t="s">
        <v>881</v>
      </c>
      <c r="G548">
        <v>436</v>
      </c>
    </row>
    <row r="549" spans="1:7" x14ac:dyDescent="0.3">
      <c r="A549" t="s">
        <v>1039</v>
      </c>
      <c r="B549" t="s">
        <v>231</v>
      </c>
      <c r="C549">
        <v>19</v>
      </c>
      <c r="D549" s="1">
        <v>45869</v>
      </c>
      <c r="E549">
        <v>62700</v>
      </c>
      <c r="F549" t="s">
        <v>1050</v>
      </c>
      <c r="G549">
        <v>1596</v>
      </c>
    </row>
    <row r="550" spans="1:7" x14ac:dyDescent="0.3">
      <c r="A550" t="s">
        <v>1039</v>
      </c>
      <c r="B550" t="s">
        <v>310</v>
      </c>
      <c r="C550">
        <v>19</v>
      </c>
      <c r="D550" s="1">
        <v>45863</v>
      </c>
      <c r="E550">
        <v>62700</v>
      </c>
      <c r="F550" t="s">
        <v>1516</v>
      </c>
      <c r="G550">
        <v>1070</v>
      </c>
    </row>
    <row r="551" spans="1:7" x14ac:dyDescent="0.3">
      <c r="A551" t="s">
        <v>1039</v>
      </c>
      <c r="B551" t="s">
        <v>236</v>
      </c>
      <c r="C551">
        <v>19</v>
      </c>
      <c r="D551" s="1">
        <v>45858</v>
      </c>
      <c r="E551">
        <v>62700</v>
      </c>
      <c r="F551" t="s">
        <v>587</v>
      </c>
      <c r="G551">
        <v>609</v>
      </c>
    </row>
    <row r="552" spans="1:7" x14ac:dyDescent="0.3">
      <c r="A552" t="s">
        <v>1039</v>
      </c>
      <c r="B552" t="s">
        <v>226</v>
      </c>
      <c r="C552">
        <v>19</v>
      </c>
      <c r="D552" s="1">
        <v>45855</v>
      </c>
      <c r="E552">
        <v>56100</v>
      </c>
      <c r="F552" t="s">
        <v>919</v>
      </c>
      <c r="G552">
        <v>445</v>
      </c>
    </row>
    <row r="553" spans="1:7" x14ac:dyDescent="0.3">
      <c r="A553" t="s">
        <v>1039</v>
      </c>
      <c r="B553" t="s">
        <v>310</v>
      </c>
      <c r="C553">
        <v>19</v>
      </c>
      <c r="D553" s="1">
        <v>45861</v>
      </c>
      <c r="E553">
        <v>52800</v>
      </c>
      <c r="F553" t="s">
        <v>1637</v>
      </c>
      <c r="G553">
        <v>859</v>
      </c>
    </row>
    <row r="554" spans="1:7" x14ac:dyDescent="0.3">
      <c r="A554" t="s">
        <v>1039</v>
      </c>
      <c r="B554" t="s">
        <v>236</v>
      </c>
      <c r="C554">
        <v>19</v>
      </c>
      <c r="D554" s="1">
        <v>45859</v>
      </c>
      <c r="E554">
        <v>48400</v>
      </c>
      <c r="F554" t="s">
        <v>509</v>
      </c>
      <c r="G554">
        <v>723</v>
      </c>
    </row>
    <row r="555" spans="1:7" x14ac:dyDescent="0.3">
      <c r="A555" t="s">
        <v>1039</v>
      </c>
      <c r="B555" t="s">
        <v>310</v>
      </c>
      <c r="C555">
        <v>19</v>
      </c>
      <c r="D555" s="1">
        <v>45861</v>
      </c>
      <c r="E555">
        <v>45100</v>
      </c>
      <c r="F555" t="s">
        <v>475</v>
      </c>
      <c r="G555">
        <v>802</v>
      </c>
    </row>
    <row r="556" spans="1:7" x14ac:dyDescent="0.3">
      <c r="A556" t="s">
        <v>1039</v>
      </c>
      <c r="B556" t="s">
        <v>234</v>
      </c>
      <c r="C556">
        <v>19</v>
      </c>
      <c r="D556" s="1">
        <v>45864</v>
      </c>
      <c r="E556">
        <v>41800</v>
      </c>
      <c r="F556" t="s">
        <v>1469</v>
      </c>
      <c r="G556">
        <v>1268</v>
      </c>
    </row>
    <row r="557" spans="1:7" x14ac:dyDescent="0.3">
      <c r="A557" t="s">
        <v>1039</v>
      </c>
      <c r="B557" t="s">
        <v>310</v>
      </c>
      <c r="C557">
        <v>19</v>
      </c>
      <c r="D557" s="1">
        <v>45864</v>
      </c>
      <c r="E557">
        <v>40700</v>
      </c>
      <c r="F557" t="s">
        <v>1457</v>
      </c>
      <c r="G557">
        <v>1187</v>
      </c>
    </row>
    <row r="558" spans="1:7" x14ac:dyDescent="0.3">
      <c r="A558" t="s">
        <v>1039</v>
      </c>
      <c r="B558" t="s">
        <v>229</v>
      </c>
      <c r="C558">
        <v>19</v>
      </c>
      <c r="D558" s="1">
        <v>45861</v>
      </c>
      <c r="E558">
        <v>40700</v>
      </c>
      <c r="F558" t="s">
        <v>1632</v>
      </c>
      <c r="G558">
        <v>885</v>
      </c>
    </row>
    <row r="559" spans="1:7" x14ac:dyDescent="0.3">
      <c r="A559" t="s">
        <v>1039</v>
      </c>
      <c r="B559" t="s">
        <v>310</v>
      </c>
      <c r="C559">
        <v>19</v>
      </c>
      <c r="D559" s="1">
        <v>45860</v>
      </c>
      <c r="E559">
        <v>40700</v>
      </c>
      <c r="F559" t="s">
        <v>696</v>
      </c>
      <c r="G559">
        <v>807</v>
      </c>
    </row>
    <row r="560" spans="1:7" x14ac:dyDescent="0.3">
      <c r="A560" t="s">
        <v>1039</v>
      </c>
      <c r="B560" t="s">
        <v>233</v>
      </c>
      <c r="C560">
        <v>19</v>
      </c>
      <c r="D560" s="1">
        <v>45857</v>
      </c>
      <c r="E560">
        <v>40700</v>
      </c>
      <c r="F560" t="s">
        <v>745</v>
      </c>
      <c r="G560">
        <v>592</v>
      </c>
    </row>
    <row r="561" spans="1:7" x14ac:dyDescent="0.3">
      <c r="A561" t="s">
        <v>1039</v>
      </c>
      <c r="B561" t="s">
        <v>309</v>
      </c>
      <c r="C561">
        <v>19</v>
      </c>
      <c r="D561" s="1">
        <v>45856</v>
      </c>
      <c r="E561">
        <v>40700</v>
      </c>
      <c r="F561" t="s">
        <v>1731</v>
      </c>
      <c r="G561">
        <v>477</v>
      </c>
    </row>
    <row r="562" spans="1:7" x14ac:dyDescent="0.3">
      <c r="A562" t="s">
        <v>1039</v>
      </c>
      <c r="B562" t="s">
        <v>229</v>
      </c>
      <c r="C562">
        <v>19</v>
      </c>
      <c r="D562" s="1">
        <v>45854</v>
      </c>
      <c r="E562">
        <v>40700</v>
      </c>
      <c r="F562" t="s">
        <v>1753</v>
      </c>
      <c r="G562">
        <v>365</v>
      </c>
    </row>
    <row r="563" spans="1:7" x14ac:dyDescent="0.3">
      <c r="A563" t="s">
        <v>1039</v>
      </c>
      <c r="B563" t="s">
        <v>312</v>
      </c>
      <c r="C563">
        <v>19</v>
      </c>
      <c r="D563" s="1">
        <v>45854</v>
      </c>
      <c r="E563">
        <v>40700</v>
      </c>
      <c r="F563" t="s">
        <v>1757</v>
      </c>
      <c r="G563">
        <v>374</v>
      </c>
    </row>
    <row r="564" spans="1:7" x14ac:dyDescent="0.3">
      <c r="A564" t="s">
        <v>1039</v>
      </c>
      <c r="B564" t="s">
        <v>231</v>
      </c>
      <c r="C564">
        <v>19</v>
      </c>
      <c r="D564" s="1">
        <v>45857</v>
      </c>
      <c r="E564">
        <v>36300</v>
      </c>
      <c r="F564" t="s">
        <v>1720</v>
      </c>
      <c r="G564">
        <v>605</v>
      </c>
    </row>
    <row r="565" spans="1:7" x14ac:dyDescent="0.3">
      <c r="A565" t="s">
        <v>1039</v>
      </c>
      <c r="B565" t="s">
        <v>310</v>
      </c>
      <c r="C565">
        <v>19</v>
      </c>
      <c r="D565" s="1">
        <v>45858</v>
      </c>
      <c r="E565">
        <v>34100</v>
      </c>
      <c r="F565" t="s">
        <v>841</v>
      </c>
      <c r="G565">
        <v>576</v>
      </c>
    </row>
    <row r="566" spans="1:7" x14ac:dyDescent="0.3">
      <c r="A566" t="s">
        <v>1039</v>
      </c>
      <c r="B566" t="s">
        <v>310</v>
      </c>
      <c r="C566">
        <v>19</v>
      </c>
      <c r="D566" s="1">
        <v>45856</v>
      </c>
      <c r="E566">
        <v>33000</v>
      </c>
      <c r="F566" t="s">
        <v>869</v>
      </c>
      <c r="G566">
        <v>490</v>
      </c>
    </row>
    <row r="567" spans="1:7" x14ac:dyDescent="0.3">
      <c r="A567" t="s">
        <v>1039</v>
      </c>
      <c r="B567" t="s">
        <v>232</v>
      </c>
      <c r="C567">
        <v>19</v>
      </c>
      <c r="D567" s="1">
        <v>45863</v>
      </c>
      <c r="E567">
        <v>30800</v>
      </c>
      <c r="F567" t="s">
        <v>1529</v>
      </c>
      <c r="G567">
        <v>1031</v>
      </c>
    </row>
    <row r="568" spans="1:7" x14ac:dyDescent="0.3">
      <c r="A568" t="s">
        <v>1039</v>
      </c>
      <c r="B568" t="s">
        <v>309</v>
      </c>
      <c r="C568">
        <v>19</v>
      </c>
      <c r="D568" s="1">
        <v>45862</v>
      </c>
      <c r="E568">
        <v>29700</v>
      </c>
      <c r="F568" t="s">
        <v>529</v>
      </c>
      <c r="G568">
        <v>1134</v>
      </c>
    </row>
    <row r="569" spans="1:7" x14ac:dyDescent="0.3">
      <c r="A569" t="s">
        <v>1039</v>
      </c>
      <c r="B569" t="s">
        <v>231</v>
      </c>
      <c r="C569">
        <v>19</v>
      </c>
      <c r="D569" s="1">
        <v>45863</v>
      </c>
      <c r="E569">
        <v>29700</v>
      </c>
      <c r="F569" t="s">
        <v>1523</v>
      </c>
      <c r="G569">
        <v>1212</v>
      </c>
    </row>
    <row r="570" spans="1:7" x14ac:dyDescent="0.3">
      <c r="A570" t="s">
        <v>1039</v>
      </c>
      <c r="B570" t="s">
        <v>231</v>
      </c>
      <c r="C570">
        <v>19</v>
      </c>
      <c r="D570" s="1">
        <v>45862</v>
      </c>
      <c r="E570">
        <v>29700</v>
      </c>
      <c r="F570" t="s">
        <v>565</v>
      </c>
      <c r="G570">
        <v>1027</v>
      </c>
    </row>
    <row r="571" spans="1:7" x14ac:dyDescent="0.3">
      <c r="A571" t="s">
        <v>1039</v>
      </c>
      <c r="B571" t="s">
        <v>310</v>
      </c>
      <c r="C571">
        <v>19</v>
      </c>
      <c r="D571" s="1">
        <v>45862</v>
      </c>
      <c r="E571">
        <v>29700</v>
      </c>
      <c r="F571" t="s">
        <v>1543</v>
      </c>
      <c r="G571">
        <v>1002</v>
      </c>
    </row>
    <row r="572" spans="1:7" x14ac:dyDescent="0.3">
      <c r="A572" t="s">
        <v>1039</v>
      </c>
      <c r="B572" t="s">
        <v>310</v>
      </c>
      <c r="C572">
        <v>19</v>
      </c>
      <c r="D572" s="1">
        <v>45859</v>
      </c>
      <c r="E572">
        <v>29700</v>
      </c>
      <c r="F572" t="s">
        <v>681</v>
      </c>
      <c r="G572">
        <v>670</v>
      </c>
    </row>
    <row r="573" spans="1:7" x14ac:dyDescent="0.3">
      <c r="A573" t="s">
        <v>1039</v>
      </c>
      <c r="B573" t="s">
        <v>310</v>
      </c>
      <c r="C573">
        <v>19</v>
      </c>
      <c r="D573" s="1">
        <v>45857</v>
      </c>
      <c r="E573">
        <v>29700</v>
      </c>
      <c r="F573" t="s">
        <v>876</v>
      </c>
      <c r="G573">
        <v>536</v>
      </c>
    </row>
    <row r="574" spans="1:7" x14ac:dyDescent="0.3">
      <c r="A574" t="s">
        <v>1039</v>
      </c>
      <c r="B574" t="s">
        <v>233</v>
      </c>
      <c r="C574">
        <v>19</v>
      </c>
      <c r="D574" s="1">
        <v>45855</v>
      </c>
      <c r="E574">
        <v>29700</v>
      </c>
      <c r="F574" t="s">
        <v>1740</v>
      </c>
      <c r="G574">
        <v>431</v>
      </c>
    </row>
    <row r="575" spans="1:7" x14ac:dyDescent="0.3">
      <c r="A575" t="s">
        <v>1039</v>
      </c>
      <c r="B575" t="s">
        <v>236</v>
      </c>
      <c r="C575">
        <v>19</v>
      </c>
      <c r="D575" s="1">
        <v>45854</v>
      </c>
      <c r="E575">
        <v>28600</v>
      </c>
      <c r="F575" t="s">
        <v>840</v>
      </c>
      <c r="G575">
        <v>328</v>
      </c>
    </row>
    <row r="576" spans="1:7" x14ac:dyDescent="0.3">
      <c r="A576" t="s">
        <v>1039</v>
      </c>
      <c r="B576" t="s">
        <v>310</v>
      </c>
      <c r="C576">
        <v>19</v>
      </c>
      <c r="D576" s="1">
        <v>45865</v>
      </c>
      <c r="E576">
        <v>27500</v>
      </c>
      <c r="F576" t="s">
        <v>1278</v>
      </c>
      <c r="G576">
        <v>1308</v>
      </c>
    </row>
    <row r="577" spans="1:7" x14ac:dyDescent="0.3">
      <c r="A577" t="s">
        <v>1039</v>
      </c>
      <c r="B577" t="s">
        <v>231</v>
      </c>
      <c r="C577">
        <v>19</v>
      </c>
      <c r="D577" s="1">
        <v>45865</v>
      </c>
      <c r="E577">
        <v>27500</v>
      </c>
      <c r="F577" t="s">
        <v>1385</v>
      </c>
      <c r="G577">
        <v>1218</v>
      </c>
    </row>
    <row r="578" spans="1:7" x14ac:dyDescent="0.3">
      <c r="A578" t="s">
        <v>1039</v>
      </c>
      <c r="B578" t="s">
        <v>310</v>
      </c>
      <c r="C578">
        <v>19</v>
      </c>
      <c r="D578" s="1">
        <v>45867</v>
      </c>
      <c r="E578">
        <v>25300</v>
      </c>
      <c r="F578" t="s">
        <v>1176</v>
      </c>
      <c r="G578">
        <v>1430</v>
      </c>
    </row>
    <row r="579" spans="1:7" x14ac:dyDescent="0.3">
      <c r="A579" t="s">
        <v>1039</v>
      </c>
      <c r="B579" t="s">
        <v>313</v>
      </c>
      <c r="C579">
        <v>19</v>
      </c>
      <c r="D579" s="1">
        <v>45857</v>
      </c>
      <c r="E579">
        <v>25300</v>
      </c>
      <c r="F579" t="s">
        <v>844</v>
      </c>
      <c r="G579">
        <v>499</v>
      </c>
    </row>
    <row r="580" spans="1:7" x14ac:dyDescent="0.3">
      <c r="A580" t="s">
        <v>1039</v>
      </c>
      <c r="B580" t="s">
        <v>309</v>
      </c>
      <c r="C580">
        <v>19</v>
      </c>
      <c r="D580" s="1">
        <v>45863</v>
      </c>
      <c r="E580">
        <v>20900</v>
      </c>
      <c r="F580" t="s">
        <v>482</v>
      </c>
      <c r="G580">
        <v>1056</v>
      </c>
    </row>
    <row r="581" spans="1:7" x14ac:dyDescent="0.3">
      <c r="A581" t="s">
        <v>1039</v>
      </c>
      <c r="B581" t="s">
        <v>309</v>
      </c>
      <c r="C581">
        <v>19</v>
      </c>
      <c r="D581" s="1">
        <v>45857</v>
      </c>
      <c r="E581">
        <v>20900</v>
      </c>
      <c r="F581" t="s">
        <v>658</v>
      </c>
      <c r="G581">
        <v>597</v>
      </c>
    </row>
    <row r="582" spans="1:7" x14ac:dyDescent="0.3">
      <c r="A582" t="s">
        <v>1039</v>
      </c>
      <c r="B582" t="s">
        <v>235</v>
      </c>
      <c r="C582">
        <v>19</v>
      </c>
      <c r="D582" s="1">
        <v>45865</v>
      </c>
      <c r="E582">
        <v>18700</v>
      </c>
      <c r="F582" t="s">
        <v>1267</v>
      </c>
      <c r="G582">
        <v>1320</v>
      </c>
    </row>
    <row r="583" spans="1:7" x14ac:dyDescent="0.3">
      <c r="A583" t="s">
        <v>1039</v>
      </c>
      <c r="B583" t="s">
        <v>309</v>
      </c>
      <c r="C583">
        <v>19</v>
      </c>
      <c r="D583" s="1">
        <v>45865</v>
      </c>
      <c r="E583">
        <v>18700</v>
      </c>
      <c r="F583" t="s">
        <v>1386</v>
      </c>
      <c r="G583">
        <v>1294</v>
      </c>
    </row>
    <row r="584" spans="1:7" x14ac:dyDescent="0.3">
      <c r="A584" t="s">
        <v>1039</v>
      </c>
      <c r="B584" t="s">
        <v>309</v>
      </c>
      <c r="C584">
        <v>19</v>
      </c>
      <c r="D584" s="1">
        <v>45861</v>
      </c>
      <c r="E584">
        <v>18700</v>
      </c>
      <c r="F584" t="s">
        <v>1603</v>
      </c>
      <c r="G584">
        <v>1054</v>
      </c>
    </row>
    <row r="585" spans="1:7" x14ac:dyDescent="0.3">
      <c r="A585" t="s">
        <v>1039</v>
      </c>
      <c r="B585" t="s">
        <v>434</v>
      </c>
      <c r="C585">
        <v>19</v>
      </c>
      <c r="D585" s="1">
        <v>45858</v>
      </c>
      <c r="E585">
        <v>18700</v>
      </c>
      <c r="F585" t="s">
        <v>582</v>
      </c>
      <c r="G585">
        <v>616</v>
      </c>
    </row>
    <row r="586" spans="1:7" x14ac:dyDescent="0.3">
      <c r="A586" t="s">
        <v>1039</v>
      </c>
      <c r="B586" t="s">
        <v>310</v>
      </c>
      <c r="C586">
        <v>19</v>
      </c>
      <c r="D586" s="1">
        <v>45867</v>
      </c>
      <c r="E586">
        <v>14300</v>
      </c>
      <c r="F586" t="s">
        <v>1170</v>
      </c>
      <c r="G586">
        <v>1417</v>
      </c>
    </row>
    <row r="587" spans="1:7" x14ac:dyDescent="0.3">
      <c r="A587" t="s">
        <v>1039</v>
      </c>
      <c r="B587" t="s">
        <v>229</v>
      </c>
      <c r="C587">
        <v>19</v>
      </c>
      <c r="D587" s="1">
        <v>45858</v>
      </c>
      <c r="E587">
        <v>14300</v>
      </c>
      <c r="F587" t="s">
        <v>779</v>
      </c>
      <c r="G587">
        <v>693</v>
      </c>
    </row>
    <row r="588" spans="1:7" x14ac:dyDescent="0.3">
      <c r="A588" t="s">
        <v>1039</v>
      </c>
      <c r="B588" t="s">
        <v>310</v>
      </c>
      <c r="C588">
        <v>19</v>
      </c>
      <c r="D588" s="1">
        <v>45863</v>
      </c>
      <c r="E588">
        <v>11000</v>
      </c>
      <c r="F588" t="s">
        <v>574</v>
      </c>
      <c r="G588">
        <v>1040</v>
      </c>
    </row>
    <row r="589" spans="1:7" x14ac:dyDescent="0.3">
      <c r="A589" t="s">
        <v>1039</v>
      </c>
      <c r="B589" t="s">
        <v>310</v>
      </c>
      <c r="C589">
        <v>19</v>
      </c>
      <c r="D589" s="1">
        <v>45860</v>
      </c>
      <c r="E589">
        <v>11000</v>
      </c>
      <c r="F589" t="s">
        <v>1668</v>
      </c>
      <c r="G589">
        <v>791</v>
      </c>
    </row>
    <row r="590" spans="1:7" x14ac:dyDescent="0.3">
      <c r="A590" t="s">
        <v>1039</v>
      </c>
      <c r="B590" t="s">
        <v>314</v>
      </c>
      <c r="C590">
        <v>19</v>
      </c>
      <c r="D590" s="1">
        <v>45854</v>
      </c>
      <c r="E590">
        <v>11000</v>
      </c>
      <c r="F590" t="s">
        <v>764</v>
      </c>
      <c r="G590">
        <v>655</v>
      </c>
    </row>
    <row r="591" spans="1:7" x14ac:dyDescent="0.3">
      <c r="A591" t="s">
        <v>1039</v>
      </c>
      <c r="B591" t="s">
        <v>310</v>
      </c>
      <c r="C591">
        <v>19</v>
      </c>
      <c r="D591" s="1">
        <v>45856</v>
      </c>
      <c r="E591">
        <v>11000</v>
      </c>
      <c r="F591" t="s">
        <v>483</v>
      </c>
      <c r="G591">
        <v>536</v>
      </c>
    </row>
    <row r="592" spans="1:7" x14ac:dyDescent="0.3">
      <c r="A592" t="s">
        <v>1039</v>
      </c>
      <c r="B592" t="s">
        <v>310</v>
      </c>
      <c r="C592">
        <v>19</v>
      </c>
      <c r="D592" s="1">
        <v>45856</v>
      </c>
      <c r="E592">
        <v>11000</v>
      </c>
      <c r="F592" t="s">
        <v>561</v>
      </c>
      <c r="G592">
        <v>456</v>
      </c>
    </row>
    <row r="593" spans="1:7" x14ac:dyDescent="0.3">
      <c r="A593" t="s">
        <v>1039</v>
      </c>
      <c r="B593" t="s">
        <v>231</v>
      </c>
      <c r="C593">
        <v>19</v>
      </c>
      <c r="D593" s="1">
        <v>45854</v>
      </c>
      <c r="E593">
        <v>11000</v>
      </c>
      <c r="F593" t="s">
        <v>1742</v>
      </c>
      <c r="G593">
        <v>420</v>
      </c>
    </row>
    <row r="594" spans="1:7" x14ac:dyDescent="0.3">
      <c r="A594" t="s">
        <v>1039</v>
      </c>
      <c r="B594" t="s">
        <v>310</v>
      </c>
      <c r="C594">
        <v>19</v>
      </c>
      <c r="D594" s="1">
        <v>45868</v>
      </c>
      <c r="E594">
        <v>7700</v>
      </c>
      <c r="F594" t="s">
        <v>1045</v>
      </c>
      <c r="G594">
        <v>1553</v>
      </c>
    </row>
    <row r="595" spans="1:7" x14ac:dyDescent="0.3">
      <c r="A595" t="s">
        <v>1039</v>
      </c>
      <c r="B595" t="s">
        <v>310</v>
      </c>
      <c r="C595">
        <v>19</v>
      </c>
      <c r="D595" s="1">
        <v>45869</v>
      </c>
      <c r="E595">
        <v>7700</v>
      </c>
      <c r="F595" t="s">
        <v>1062</v>
      </c>
      <c r="G595">
        <v>1528</v>
      </c>
    </row>
    <row r="596" spans="1:7" x14ac:dyDescent="0.3">
      <c r="A596" t="s">
        <v>1039</v>
      </c>
      <c r="B596" t="s">
        <v>309</v>
      </c>
      <c r="C596">
        <v>19</v>
      </c>
      <c r="D596" s="1">
        <v>45868</v>
      </c>
      <c r="E596">
        <v>7700</v>
      </c>
      <c r="F596" t="s">
        <v>1069</v>
      </c>
      <c r="G596">
        <v>1629</v>
      </c>
    </row>
    <row r="597" spans="1:7" x14ac:dyDescent="0.3">
      <c r="A597" t="s">
        <v>1039</v>
      </c>
      <c r="B597" t="s">
        <v>310</v>
      </c>
      <c r="C597">
        <v>19</v>
      </c>
      <c r="D597" s="1">
        <v>45868</v>
      </c>
      <c r="E597">
        <v>7700</v>
      </c>
      <c r="F597" t="s">
        <v>1073</v>
      </c>
      <c r="G597">
        <v>1558</v>
      </c>
    </row>
    <row r="598" spans="1:7" x14ac:dyDescent="0.3">
      <c r="A598" t="s">
        <v>1039</v>
      </c>
      <c r="B598" t="s">
        <v>235</v>
      </c>
      <c r="C598">
        <v>19</v>
      </c>
      <c r="D598" s="1">
        <v>45869</v>
      </c>
      <c r="E598">
        <v>7700</v>
      </c>
      <c r="F598" t="s">
        <v>1095</v>
      </c>
      <c r="G598">
        <v>1516</v>
      </c>
    </row>
    <row r="599" spans="1:7" x14ac:dyDescent="0.3">
      <c r="A599" t="s">
        <v>1039</v>
      </c>
      <c r="B599" t="s">
        <v>310</v>
      </c>
      <c r="C599">
        <v>19</v>
      </c>
      <c r="D599" s="1">
        <v>45869</v>
      </c>
      <c r="E599">
        <v>7700</v>
      </c>
      <c r="F599" t="s">
        <v>1099</v>
      </c>
      <c r="G599">
        <v>1590</v>
      </c>
    </row>
    <row r="600" spans="1:7" x14ac:dyDescent="0.3">
      <c r="A600" t="s">
        <v>1039</v>
      </c>
      <c r="B600" t="s">
        <v>225</v>
      </c>
      <c r="C600">
        <v>19</v>
      </c>
      <c r="D600" s="1">
        <v>45864</v>
      </c>
      <c r="E600">
        <v>7700</v>
      </c>
      <c r="F600" t="s">
        <v>1181</v>
      </c>
      <c r="G600">
        <v>1473</v>
      </c>
    </row>
    <row r="601" spans="1:7" x14ac:dyDescent="0.3">
      <c r="A601" t="s">
        <v>1039</v>
      </c>
      <c r="B601" t="s">
        <v>309</v>
      </c>
      <c r="C601">
        <v>19</v>
      </c>
      <c r="D601" s="1">
        <v>45866</v>
      </c>
      <c r="E601">
        <v>7700</v>
      </c>
      <c r="F601" t="s">
        <v>1198</v>
      </c>
      <c r="G601">
        <v>1481</v>
      </c>
    </row>
    <row r="602" spans="1:7" x14ac:dyDescent="0.3">
      <c r="A602" t="s">
        <v>1039</v>
      </c>
      <c r="B602" t="s">
        <v>236</v>
      </c>
      <c r="C602">
        <v>19</v>
      </c>
      <c r="D602" s="1">
        <v>45866</v>
      </c>
      <c r="E602">
        <v>7700</v>
      </c>
      <c r="F602" t="s">
        <v>1199</v>
      </c>
      <c r="G602">
        <v>1378</v>
      </c>
    </row>
    <row r="603" spans="1:7" x14ac:dyDescent="0.3">
      <c r="A603" t="s">
        <v>1039</v>
      </c>
      <c r="B603" t="s">
        <v>233</v>
      </c>
      <c r="C603">
        <v>19</v>
      </c>
      <c r="D603" s="1">
        <v>45867</v>
      </c>
      <c r="E603">
        <v>7700</v>
      </c>
      <c r="F603" t="s">
        <v>1202</v>
      </c>
      <c r="G603">
        <v>1408</v>
      </c>
    </row>
    <row r="604" spans="1:7" x14ac:dyDescent="0.3">
      <c r="A604" t="s">
        <v>1039</v>
      </c>
      <c r="B604" t="s">
        <v>309</v>
      </c>
      <c r="C604">
        <v>19</v>
      </c>
      <c r="D604" s="1">
        <v>45866</v>
      </c>
      <c r="E604">
        <v>7700</v>
      </c>
      <c r="F604" t="s">
        <v>1260</v>
      </c>
      <c r="G604">
        <v>1391</v>
      </c>
    </row>
    <row r="605" spans="1:7" x14ac:dyDescent="0.3">
      <c r="A605" t="s">
        <v>1039</v>
      </c>
      <c r="B605" t="s">
        <v>233</v>
      </c>
      <c r="C605">
        <v>19</v>
      </c>
      <c r="D605" s="1">
        <v>45866</v>
      </c>
      <c r="E605">
        <v>7700</v>
      </c>
      <c r="F605" t="s">
        <v>1314</v>
      </c>
      <c r="G605">
        <v>1380</v>
      </c>
    </row>
    <row r="606" spans="1:7" x14ac:dyDescent="0.3">
      <c r="A606" t="s">
        <v>1039</v>
      </c>
      <c r="B606" t="s">
        <v>310</v>
      </c>
      <c r="C606">
        <v>19</v>
      </c>
      <c r="D606" s="1">
        <v>45864</v>
      </c>
      <c r="E606">
        <v>7700</v>
      </c>
      <c r="F606" t="s">
        <v>1343</v>
      </c>
      <c r="G606">
        <v>1246</v>
      </c>
    </row>
    <row r="607" spans="1:7" x14ac:dyDescent="0.3">
      <c r="A607" t="s">
        <v>1039</v>
      </c>
      <c r="B607" t="s">
        <v>309</v>
      </c>
      <c r="C607">
        <v>19</v>
      </c>
      <c r="D607" s="1">
        <v>45865</v>
      </c>
      <c r="E607">
        <v>7700</v>
      </c>
      <c r="F607" t="s">
        <v>1398</v>
      </c>
      <c r="G607">
        <v>1299</v>
      </c>
    </row>
    <row r="608" spans="1:7" x14ac:dyDescent="0.3">
      <c r="A608" t="s">
        <v>1039</v>
      </c>
      <c r="B608" t="s">
        <v>309</v>
      </c>
      <c r="C608">
        <v>19</v>
      </c>
      <c r="D608" s="1">
        <v>45865</v>
      </c>
      <c r="E608">
        <v>7700</v>
      </c>
      <c r="F608" t="s">
        <v>1399</v>
      </c>
      <c r="G608">
        <v>1399</v>
      </c>
    </row>
    <row r="609" spans="1:7" x14ac:dyDescent="0.3">
      <c r="A609" t="s">
        <v>1039</v>
      </c>
      <c r="B609" t="s">
        <v>224</v>
      </c>
      <c r="C609">
        <v>19</v>
      </c>
      <c r="D609" s="1">
        <v>45863</v>
      </c>
      <c r="E609">
        <v>7700</v>
      </c>
      <c r="F609" t="s">
        <v>1414</v>
      </c>
      <c r="G609">
        <v>1164</v>
      </c>
    </row>
    <row r="610" spans="1:7" x14ac:dyDescent="0.3">
      <c r="A610" t="s">
        <v>1039</v>
      </c>
      <c r="B610" t="s">
        <v>235</v>
      </c>
      <c r="C610">
        <v>19</v>
      </c>
      <c r="D610" s="1">
        <v>45864</v>
      </c>
      <c r="E610">
        <v>7700</v>
      </c>
      <c r="F610" t="s">
        <v>1423</v>
      </c>
      <c r="G610">
        <v>1180</v>
      </c>
    </row>
    <row r="611" spans="1:7" x14ac:dyDescent="0.3">
      <c r="A611" t="s">
        <v>1039</v>
      </c>
      <c r="B611" t="s">
        <v>309</v>
      </c>
      <c r="C611">
        <v>19</v>
      </c>
      <c r="D611" s="1">
        <v>45863</v>
      </c>
      <c r="E611">
        <v>7700</v>
      </c>
      <c r="F611" t="s">
        <v>1460</v>
      </c>
      <c r="G611">
        <v>1263</v>
      </c>
    </row>
    <row r="612" spans="1:7" x14ac:dyDescent="0.3">
      <c r="A612" t="s">
        <v>1039</v>
      </c>
      <c r="B612" t="s">
        <v>309</v>
      </c>
      <c r="C612">
        <v>19</v>
      </c>
      <c r="D612" s="1">
        <v>45863</v>
      </c>
      <c r="E612">
        <v>7700</v>
      </c>
      <c r="F612" t="s">
        <v>1475</v>
      </c>
      <c r="G612">
        <v>1399</v>
      </c>
    </row>
    <row r="613" spans="1:7" x14ac:dyDescent="0.3">
      <c r="A613" t="s">
        <v>1039</v>
      </c>
      <c r="B613" t="s">
        <v>310</v>
      </c>
      <c r="C613">
        <v>19</v>
      </c>
      <c r="D613" s="1">
        <v>45863</v>
      </c>
      <c r="E613">
        <v>7700</v>
      </c>
      <c r="F613" t="s">
        <v>458</v>
      </c>
      <c r="G613">
        <v>1100</v>
      </c>
    </row>
    <row r="614" spans="1:7" x14ac:dyDescent="0.3">
      <c r="A614" t="s">
        <v>1039</v>
      </c>
      <c r="B614" t="s">
        <v>309</v>
      </c>
      <c r="C614">
        <v>19</v>
      </c>
      <c r="D614" s="1">
        <v>45863</v>
      </c>
      <c r="E614">
        <v>7700</v>
      </c>
      <c r="F614" t="s">
        <v>1535</v>
      </c>
      <c r="G614">
        <v>1016</v>
      </c>
    </row>
    <row r="615" spans="1:7" x14ac:dyDescent="0.3">
      <c r="A615" t="s">
        <v>1039</v>
      </c>
      <c r="B615" t="s">
        <v>224</v>
      </c>
      <c r="C615">
        <v>19</v>
      </c>
      <c r="D615" s="1">
        <v>45862</v>
      </c>
      <c r="E615">
        <v>7700</v>
      </c>
      <c r="F615" t="s">
        <v>1541</v>
      </c>
      <c r="G615">
        <v>1123</v>
      </c>
    </row>
    <row r="616" spans="1:7" x14ac:dyDescent="0.3">
      <c r="A616" t="s">
        <v>1039</v>
      </c>
      <c r="B616" t="s">
        <v>310</v>
      </c>
      <c r="C616">
        <v>19</v>
      </c>
      <c r="D616" s="1">
        <v>45862</v>
      </c>
      <c r="E616">
        <v>7700</v>
      </c>
      <c r="F616" t="s">
        <v>1596</v>
      </c>
      <c r="G616">
        <v>924</v>
      </c>
    </row>
    <row r="617" spans="1:7" x14ac:dyDescent="0.3">
      <c r="A617" t="s">
        <v>1039</v>
      </c>
      <c r="B617" t="s">
        <v>310</v>
      </c>
      <c r="C617">
        <v>19</v>
      </c>
      <c r="D617" s="1">
        <v>45861</v>
      </c>
      <c r="E617">
        <v>7700</v>
      </c>
      <c r="F617" t="s">
        <v>1607</v>
      </c>
      <c r="G617">
        <v>910</v>
      </c>
    </row>
    <row r="618" spans="1:7" x14ac:dyDescent="0.3">
      <c r="A618" t="s">
        <v>1039</v>
      </c>
      <c r="B618" t="s">
        <v>312</v>
      </c>
      <c r="C618">
        <v>19</v>
      </c>
      <c r="D618" s="1">
        <v>45861</v>
      </c>
      <c r="E618">
        <v>7700</v>
      </c>
      <c r="F618" t="s">
        <v>594</v>
      </c>
      <c r="G618">
        <v>799</v>
      </c>
    </row>
    <row r="619" spans="1:7" x14ac:dyDescent="0.3">
      <c r="A619" t="s">
        <v>1039</v>
      </c>
      <c r="B619" t="s">
        <v>310</v>
      </c>
      <c r="C619">
        <v>19</v>
      </c>
      <c r="D619" s="1">
        <v>45861</v>
      </c>
      <c r="E619">
        <v>7700</v>
      </c>
      <c r="F619" t="s">
        <v>1651</v>
      </c>
      <c r="G619">
        <v>836</v>
      </c>
    </row>
    <row r="620" spans="1:7" x14ac:dyDescent="0.3">
      <c r="A620" t="s">
        <v>1039</v>
      </c>
      <c r="B620" t="s">
        <v>229</v>
      </c>
      <c r="C620">
        <v>19</v>
      </c>
      <c r="D620" s="1">
        <v>45861</v>
      </c>
      <c r="E620">
        <v>7700</v>
      </c>
      <c r="F620" t="s">
        <v>1655</v>
      </c>
      <c r="G620">
        <v>830</v>
      </c>
    </row>
    <row r="621" spans="1:7" x14ac:dyDescent="0.3">
      <c r="A621" t="s">
        <v>1039</v>
      </c>
      <c r="B621" t="s">
        <v>309</v>
      </c>
      <c r="C621">
        <v>19</v>
      </c>
      <c r="D621" s="1">
        <v>45860</v>
      </c>
      <c r="E621">
        <v>7700</v>
      </c>
      <c r="F621" t="s">
        <v>1657</v>
      </c>
      <c r="G621">
        <v>810</v>
      </c>
    </row>
    <row r="622" spans="1:7" x14ac:dyDescent="0.3">
      <c r="A622" t="s">
        <v>1039</v>
      </c>
      <c r="B622" t="s">
        <v>310</v>
      </c>
      <c r="C622">
        <v>19</v>
      </c>
      <c r="D622" s="1">
        <v>45859</v>
      </c>
      <c r="E622">
        <v>7700</v>
      </c>
      <c r="F622" t="s">
        <v>635</v>
      </c>
      <c r="G622">
        <v>768</v>
      </c>
    </row>
    <row r="623" spans="1:7" x14ac:dyDescent="0.3">
      <c r="A623" t="s">
        <v>1039</v>
      </c>
      <c r="B623" t="s">
        <v>309</v>
      </c>
      <c r="C623">
        <v>19</v>
      </c>
      <c r="D623" s="1">
        <v>45858</v>
      </c>
      <c r="E623">
        <v>7700</v>
      </c>
      <c r="F623" t="s">
        <v>498</v>
      </c>
      <c r="G623">
        <v>786</v>
      </c>
    </row>
    <row r="624" spans="1:7" x14ac:dyDescent="0.3">
      <c r="A624" t="s">
        <v>1039</v>
      </c>
      <c r="B624" t="s">
        <v>231</v>
      </c>
      <c r="C624">
        <v>19</v>
      </c>
      <c r="D624" s="1">
        <v>45858</v>
      </c>
      <c r="E624">
        <v>7700</v>
      </c>
      <c r="F624" t="s">
        <v>451</v>
      </c>
      <c r="G624">
        <v>746</v>
      </c>
    </row>
    <row r="625" spans="1:7" x14ac:dyDescent="0.3">
      <c r="A625" t="s">
        <v>1039</v>
      </c>
      <c r="B625" t="s">
        <v>310</v>
      </c>
      <c r="C625">
        <v>19</v>
      </c>
      <c r="D625" s="1">
        <v>45858</v>
      </c>
      <c r="E625">
        <v>7700</v>
      </c>
      <c r="F625" t="s">
        <v>652</v>
      </c>
      <c r="G625">
        <v>701</v>
      </c>
    </row>
    <row r="626" spans="1:7" x14ac:dyDescent="0.3">
      <c r="A626" t="s">
        <v>1039</v>
      </c>
      <c r="B626" t="s">
        <v>310</v>
      </c>
      <c r="C626">
        <v>19</v>
      </c>
      <c r="D626" s="1">
        <v>45859</v>
      </c>
      <c r="E626">
        <v>7700</v>
      </c>
      <c r="F626" t="s">
        <v>613</v>
      </c>
      <c r="G626">
        <v>684</v>
      </c>
    </row>
    <row r="627" spans="1:7" x14ac:dyDescent="0.3">
      <c r="A627" t="s">
        <v>1039</v>
      </c>
      <c r="B627" t="s">
        <v>310</v>
      </c>
      <c r="C627">
        <v>19</v>
      </c>
      <c r="D627" s="1">
        <v>45857</v>
      </c>
      <c r="E627">
        <v>7700</v>
      </c>
      <c r="F627" t="s">
        <v>627</v>
      </c>
      <c r="G627">
        <v>671</v>
      </c>
    </row>
    <row r="628" spans="1:7" x14ac:dyDescent="0.3">
      <c r="A628" t="s">
        <v>1039</v>
      </c>
      <c r="B628" t="s">
        <v>235</v>
      </c>
      <c r="C628">
        <v>19</v>
      </c>
      <c r="D628" s="1">
        <v>45858</v>
      </c>
      <c r="E628">
        <v>7700</v>
      </c>
      <c r="F628" t="s">
        <v>564</v>
      </c>
      <c r="G628">
        <v>677</v>
      </c>
    </row>
    <row r="629" spans="1:7" x14ac:dyDescent="0.3">
      <c r="A629" t="s">
        <v>1039</v>
      </c>
      <c r="B629" t="s">
        <v>233</v>
      </c>
      <c r="C629">
        <v>19</v>
      </c>
      <c r="D629" s="1">
        <v>45857</v>
      </c>
      <c r="E629">
        <v>7700</v>
      </c>
      <c r="F629" t="s">
        <v>568</v>
      </c>
      <c r="G629">
        <v>616</v>
      </c>
    </row>
    <row r="630" spans="1:7" x14ac:dyDescent="0.3">
      <c r="A630" t="s">
        <v>1039</v>
      </c>
      <c r="B630" t="s">
        <v>232</v>
      </c>
      <c r="C630">
        <v>19</v>
      </c>
      <c r="D630" s="1">
        <v>45858</v>
      </c>
      <c r="E630">
        <v>7700</v>
      </c>
      <c r="F630" t="s">
        <v>687</v>
      </c>
      <c r="G630">
        <v>616</v>
      </c>
    </row>
    <row r="631" spans="1:7" x14ac:dyDescent="0.3">
      <c r="A631" t="s">
        <v>1039</v>
      </c>
      <c r="B631" t="s">
        <v>233</v>
      </c>
      <c r="C631">
        <v>19</v>
      </c>
      <c r="D631" s="1">
        <v>45858</v>
      </c>
      <c r="E631">
        <v>7700</v>
      </c>
      <c r="F631" t="s">
        <v>617</v>
      </c>
      <c r="G631">
        <v>639</v>
      </c>
    </row>
    <row r="632" spans="1:7" x14ac:dyDescent="0.3">
      <c r="A632" t="s">
        <v>1039</v>
      </c>
      <c r="B632" t="s">
        <v>233</v>
      </c>
      <c r="C632">
        <v>19</v>
      </c>
      <c r="D632" s="1">
        <v>45858</v>
      </c>
      <c r="E632">
        <v>7700</v>
      </c>
      <c r="F632" t="s">
        <v>677</v>
      </c>
      <c r="G632">
        <v>563</v>
      </c>
    </row>
    <row r="633" spans="1:7" x14ac:dyDescent="0.3">
      <c r="A633" t="s">
        <v>1039</v>
      </c>
      <c r="B633" t="s">
        <v>224</v>
      </c>
      <c r="C633">
        <v>19</v>
      </c>
      <c r="D633" s="1">
        <v>45856</v>
      </c>
      <c r="E633">
        <v>7700</v>
      </c>
      <c r="F633" t="s">
        <v>1721</v>
      </c>
      <c r="G633">
        <v>537</v>
      </c>
    </row>
    <row r="634" spans="1:7" x14ac:dyDescent="0.3">
      <c r="A634" t="s">
        <v>1039</v>
      </c>
      <c r="B634" t="s">
        <v>310</v>
      </c>
      <c r="C634">
        <v>19</v>
      </c>
      <c r="D634" s="1">
        <v>45857</v>
      </c>
      <c r="E634">
        <v>7700</v>
      </c>
      <c r="F634" t="s">
        <v>790</v>
      </c>
      <c r="G634">
        <v>533</v>
      </c>
    </row>
    <row r="635" spans="1:7" x14ac:dyDescent="0.3">
      <c r="A635" t="s">
        <v>1039</v>
      </c>
      <c r="B635" t="s">
        <v>235</v>
      </c>
      <c r="C635">
        <v>19</v>
      </c>
      <c r="D635" s="1">
        <v>45857</v>
      </c>
      <c r="E635">
        <v>7700</v>
      </c>
      <c r="F635" t="s">
        <v>853</v>
      </c>
      <c r="G635">
        <v>553</v>
      </c>
    </row>
    <row r="636" spans="1:7" x14ac:dyDescent="0.3">
      <c r="A636" t="s">
        <v>1039</v>
      </c>
      <c r="B636" t="s">
        <v>309</v>
      </c>
      <c r="C636">
        <v>19</v>
      </c>
      <c r="D636" s="1">
        <v>45856</v>
      </c>
      <c r="E636">
        <v>7700</v>
      </c>
      <c r="F636" t="s">
        <v>622</v>
      </c>
      <c r="G636">
        <v>506</v>
      </c>
    </row>
    <row r="637" spans="1:7" x14ac:dyDescent="0.3">
      <c r="A637" t="s">
        <v>1039</v>
      </c>
      <c r="B637" t="s">
        <v>233</v>
      </c>
      <c r="C637">
        <v>19</v>
      </c>
      <c r="D637" s="1">
        <v>45856</v>
      </c>
      <c r="E637">
        <v>7700</v>
      </c>
      <c r="F637" t="s">
        <v>731</v>
      </c>
      <c r="G637">
        <v>493</v>
      </c>
    </row>
    <row r="638" spans="1:7" x14ac:dyDescent="0.3">
      <c r="A638" t="s">
        <v>1039</v>
      </c>
      <c r="B638" t="s">
        <v>233</v>
      </c>
      <c r="C638">
        <v>19</v>
      </c>
      <c r="D638" s="1">
        <v>45856</v>
      </c>
      <c r="E638">
        <v>7700</v>
      </c>
      <c r="F638" t="s">
        <v>851</v>
      </c>
      <c r="G638">
        <v>501</v>
      </c>
    </row>
    <row r="639" spans="1:7" x14ac:dyDescent="0.3">
      <c r="A639" t="s">
        <v>1039</v>
      </c>
      <c r="B639" t="s">
        <v>231</v>
      </c>
      <c r="C639">
        <v>19</v>
      </c>
      <c r="D639" s="1">
        <v>45856</v>
      </c>
      <c r="E639">
        <v>7700</v>
      </c>
      <c r="F639" t="s">
        <v>1729</v>
      </c>
      <c r="G639">
        <v>488</v>
      </c>
    </row>
    <row r="640" spans="1:7" x14ac:dyDescent="0.3">
      <c r="A640" t="s">
        <v>1039</v>
      </c>
      <c r="B640" t="s">
        <v>310</v>
      </c>
      <c r="C640">
        <v>19</v>
      </c>
      <c r="D640" s="1">
        <v>45856</v>
      </c>
      <c r="E640">
        <v>7700</v>
      </c>
      <c r="F640" t="s">
        <v>776</v>
      </c>
      <c r="G640">
        <v>495</v>
      </c>
    </row>
    <row r="641" spans="1:7" x14ac:dyDescent="0.3">
      <c r="A641" t="s">
        <v>1039</v>
      </c>
      <c r="B641" t="s">
        <v>233</v>
      </c>
      <c r="C641">
        <v>19</v>
      </c>
      <c r="D641" s="1">
        <v>45856</v>
      </c>
      <c r="E641">
        <v>7700</v>
      </c>
      <c r="F641" t="s">
        <v>904</v>
      </c>
      <c r="G641">
        <v>457</v>
      </c>
    </row>
    <row r="642" spans="1:7" x14ac:dyDescent="0.3">
      <c r="A642" t="s">
        <v>1039</v>
      </c>
      <c r="B642" t="s">
        <v>309</v>
      </c>
      <c r="C642">
        <v>19</v>
      </c>
      <c r="D642" s="1">
        <v>45856</v>
      </c>
      <c r="E642">
        <v>7700</v>
      </c>
      <c r="F642" t="s">
        <v>725</v>
      </c>
      <c r="G642">
        <v>472</v>
      </c>
    </row>
    <row r="643" spans="1:7" x14ac:dyDescent="0.3">
      <c r="A643" t="s">
        <v>1039</v>
      </c>
      <c r="B643" t="s">
        <v>310</v>
      </c>
      <c r="C643">
        <v>19</v>
      </c>
      <c r="D643" s="1">
        <v>45856</v>
      </c>
      <c r="E643">
        <v>7700</v>
      </c>
      <c r="F643" t="s">
        <v>772</v>
      </c>
      <c r="G643">
        <v>429</v>
      </c>
    </row>
    <row r="644" spans="1:7" x14ac:dyDescent="0.3">
      <c r="A644" t="s">
        <v>1039</v>
      </c>
      <c r="B644" t="s">
        <v>310</v>
      </c>
      <c r="C644">
        <v>19</v>
      </c>
      <c r="D644" s="1">
        <v>45855</v>
      </c>
      <c r="E644">
        <v>7700</v>
      </c>
      <c r="F644" t="s">
        <v>1743</v>
      </c>
      <c r="G644">
        <v>419</v>
      </c>
    </row>
    <row r="645" spans="1:7" x14ac:dyDescent="0.3">
      <c r="A645" t="s">
        <v>1039</v>
      </c>
      <c r="B645" t="s">
        <v>310</v>
      </c>
      <c r="C645">
        <v>19</v>
      </c>
      <c r="D645" s="1">
        <v>45855</v>
      </c>
      <c r="E645">
        <v>7700</v>
      </c>
      <c r="F645" t="s">
        <v>690</v>
      </c>
      <c r="G645">
        <v>426</v>
      </c>
    </row>
    <row r="646" spans="1:7" x14ac:dyDescent="0.3">
      <c r="A646" t="s">
        <v>1039</v>
      </c>
      <c r="B646" t="s">
        <v>310</v>
      </c>
      <c r="C646">
        <v>19</v>
      </c>
      <c r="D646" s="1">
        <v>45854</v>
      </c>
      <c r="E646">
        <v>7700</v>
      </c>
      <c r="F646" t="s">
        <v>921</v>
      </c>
      <c r="G646">
        <v>350</v>
      </c>
    </row>
    <row r="647" spans="1:7" x14ac:dyDescent="0.3">
      <c r="A647" t="s">
        <v>1039</v>
      </c>
      <c r="B647" t="s">
        <v>311</v>
      </c>
      <c r="C647">
        <v>19</v>
      </c>
      <c r="D647" s="1">
        <v>45854</v>
      </c>
      <c r="E647">
        <v>7700</v>
      </c>
      <c r="F647" t="s">
        <v>893</v>
      </c>
      <c r="G647">
        <v>330</v>
      </c>
    </row>
    <row r="648" spans="1:7" x14ac:dyDescent="0.3">
      <c r="A648" t="s">
        <v>1039</v>
      </c>
      <c r="B648" t="s">
        <v>233</v>
      </c>
      <c r="C648">
        <v>19</v>
      </c>
      <c r="D648" s="1">
        <v>45857</v>
      </c>
      <c r="E648">
        <v>0</v>
      </c>
      <c r="F648" t="s">
        <v>697</v>
      </c>
      <c r="G648">
        <v>620</v>
      </c>
    </row>
    <row r="649" spans="1:7" x14ac:dyDescent="0.3">
      <c r="A649" t="s">
        <v>1039</v>
      </c>
      <c r="B649" t="s">
        <v>225</v>
      </c>
      <c r="C649">
        <v>19</v>
      </c>
      <c r="D649" s="1">
        <v>45856</v>
      </c>
      <c r="E649">
        <v>0</v>
      </c>
      <c r="F649" t="s">
        <v>1733</v>
      </c>
      <c r="G649">
        <v>467</v>
      </c>
    </row>
    <row r="650" spans="1:7" x14ac:dyDescent="0.3">
      <c r="A650" t="s">
        <v>1039</v>
      </c>
      <c r="B650" t="s">
        <v>235</v>
      </c>
      <c r="C650">
        <v>19</v>
      </c>
      <c r="D650" s="1">
        <v>45854</v>
      </c>
      <c r="E650">
        <v>0</v>
      </c>
      <c r="F650" t="s">
        <v>631</v>
      </c>
      <c r="G650">
        <v>377</v>
      </c>
    </row>
    <row r="651" spans="1:7" x14ac:dyDescent="0.3">
      <c r="A651" t="s">
        <v>1039</v>
      </c>
      <c r="B651" t="s">
        <v>309</v>
      </c>
      <c r="C651">
        <v>20</v>
      </c>
      <c r="D651" s="1">
        <v>45864</v>
      </c>
      <c r="E651">
        <v>106700</v>
      </c>
      <c r="F651" t="s">
        <v>1282</v>
      </c>
      <c r="G651">
        <v>1264</v>
      </c>
    </row>
    <row r="652" spans="1:7" x14ac:dyDescent="0.3">
      <c r="A652" t="s">
        <v>1039</v>
      </c>
      <c r="B652" t="s">
        <v>233</v>
      </c>
      <c r="C652">
        <v>20</v>
      </c>
      <c r="D652" s="1">
        <v>45856</v>
      </c>
      <c r="E652">
        <v>93500</v>
      </c>
      <c r="F652" t="s">
        <v>718</v>
      </c>
      <c r="G652">
        <v>611</v>
      </c>
    </row>
    <row r="653" spans="1:7" x14ac:dyDescent="0.3">
      <c r="A653" t="s">
        <v>1039</v>
      </c>
      <c r="B653" t="s">
        <v>230</v>
      </c>
      <c r="C653">
        <v>20</v>
      </c>
      <c r="D653" s="1">
        <v>45862</v>
      </c>
      <c r="E653">
        <v>84700</v>
      </c>
      <c r="F653" t="s">
        <v>1436</v>
      </c>
      <c r="G653">
        <v>1148</v>
      </c>
    </row>
    <row r="654" spans="1:7" x14ac:dyDescent="0.3">
      <c r="A654" t="s">
        <v>1039</v>
      </c>
      <c r="B654" t="s">
        <v>310</v>
      </c>
      <c r="C654">
        <v>20</v>
      </c>
      <c r="D654" s="1">
        <v>45857</v>
      </c>
      <c r="E654">
        <v>83600</v>
      </c>
      <c r="F654" t="s">
        <v>1507</v>
      </c>
      <c r="G654">
        <v>1130</v>
      </c>
    </row>
    <row r="655" spans="1:7" x14ac:dyDescent="0.3">
      <c r="A655" t="s">
        <v>1039</v>
      </c>
      <c r="B655" t="s">
        <v>311</v>
      </c>
      <c r="C655">
        <v>20</v>
      </c>
      <c r="D655" s="1">
        <v>45855</v>
      </c>
      <c r="E655">
        <v>66000</v>
      </c>
      <c r="F655" t="s">
        <v>737</v>
      </c>
      <c r="G655">
        <v>524</v>
      </c>
    </row>
    <row r="656" spans="1:7" x14ac:dyDescent="0.3">
      <c r="A656" t="s">
        <v>1039</v>
      </c>
      <c r="B656" t="s">
        <v>231</v>
      </c>
      <c r="C656">
        <v>20</v>
      </c>
      <c r="D656" s="1">
        <v>45868</v>
      </c>
      <c r="E656">
        <v>64900</v>
      </c>
      <c r="F656" t="s">
        <v>1094</v>
      </c>
      <c r="G656">
        <v>1553</v>
      </c>
    </row>
    <row r="657" spans="1:7" x14ac:dyDescent="0.3">
      <c r="A657" t="s">
        <v>1039</v>
      </c>
      <c r="B657" t="s">
        <v>228</v>
      </c>
      <c r="C657">
        <v>20</v>
      </c>
      <c r="D657" s="1">
        <v>45857</v>
      </c>
      <c r="E657">
        <v>62700</v>
      </c>
      <c r="F657" t="s">
        <v>511</v>
      </c>
      <c r="G657">
        <v>876</v>
      </c>
    </row>
    <row r="658" spans="1:7" x14ac:dyDescent="0.3">
      <c r="A658" t="s">
        <v>1039</v>
      </c>
      <c r="B658" t="s">
        <v>310</v>
      </c>
      <c r="C658">
        <v>20</v>
      </c>
      <c r="D658" s="1">
        <v>45856</v>
      </c>
      <c r="E658">
        <v>58300</v>
      </c>
      <c r="F658" t="s">
        <v>526</v>
      </c>
      <c r="G658">
        <v>696</v>
      </c>
    </row>
    <row r="659" spans="1:7" x14ac:dyDescent="0.3">
      <c r="A659" t="s">
        <v>1039</v>
      </c>
      <c r="B659" t="s">
        <v>236</v>
      </c>
      <c r="C659">
        <v>20</v>
      </c>
      <c r="D659" s="1">
        <v>45857</v>
      </c>
      <c r="E659">
        <v>56100</v>
      </c>
      <c r="F659" t="s">
        <v>739</v>
      </c>
      <c r="G659">
        <v>568</v>
      </c>
    </row>
    <row r="660" spans="1:7" x14ac:dyDescent="0.3">
      <c r="A660" t="s">
        <v>1039</v>
      </c>
      <c r="B660" t="s">
        <v>230</v>
      </c>
      <c r="C660">
        <v>20</v>
      </c>
      <c r="D660" s="1">
        <v>45861</v>
      </c>
      <c r="E660">
        <v>51700</v>
      </c>
      <c r="F660" t="s">
        <v>611</v>
      </c>
      <c r="G660">
        <v>960</v>
      </c>
    </row>
    <row r="661" spans="1:7" x14ac:dyDescent="0.3">
      <c r="A661" t="s">
        <v>1039</v>
      </c>
      <c r="B661" t="s">
        <v>233</v>
      </c>
      <c r="C661">
        <v>20</v>
      </c>
      <c r="D661" s="1">
        <v>45854</v>
      </c>
      <c r="E661">
        <v>51700</v>
      </c>
      <c r="F661" t="s">
        <v>940</v>
      </c>
      <c r="G661">
        <v>443</v>
      </c>
    </row>
    <row r="662" spans="1:7" x14ac:dyDescent="0.3">
      <c r="A662" t="s">
        <v>1039</v>
      </c>
      <c r="B662" t="s">
        <v>309</v>
      </c>
      <c r="C662">
        <v>20</v>
      </c>
      <c r="D662" s="1">
        <v>45865</v>
      </c>
      <c r="E662">
        <v>47300</v>
      </c>
      <c r="F662" t="s">
        <v>1286</v>
      </c>
      <c r="G662">
        <v>1296</v>
      </c>
    </row>
    <row r="663" spans="1:7" x14ac:dyDescent="0.3">
      <c r="A663" t="s">
        <v>1039</v>
      </c>
      <c r="B663" t="s">
        <v>310</v>
      </c>
      <c r="C663">
        <v>20</v>
      </c>
      <c r="D663" s="1">
        <v>45858</v>
      </c>
      <c r="E663">
        <v>42900</v>
      </c>
      <c r="F663" t="s">
        <v>1676</v>
      </c>
      <c r="G663">
        <v>758</v>
      </c>
    </row>
    <row r="664" spans="1:7" x14ac:dyDescent="0.3">
      <c r="A664" t="s">
        <v>1039</v>
      </c>
      <c r="B664" t="s">
        <v>236</v>
      </c>
      <c r="C664">
        <v>20</v>
      </c>
      <c r="D664" s="1">
        <v>45865</v>
      </c>
      <c r="E664">
        <v>40700</v>
      </c>
      <c r="F664" t="s">
        <v>1257</v>
      </c>
      <c r="G664">
        <v>1348</v>
      </c>
    </row>
    <row r="665" spans="1:7" x14ac:dyDescent="0.3">
      <c r="A665" t="s">
        <v>1039</v>
      </c>
      <c r="B665" t="s">
        <v>310</v>
      </c>
      <c r="C665">
        <v>20</v>
      </c>
      <c r="D665" s="1">
        <v>45856</v>
      </c>
      <c r="E665">
        <v>40700</v>
      </c>
      <c r="F665" t="s">
        <v>634</v>
      </c>
      <c r="G665">
        <v>632</v>
      </c>
    </row>
    <row r="666" spans="1:7" x14ac:dyDescent="0.3">
      <c r="A666" t="s">
        <v>1039</v>
      </c>
      <c r="B666" t="s">
        <v>310</v>
      </c>
      <c r="C666">
        <v>20</v>
      </c>
      <c r="D666" s="1">
        <v>45854</v>
      </c>
      <c r="E666">
        <v>40700</v>
      </c>
      <c r="F666" t="s">
        <v>846</v>
      </c>
      <c r="G666">
        <v>432</v>
      </c>
    </row>
    <row r="667" spans="1:7" x14ac:dyDescent="0.3">
      <c r="A667" t="s">
        <v>1039</v>
      </c>
      <c r="B667" t="s">
        <v>310</v>
      </c>
      <c r="C667">
        <v>20</v>
      </c>
      <c r="D667" s="1">
        <v>45853</v>
      </c>
      <c r="E667">
        <v>40700</v>
      </c>
      <c r="F667" t="s">
        <v>854</v>
      </c>
      <c r="G667">
        <v>1834</v>
      </c>
    </row>
    <row r="668" spans="1:7" x14ac:dyDescent="0.3">
      <c r="A668" t="s">
        <v>1039</v>
      </c>
      <c r="B668" t="s">
        <v>310</v>
      </c>
      <c r="C668">
        <v>20</v>
      </c>
      <c r="D668" s="1">
        <v>45856</v>
      </c>
      <c r="E668">
        <v>36300</v>
      </c>
      <c r="F668" t="s">
        <v>651</v>
      </c>
      <c r="G668">
        <v>625</v>
      </c>
    </row>
    <row r="669" spans="1:7" x14ac:dyDescent="0.3">
      <c r="A669" t="s">
        <v>1039</v>
      </c>
      <c r="B669" t="s">
        <v>310</v>
      </c>
      <c r="C669">
        <v>20</v>
      </c>
      <c r="D669" s="1">
        <v>45854</v>
      </c>
      <c r="E669">
        <v>33000</v>
      </c>
      <c r="F669" t="s">
        <v>769</v>
      </c>
      <c r="G669">
        <v>451</v>
      </c>
    </row>
    <row r="670" spans="1:7" x14ac:dyDescent="0.3">
      <c r="A670" t="s">
        <v>1039</v>
      </c>
      <c r="B670" t="s">
        <v>310</v>
      </c>
      <c r="C670">
        <v>20</v>
      </c>
      <c r="D670" s="1">
        <v>45854</v>
      </c>
      <c r="E670">
        <v>33000</v>
      </c>
      <c r="F670" t="s">
        <v>1748</v>
      </c>
      <c r="G670">
        <v>403</v>
      </c>
    </row>
    <row r="671" spans="1:7" x14ac:dyDescent="0.3">
      <c r="A671" t="s">
        <v>1039</v>
      </c>
      <c r="B671" t="s">
        <v>236</v>
      </c>
      <c r="C671">
        <v>20</v>
      </c>
      <c r="D671" s="1">
        <v>45857</v>
      </c>
      <c r="E671">
        <v>31900</v>
      </c>
      <c r="F671" t="s">
        <v>1712</v>
      </c>
      <c r="G671">
        <v>610</v>
      </c>
    </row>
    <row r="672" spans="1:7" x14ac:dyDescent="0.3">
      <c r="A672" t="s">
        <v>1039</v>
      </c>
      <c r="B672" t="s">
        <v>310</v>
      </c>
      <c r="C672">
        <v>20</v>
      </c>
      <c r="D672" s="1">
        <v>45855</v>
      </c>
      <c r="E672">
        <v>30800</v>
      </c>
      <c r="F672" t="s">
        <v>748</v>
      </c>
      <c r="G672">
        <v>503</v>
      </c>
    </row>
    <row r="673" spans="1:7" x14ac:dyDescent="0.3">
      <c r="A673" t="s">
        <v>1039</v>
      </c>
      <c r="B673" t="s">
        <v>309</v>
      </c>
      <c r="C673">
        <v>20</v>
      </c>
      <c r="D673" s="1">
        <v>45865</v>
      </c>
      <c r="E673">
        <v>29700</v>
      </c>
      <c r="F673" t="s">
        <v>1206</v>
      </c>
      <c r="G673">
        <v>1401</v>
      </c>
    </row>
    <row r="674" spans="1:7" x14ac:dyDescent="0.3">
      <c r="A674" t="s">
        <v>1039</v>
      </c>
      <c r="B674" t="s">
        <v>310</v>
      </c>
      <c r="C674">
        <v>20</v>
      </c>
      <c r="D674" s="1">
        <v>45860</v>
      </c>
      <c r="E674">
        <v>29700</v>
      </c>
      <c r="F674" t="s">
        <v>524</v>
      </c>
      <c r="G674">
        <v>914</v>
      </c>
    </row>
    <row r="675" spans="1:7" x14ac:dyDescent="0.3">
      <c r="A675" t="s">
        <v>1039</v>
      </c>
      <c r="B675" t="s">
        <v>310</v>
      </c>
      <c r="C675">
        <v>20</v>
      </c>
      <c r="D675" s="1">
        <v>45861</v>
      </c>
      <c r="E675">
        <v>29700</v>
      </c>
      <c r="F675" t="s">
        <v>499</v>
      </c>
      <c r="G675">
        <v>905</v>
      </c>
    </row>
    <row r="676" spans="1:7" x14ac:dyDescent="0.3">
      <c r="A676" t="s">
        <v>1039</v>
      </c>
      <c r="B676" t="s">
        <v>234</v>
      </c>
      <c r="C676">
        <v>20</v>
      </c>
      <c r="D676" s="1">
        <v>45856</v>
      </c>
      <c r="E676">
        <v>29700</v>
      </c>
      <c r="F676" t="s">
        <v>629</v>
      </c>
      <c r="G676">
        <v>709</v>
      </c>
    </row>
    <row r="677" spans="1:7" x14ac:dyDescent="0.3">
      <c r="A677" t="s">
        <v>1039</v>
      </c>
      <c r="B677" t="s">
        <v>229</v>
      </c>
      <c r="C677">
        <v>20</v>
      </c>
      <c r="D677" s="1">
        <v>45857</v>
      </c>
      <c r="E677">
        <v>29700</v>
      </c>
      <c r="F677" t="s">
        <v>1706</v>
      </c>
      <c r="G677">
        <v>663</v>
      </c>
    </row>
    <row r="678" spans="1:7" x14ac:dyDescent="0.3">
      <c r="A678" t="s">
        <v>1039</v>
      </c>
      <c r="B678" t="s">
        <v>310</v>
      </c>
      <c r="C678">
        <v>20</v>
      </c>
      <c r="D678" s="1">
        <v>45856</v>
      </c>
      <c r="E678">
        <v>29700</v>
      </c>
      <c r="F678" t="s">
        <v>819</v>
      </c>
      <c r="G678">
        <v>529</v>
      </c>
    </row>
    <row r="679" spans="1:7" x14ac:dyDescent="0.3">
      <c r="A679" t="s">
        <v>1039</v>
      </c>
      <c r="B679" t="s">
        <v>235</v>
      </c>
      <c r="C679">
        <v>20</v>
      </c>
      <c r="D679" s="1">
        <v>45855</v>
      </c>
      <c r="E679">
        <v>29700</v>
      </c>
      <c r="F679" t="s">
        <v>768</v>
      </c>
      <c r="G679">
        <v>477</v>
      </c>
    </row>
    <row r="680" spans="1:7" x14ac:dyDescent="0.3">
      <c r="A680" t="s">
        <v>1039</v>
      </c>
      <c r="B680" t="s">
        <v>310</v>
      </c>
      <c r="C680">
        <v>20</v>
      </c>
      <c r="D680" s="1">
        <v>45853</v>
      </c>
      <c r="E680">
        <v>29700</v>
      </c>
      <c r="F680" t="s">
        <v>1750</v>
      </c>
      <c r="G680">
        <v>1833</v>
      </c>
    </row>
    <row r="681" spans="1:7" x14ac:dyDescent="0.3">
      <c r="A681" t="s">
        <v>1039</v>
      </c>
      <c r="B681" t="s">
        <v>309</v>
      </c>
      <c r="C681">
        <v>20</v>
      </c>
      <c r="D681" s="1">
        <v>45865</v>
      </c>
      <c r="E681">
        <v>28600</v>
      </c>
      <c r="F681" t="s">
        <v>1197</v>
      </c>
      <c r="G681">
        <v>1385</v>
      </c>
    </row>
    <row r="682" spans="1:7" x14ac:dyDescent="0.3">
      <c r="A682" t="s">
        <v>1039</v>
      </c>
      <c r="B682" t="s">
        <v>231</v>
      </c>
      <c r="C682">
        <v>20</v>
      </c>
      <c r="D682" s="1">
        <v>45860</v>
      </c>
      <c r="E682">
        <v>27500</v>
      </c>
      <c r="F682" t="s">
        <v>573</v>
      </c>
      <c r="G682">
        <v>1024</v>
      </c>
    </row>
    <row r="683" spans="1:7" x14ac:dyDescent="0.3">
      <c r="A683" t="s">
        <v>1039</v>
      </c>
      <c r="B683" t="s">
        <v>224</v>
      </c>
      <c r="C683">
        <v>20</v>
      </c>
      <c r="D683" s="1">
        <v>45855</v>
      </c>
      <c r="E683">
        <v>27500</v>
      </c>
      <c r="F683" t="s">
        <v>887</v>
      </c>
      <c r="G683">
        <v>429</v>
      </c>
    </row>
    <row r="684" spans="1:7" x14ac:dyDescent="0.3">
      <c r="A684" t="s">
        <v>1039</v>
      </c>
      <c r="B684" t="s">
        <v>310</v>
      </c>
      <c r="C684">
        <v>20</v>
      </c>
      <c r="D684" s="1">
        <v>45854</v>
      </c>
      <c r="E684">
        <v>27500</v>
      </c>
      <c r="F684" t="s">
        <v>998</v>
      </c>
      <c r="G684">
        <v>414</v>
      </c>
    </row>
    <row r="685" spans="1:7" x14ac:dyDescent="0.3">
      <c r="A685" t="s">
        <v>1039</v>
      </c>
      <c r="B685" t="s">
        <v>310</v>
      </c>
      <c r="C685">
        <v>20</v>
      </c>
      <c r="D685" s="1">
        <v>45859</v>
      </c>
      <c r="E685">
        <v>26400</v>
      </c>
      <c r="F685" t="s">
        <v>1675</v>
      </c>
      <c r="G685">
        <v>770</v>
      </c>
    </row>
    <row r="686" spans="1:7" x14ac:dyDescent="0.3">
      <c r="A686" t="s">
        <v>1039</v>
      </c>
      <c r="B686" t="s">
        <v>231</v>
      </c>
      <c r="C686">
        <v>20</v>
      </c>
      <c r="D686" s="1">
        <v>45858</v>
      </c>
      <c r="E686">
        <v>16500</v>
      </c>
      <c r="F686" t="s">
        <v>605</v>
      </c>
      <c r="G686">
        <v>721</v>
      </c>
    </row>
    <row r="687" spans="1:7" x14ac:dyDescent="0.3">
      <c r="A687" t="s">
        <v>1039</v>
      </c>
      <c r="B687" t="s">
        <v>232</v>
      </c>
      <c r="C687">
        <v>20</v>
      </c>
      <c r="D687" s="1">
        <v>45861</v>
      </c>
      <c r="E687">
        <v>14300</v>
      </c>
      <c r="F687" t="s">
        <v>1622</v>
      </c>
      <c r="G687">
        <v>879</v>
      </c>
    </row>
    <row r="688" spans="1:7" x14ac:dyDescent="0.3">
      <c r="A688" t="s">
        <v>1039</v>
      </c>
      <c r="B688" t="s">
        <v>310</v>
      </c>
      <c r="C688">
        <v>20</v>
      </c>
      <c r="D688" s="1">
        <v>45857</v>
      </c>
      <c r="E688">
        <v>13200</v>
      </c>
      <c r="F688" t="s">
        <v>702</v>
      </c>
      <c r="G688">
        <v>610</v>
      </c>
    </row>
    <row r="689" spans="1:7" x14ac:dyDescent="0.3">
      <c r="A689" t="s">
        <v>1039</v>
      </c>
      <c r="B689" t="s">
        <v>310</v>
      </c>
      <c r="C689">
        <v>20</v>
      </c>
      <c r="D689" s="1">
        <v>45854</v>
      </c>
      <c r="E689">
        <v>12100</v>
      </c>
      <c r="F689" t="s">
        <v>814</v>
      </c>
      <c r="G689">
        <v>410</v>
      </c>
    </row>
    <row r="690" spans="1:7" x14ac:dyDescent="0.3">
      <c r="A690" t="s">
        <v>1039</v>
      </c>
      <c r="B690" t="s">
        <v>231</v>
      </c>
      <c r="C690">
        <v>20</v>
      </c>
      <c r="D690" s="1">
        <v>45861</v>
      </c>
      <c r="E690">
        <v>11000</v>
      </c>
      <c r="F690" t="s">
        <v>1599</v>
      </c>
      <c r="G690">
        <v>921</v>
      </c>
    </row>
    <row r="691" spans="1:7" x14ac:dyDescent="0.3">
      <c r="A691" t="s">
        <v>1039</v>
      </c>
      <c r="B691" t="s">
        <v>310</v>
      </c>
      <c r="C691">
        <v>20</v>
      </c>
      <c r="D691" s="1">
        <v>45857</v>
      </c>
      <c r="E691">
        <v>11000</v>
      </c>
      <c r="F691" t="s">
        <v>792</v>
      </c>
      <c r="G691">
        <v>592</v>
      </c>
    </row>
    <row r="692" spans="1:7" x14ac:dyDescent="0.3">
      <c r="A692" t="s">
        <v>1039</v>
      </c>
      <c r="B692" t="s">
        <v>310</v>
      </c>
      <c r="C692">
        <v>20</v>
      </c>
      <c r="D692" s="1">
        <v>45856</v>
      </c>
      <c r="E692">
        <v>11000</v>
      </c>
      <c r="F692" t="s">
        <v>501</v>
      </c>
      <c r="G692">
        <v>593</v>
      </c>
    </row>
    <row r="693" spans="1:7" x14ac:dyDescent="0.3">
      <c r="A693" t="s">
        <v>1039</v>
      </c>
      <c r="B693" t="s">
        <v>310</v>
      </c>
      <c r="C693">
        <v>20</v>
      </c>
      <c r="D693" s="1">
        <v>45854</v>
      </c>
      <c r="E693">
        <v>11000</v>
      </c>
      <c r="F693" t="s">
        <v>803</v>
      </c>
      <c r="G693">
        <v>413</v>
      </c>
    </row>
    <row r="694" spans="1:7" x14ac:dyDescent="0.3">
      <c r="A694" t="s">
        <v>1039</v>
      </c>
      <c r="B694" t="s">
        <v>309</v>
      </c>
      <c r="C694">
        <v>20</v>
      </c>
      <c r="D694" s="1">
        <v>45861</v>
      </c>
      <c r="E694">
        <v>8800</v>
      </c>
      <c r="F694" t="s">
        <v>1554</v>
      </c>
      <c r="G694">
        <v>1008</v>
      </c>
    </row>
    <row r="695" spans="1:7" x14ac:dyDescent="0.3">
      <c r="A695" t="s">
        <v>1039</v>
      </c>
      <c r="B695" t="s">
        <v>231</v>
      </c>
      <c r="C695">
        <v>20</v>
      </c>
      <c r="D695" s="1">
        <v>45855</v>
      </c>
      <c r="E695">
        <v>8800</v>
      </c>
      <c r="F695" t="s">
        <v>1718</v>
      </c>
      <c r="G695">
        <v>562</v>
      </c>
    </row>
    <row r="696" spans="1:7" x14ac:dyDescent="0.3">
      <c r="A696" t="s">
        <v>1039</v>
      </c>
      <c r="B696" t="s">
        <v>309</v>
      </c>
      <c r="C696">
        <v>20</v>
      </c>
      <c r="D696" s="1">
        <v>45868</v>
      </c>
      <c r="E696">
        <v>7700</v>
      </c>
      <c r="F696" t="s">
        <v>1063</v>
      </c>
      <c r="G696">
        <v>1528</v>
      </c>
    </row>
    <row r="697" spans="1:7" x14ac:dyDescent="0.3">
      <c r="A697" t="s">
        <v>1039</v>
      </c>
      <c r="B697" t="s">
        <v>309</v>
      </c>
      <c r="C697">
        <v>20</v>
      </c>
      <c r="D697" s="1">
        <v>45867</v>
      </c>
      <c r="E697">
        <v>7700</v>
      </c>
      <c r="F697" t="s">
        <v>1077</v>
      </c>
      <c r="G697">
        <v>1695</v>
      </c>
    </row>
    <row r="698" spans="1:7" x14ac:dyDescent="0.3">
      <c r="A698" t="s">
        <v>1039</v>
      </c>
      <c r="B698" t="s">
        <v>309</v>
      </c>
      <c r="C698">
        <v>20</v>
      </c>
      <c r="D698" s="1">
        <v>45867</v>
      </c>
      <c r="E698">
        <v>7700</v>
      </c>
      <c r="F698" t="s">
        <v>1089</v>
      </c>
      <c r="G698">
        <v>1518</v>
      </c>
    </row>
    <row r="699" spans="1:7" x14ac:dyDescent="0.3">
      <c r="A699" t="s">
        <v>1039</v>
      </c>
      <c r="B699" t="s">
        <v>309</v>
      </c>
      <c r="C699">
        <v>20</v>
      </c>
      <c r="D699" s="1">
        <v>45868</v>
      </c>
      <c r="E699">
        <v>7700</v>
      </c>
      <c r="F699" t="s">
        <v>1100</v>
      </c>
      <c r="G699">
        <v>1593</v>
      </c>
    </row>
    <row r="700" spans="1:7" x14ac:dyDescent="0.3">
      <c r="A700" t="s">
        <v>1039</v>
      </c>
      <c r="B700" t="s">
        <v>309</v>
      </c>
      <c r="C700">
        <v>20</v>
      </c>
      <c r="D700" s="1">
        <v>45867</v>
      </c>
      <c r="E700">
        <v>7700</v>
      </c>
      <c r="F700" t="s">
        <v>1108</v>
      </c>
      <c r="G700">
        <v>1528</v>
      </c>
    </row>
    <row r="701" spans="1:7" x14ac:dyDescent="0.3">
      <c r="A701" t="s">
        <v>1039</v>
      </c>
      <c r="B701" t="s">
        <v>309</v>
      </c>
      <c r="C701">
        <v>20</v>
      </c>
      <c r="D701" s="1">
        <v>45867</v>
      </c>
      <c r="E701">
        <v>7700</v>
      </c>
      <c r="F701" t="s">
        <v>1141</v>
      </c>
      <c r="G701">
        <v>1481</v>
      </c>
    </row>
    <row r="702" spans="1:7" x14ac:dyDescent="0.3">
      <c r="A702" t="s">
        <v>1039</v>
      </c>
      <c r="B702" t="s">
        <v>310</v>
      </c>
      <c r="C702">
        <v>20</v>
      </c>
      <c r="D702" s="1">
        <v>45867</v>
      </c>
      <c r="E702">
        <v>7700</v>
      </c>
      <c r="F702" t="s">
        <v>1142</v>
      </c>
      <c r="G702">
        <v>1503</v>
      </c>
    </row>
    <row r="703" spans="1:7" x14ac:dyDescent="0.3">
      <c r="A703" t="s">
        <v>1039</v>
      </c>
      <c r="B703" t="s">
        <v>309</v>
      </c>
      <c r="C703">
        <v>20</v>
      </c>
      <c r="D703" s="1">
        <v>45866</v>
      </c>
      <c r="E703">
        <v>7700</v>
      </c>
      <c r="F703" t="s">
        <v>1160</v>
      </c>
      <c r="G703">
        <v>1497</v>
      </c>
    </row>
    <row r="704" spans="1:7" x14ac:dyDescent="0.3">
      <c r="A704" t="s">
        <v>1039</v>
      </c>
      <c r="B704" t="s">
        <v>309</v>
      </c>
      <c r="C704">
        <v>20</v>
      </c>
      <c r="D704" s="1">
        <v>45865</v>
      </c>
      <c r="E704">
        <v>7700</v>
      </c>
      <c r="F704" t="s">
        <v>1166</v>
      </c>
      <c r="G704">
        <v>1478</v>
      </c>
    </row>
    <row r="705" spans="1:7" x14ac:dyDescent="0.3">
      <c r="A705" t="s">
        <v>1039</v>
      </c>
      <c r="B705" t="s">
        <v>309</v>
      </c>
      <c r="C705">
        <v>20</v>
      </c>
      <c r="D705" s="1">
        <v>45866</v>
      </c>
      <c r="E705">
        <v>7700</v>
      </c>
      <c r="F705" t="s">
        <v>1169</v>
      </c>
      <c r="G705">
        <v>1440</v>
      </c>
    </row>
    <row r="706" spans="1:7" x14ac:dyDescent="0.3">
      <c r="A706" t="s">
        <v>1039</v>
      </c>
      <c r="B706" t="s">
        <v>229</v>
      </c>
      <c r="C706">
        <v>20</v>
      </c>
      <c r="D706" s="1">
        <v>45866</v>
      </c>
      <c r="E706">
        <v>7700</v>
      </c>
      <c r="F706" t="s">
        <v>1178</v>
      </c>
      <c r="G706">
        <v>1402</v>
      </c>
    </row>
    <row r="707" spans="1:7" x14ac:dyDescent="0.3">
      <c r="A707" t="s">
        <v>1039</v>
      </c>
      <c r="B707" t="s">
        <v>233</v>
      </c>
      <c r="C707">
        <v>20</v>
      </c>
      <c r="D707" s="1">
        <v>45866</v>
      </c>
      <c r="E707">
        <v>7700</v>
      </c>
      <c r="F707" t="s">
        <v>1189</v>
      </c>
      <c r="G707">
        <v>1389</v>
      </c>
    </row>
    <row r="708" spans="1:7" x14ac:dyDescent="0.3">
      <c r="A708" t="s">
        <v>1039</v>
      </c>
      <c r="B708" t="s">
        <v>309</v>
      </c>
      <c r="C708">
        <v>20</v>
      </c>
      <c r="D708" s="1">
        <v>45866</v>
      </c>
      <c r="E708">
        <v>7700</v>
      </c>
      <c r="F708" t="s">
        <v>1209</v>
      </c>
      <c r="G708">
        <v>1399</v>
      </c>
    </row>
    <row r="709" spans="1:7" x14ac:dyDescent="0.3">
      <c r="A709" t="s">
        <v>1039</v>
      </c>
      <c r="B709" t="s">
        <v>309</v>
      </c>
      <c r="C709">
        <v>20</v>
      </c>
      <c r="D709" s="1">
        <v>45866</v>
      </c>
      <c r="E709">
        <v>7700</v>
      </c>
      <c r="F709" t="s">
        <v>1224</v>
      </c>
      <c r="G709">
        <v>1373</v>
      </c>
    </row>
    <row r="710" spans="1:7" x14ac:dyDescent="0.3">
      <c r="A710" t="s">
        <v>1039</v>
      </c>
      <c r="B710" t="s">
        <v>310</v>
      </c>
      <c r="C710">
        <v>20</v>
      </c>
      <c r="D710" s="1">
        <v>45863</v>
      </c>
      <c r="E710">
        <v>7700</v>
      </c>
      <c r="F710" t="s">
        <v>1226</v>
      </c>
      <c r="G710">
        <v>1373</v>
      </c>
    </row>
    <row r="711" spans="1:7" x14ac:dyDescent="0.3">
      <c r="A711" t="s">
        <v>1039</v>
      </c>
      <c r="B711" t="s">
        <v>309</v>
      </c>
      <c r="C711">
        <v>20</v>
      </c>
      <c r="D711" s="1">
        <v>45864</v>
      </c>
      <c r="E711">
        <v>7700</v>
      </c>
      <c r="F711" t="s">
        <v>1243</v>
      </c>
      <c r="G711">
        <v>1356</v>
      </c>
    </row>
    <row r="712" spans="1:7" x14ac:dyDescent="0.3">
      <c r="A712" t="s">
        <v>1039</v>
      </c>
      <c r="B712" t="s">
        <v>226</v>
      </c>
      <c r="C712">
        <v>20</v>
      </c>
      <c r="D712" s="1">
        <v>45865</v>
      </c>
      <c r="E712">
        <v>7700</v>
      </c>
      <c r="F712" t="s">
        <v>1245</v>
      </c>
      <c r="G712">
        <v>1340</v>
      </c>
    </row>
    <row r="713" spans="1:7" x14ac:dyDescent="0.3">
      <c r="A713" t="s">
        <v>1039</v>
      </c>
      <c r="B713" t="s">
        <v>310</v>
      </c>
      <c r="C713">
        <v>20</v>
      </c>
      <c r="D713" s="1">
        <v>45864</v>
      </c>
      <c r="E713">
        <v>7700</v>
      </c>
      <c r="F713" t="s">
        <v>1249</v>
      </c>
      <c r="G713">
        <v>1345</v>
      </c>
    </row>
    <row r="714" spans="1:7" x14ac:dyDescent="0.3">
      <c r="A714" t="s">
        <v>1039</v>
      </c>
      <c r="B714" t="s">
        <v>235</v>
      </c>
      <c r="C714">
        <v>20</v>
      </c>
      <c r="D714" s="1">
        <v>45864</v>
      </c>
      <c r="E714">
        <v>7700</v>
      </c>
      <c r="F714" t="s">
        <v>1256</v>
      </c>
      <c r="G714">
        <v>1314</v>
      </c>
    </row>
    <row r="715" spans="1:7" x14ac:dyDescent="0.3">
      <c r="A715" t="s">
        <v>1039</v>
      </c>
      <c r="B715" t="s">
        <v>235</v>
      </c>
      <c r="C715">
        <v>20</v>
      </c>
      <c r="D715" s="1">
        <v>45865</v>
      </c>
      <c r="E715">
        <v>7700</v>
      </c>
      <c r="F715" t="s">
        <v>1293</v>
      </c>
      <c r="G715">
        <v>1308</v>
      </c>
    </row>
    <row r="716" spans="1:7" x14ac:dyDescent="0.3">
      <c r="A716" t="s">
        <v>1039</v>
      </c>
      <c r="B716" t="s">
        <v>309</v>
      </c>
      <c r="C716">
        <v>20</v>
      </c>
      <c r="D716" s="1">
        <v>45864</v>
      </c>
      <c r="E716">
        <v>7700</v>
      </c>
      <c r="F716" t="s">
        <v>1300</v>
      </c>
      <c r="G716">
        <v>1349</v>
      </c>
    </row>
    <row r="717" spans="1:7" x14ac:dyDescent="0.3">
      <c r="A717" t="s">
        <v>1039</v>
      </c>
      <c r="B717" t="s">
        <v>309</v>
      </c>
      <c r="C717">
        <v>20</v>
      </c>
      <c r="D717" s="1">
        <v>45864</v>
      </c>
      <c r="E717">
        <v>7700</v>
      </c>
      <c r="F717" t="s">
        <v>1305</v>
      </c>
      <c r="G717">
        <v>1301</v>
      </c>
    </row>
    <row r="718" spans="1:7" x14ac:dyDescent="0.3">
      <c r="A718" t="s">
        <v>1039</v>
      </c>
      <c r="B718" t="s">
        <v>309</v>
      </c>
      <c r="C718">
        <v>20</v>
      </c>
      <c r="D718" s="1">
        <v>45865</v>
      </c>
      <c r="E718">
        <v>7700</v>
      </c>
      <c r="F718" t="s">
        <v>1308</v>
      </c>
      <c r="G718">
        <v>1485</v>
      </c>
    </row>
    <row r="719" spans="1:7" x14ac:dyDescent="0.3">
      <c r="A719" t="s">
        <v>1039</v>
      </c>
      <c r="B719" t="s">
        <v>309</v>
      </c>
      <c r="C719">
        <v>20</v>
      </c>
      <c r="D719" s="1">
        <v>45865</v>
      </c>
      <c r="E719">
        <v>7700</v>
      </c>
      <c r="F719" t="s">
        <v>1312</v>
      </c>
      <c r="G719">
        <v>1307</v>
      </c>
    </row>
    <row r="720" spans="1:7" x14ac:dyDescent="0.3">
      <c r="A720" t="s">
        <v>1039</v>
      </c>
      <c r="B720" t="s">
        <v>309</v>
      </c>
      <c r="C720">
        <v>20</v>
      </c>
      <c r="D720" s="1">
        <v>45864</v>
      </c>
      <c r="E720">
        <v>7700</v>
      </c>
      <c r="F720" t="s">
        <v>1372</v>
      </c>
      <c r="G720">
        <v>1363</v>
      </c>
    </row>
    <row r="721" spans="1:7" x14ac:dyDescent="0.3">
      <c r="A721" t="s">
        <v>1039</v>
      </c>
      <c r="B721" t="s">
        <v>231</v>
      </c>
      <c r="C721">
        <v>20</v>
      </c>
      <c r="D721" s="1">
        <v>45864</v>
      </c>
      <c r="E721">
        <v>7700</v>
      </c>
      <c r="F721" t="s">
        <v>1377</v>
      </c>
      <c r="G721">
        <v>1281</v>
      </c>
    </row>
    <row r="722" spans="1:7" x14ac:dyDescent="0.3">
      <c r="A722" t="s">
        <v>1039</v>
      </c>
      <c r="B722" t="s">
        <v>309</v>
      </c>
      <c r="C722">
        <v>20</v>
      </c>
      <c r="D722" s="1">
        <v>45863</v>
      </c>
      <c r="E722">
        <v>7700</v>
      </c>
      <c r="F722" t="s">
        <v>1407</v>
      </c>
      <c r="G722">
        <v>1169</v>
      </c>
    </row>
    <row r="723" spans="1:7" x14ac:dyDescent="0.3">
      <c r="A723" t="s">
        <v>1039</v>
      </c>
      <c r="B723" t="s">
        <v>310</v>
      </c>
      <c r="C723">
        <v>20</v>
      </c>
      <c r="D723" s="1">
        <v>45863</v>
      </c>
      <c r="E723">
        <v>7700</v>
      </c>
      <c r="F723" t="s">
        <v>1452</v>
      </c>
      <c r="G723">
        <v>1163</v>
      </c>
    </row>
    <row r="724" spans="1:7" x14ac:dyDescent="0.3">
      <c r="A724" t="s">
        <v>1039</v>
      </c>
      <c r="B724" t="s">
        <v>310</v>
      </c>
      <c r="C724">
        <v>20</v>
      </c>
      <c r="D724" s="1">
        <v>45863</v>
      </c>
      <c r="E724">
        <v>7700</v>
      </c>
      <c r="F724" t="s">
        <v>1458</v>
      </c>
      <c r="G724">
        <v>1127</v>
      </c>
    </row>
    <row r="725" spans="1:7" x14ac:dyDescent="0.3">
      <c r="A725" t="s">
        <v>1039</v>
      </c>
      <c r="B725" t="s">
        <v>309</v>
      </c>
      <c r="C725">
        <v>20</v>
      </c>
      <c r="D725" s="1">
        <v>45861</v>
      </c>
      <c r="E725">
        <v>7700</v>
      </c>
      <c r="F725" t="s">
        <v>1465</v>
      </c>
      <c r="G725">
        <v>1257</v>
      </c>
    </row>
    <row r="726" spans="1:7" x14ac:dyDescent="0.3">
      <c r="A726" t="s">
        <v>1039</v>
      </c>
      <c r="B726" t="s">
        <v>231</v>
      </c>
      <c r="C726">
        <v>20</v>
      </c>
      <c r="D726" s="1">
        <v>45863</v>
      </c>
      <c r="E726">
        <v>7700</v>
      </c>
      <c r="F726" t="s">
        <v>1468</v>
      </c>
      <c r="G726">
        <v>1146</v>
      </c>
    </row>
    <row r="727" spans="1:7" x14ac:dyDescent="0.3">
      <c r="A727" t="s">
        <v>1039</v>
      </c>
      <c r="B727" t="s">
        <v>233</v>
      </c>
      <c r="C727">
        <v>20</v>
      </c>
      <c r="D727" s="1">
        <v>45863</v>
      </c>
      <c r="E727">
        <v>7700</v>
      </c>
      <c r="F727" t="s">
        <v>1478</v>
      </c>
      <c r="G727">
        <v>1287</v>
      </c>
    </row>
    <row r="728" spans="1:7" x14ac:dyDescent="0.3">
      <c r="A728" t="s">
        <v>1039</v>
      </c>
      <c r="B728" t="s">
        <v>309</v>
      </c>
      <c r="C728">
        <v>20</v>
      </c>
      <c r="D728" s="1">
        <v>45861</v>
      </c>
      <c r="E728">
        <v>7700</v>
      </c>
      <c r="F728" t="s">
        <v>449</v>
      </c>
      <c r="G728">
        <v>1100</v>
      </c>
    </row>
    <row r="729" spans="1:7" x14ac:dyDescent="0.3">
      <c r="A729" t="s">
        <v>1039</v>
      </c>
      <c r="B729" t="s">
        <v>309</v>
      </c>
      <c r="C729">
        <v>20</v>
      </c>
      <c r="D729" s="1">
        <v>45861</v>
      </c>
      <c r="E729">
        <v>7700</v>
      </c>
      <c r="F729" t="s">
        <v>1515</v>
      </c>
      <c r="G729">
        <v>1104</v>
      </c>
    </row>
    <row r="730" spans="1:7" x14ac:dyDescent="0.3">
      <c r="A730" t="s">
        <v>1039</v>
      </c>
      <c r="B730" t="s">
        <v>230</v>
      </c>
      <c r="C730">
        <v>20</v>
      </c>
      <c r="D730" s="1">
        <v>45862</v>
      </c>
      <c r="E730">
        <v>7700</v>
      </c>
      <c r="F730" t="s">
        <v>1522</v>
      </c>
      <c r="G730">
        <v>1211</v>
      </c>
    </row>
    <row r="731" spans="1:7" x14ac:dyDescent="0.3">
      <c r="A731" t="s">
        <v>1039</v>
      </c>
      <c r="B731" t="s">
        <v>309</v>
      </c>
      <c r="C731">
        <v>20</v>
      </c>
      <c r="D731" s="1">
        <v>45861</v>
      </c>
      <c r="E731">
        <v>7700</v>
      </c>
      <c r="F731" t="s">
        <v>1536</v>
      </c>
      <c r="G731">
        <v>1024</v>
      </c>
    </row>
    <row r="732" spans="1:7" x14ac:dyDescent="0.3">
      <c r="A732" t="s">
        <v>1039</v>
      </c>
      <c r="B732" t="s">
        <v>310</v>
      </c>
      <c r="C732">
        <v>20</v>
      </c>
      <c r="D732" s="1">
        <v>45861</v>
      </c>
      <c r="E732">
        <v>7700</v>
      </c>
      <c r="F732" t="s">
        <v>492</v>
      </c>
      <c r="G732">
        <v>997</v>
      </c>
    </row>
    <row r="733" spans="1:7" x14ac:dyDescent="0.3">
      <c r="A733" t="s">
        <v>1039</v>
      </c>
      <c r="B733" t="s">
        <v>310</v>
      </c>
      <c r="C733">
        <v>20</v>
      </c>
      <c r="D733" s="1">
        <v>45861</v>
      </c>
      <c r="E733">
        <v>7700</v>
      </c>
      <c r="F733" t="s">
        <v>1566</v>
      </c>
      <c r="G733">
        <v>985</v>
      </c>
    </row>
    <row r="734" spans="1:7" x14ac:dyDescent="0.3">
      <c r="A734" t="s">
        <v>1039</v>
      </c>
      <c r="B734" t="s">
        <v>310</v>
      </c>
      <c r="C734">
        <v>20</v>
      </c>
      <c r="D734" s="1">
        <v>45862</v>
      </c>
      <c r="E734">
        <v>7700</v>
      </c>
      <c r="F734" t="s">
        <v>1585</v>
      </c>
      <c r="G734">
        <v>980</v>
      </c>
    </row>
    <row r="735" spans="1:7" x14ac:dyDescent="0.3">
      <c r="A735" t="s">
        <v>1039</v>
      </c>
      <c r="B735" t="s">
        <v>235</v>
      </c>
      <c r="C735">
        <v>20</v>
      </c>
      <c r="D735" s="1">
        <v>45861</v>
      </c>
      <c r="E735">
        <v>7700</v>
      </c>
      <c r="F735" t="s">
        <v>520</v>
      </c>
      <c r="G735">
        <v>934</v>
      </c>
    </row>
    <row r="736" spans="1:7" x14ac:dyDescent="0.3">
      <c r="A736" t="s">
        <v>1039</v>
      </c>
      <c r="B736" t="s">
        <v>235</v>
      </c>
      <c r="C736">
        <v>20</v>
      </c>
      <c r="D736" s="1">
        <v>45861</v>
      </c>
      <c r="E736">
        <v>7700</v>
      </c>
      <c r="F736" t="s">
        <v>1610</v>
      </c>
      <c r="G736">
        <v>905</v>
      </c>
    </row>
    <row r="737" spans="1:7" x14ac:dyDescent="0.3">
      <c r="A737" t="s">
        <v>1039</v>
      </c>
      <c r="B737" t="s">
        <v>309</v>
      </c>
      <c r="C737">
        <v>20</v>
      </c>
      <c r="D737" s="1">
        <v>45861</v>
      </c>
      <c r="E737">
        <v>7700</v>
      </c>
      <c r="F737" t="s">
        <v>1615</v>
      </c>
      <c r="G737">
        <v>992</v>
      </c>
    </row>
    <row r="738" spans="1:7" x14ac:dyDescent="0.3">
      <c r="A738" t="s">
        <v>1039</v>
      </c>
      <c r="B738" t="s">
        <v>310</v>
      </c>
      <c r="C738">
        <v>20</v>
      </c>
      <c r="D738" s="1">
        <v>45859</v>
      </c>
      <c r="E738">
        <v>7700</v>
      </c>
      <c r="F738" t="s">
        <v>1629</v>
      </c>
      <c r="G738">
        <v>870</v>
      </c>
    </row>
    <row r="739" spans="1:7" x14ac:dyDescent="0.3">
      <c r="A739" t="s">
        <v>1039</v>
      </c>
      <c r="B739" t="s">
        <v>310</v>
      </c>
      <c r="C739">
        <v>20</v>
      </c>
      <c r="D739" s="1">
        <v>45860</v>
      </c>
      <c r="E739">
        <v>7700</v>
      </c>
      <c r="F739" t="s">
        <v>1641</v>
      </c>
      <c r="G739">
        <v>874</v>
      </c>
    </row>
    <row r="740" spans="1:7" x14ac:dyDescent="0.3">
      <c r="A740" t="s">
        <v>1039</v>
      </c>
      <c r="B740" t="s">
        <v>224</v>
      </c>
      <c r="C740">
        <v>20</v>
      </c>
      <c r="D740" s="1">
        <v>45860</v>
      </c>
      <c r="E740">
        <v>7700</v>
      </c>
      <c r="F740" t="s">
        <v>512</v>
      </c>
      <c r="G740">
        <v>886</v>
      </c>
    </row>
    <row r="741" spans="1:7" x14ac:dyDescent="0.3">
      <c r="A741" t="s">
        <v>1039</v>
      </c>
      <c r="B741" t="s">
        <v>236</v>
      </c>
      <c r="C741">
        <v>20</v>
      </c>
      <c r="D741" s="1">
        <v>45859</v>
      </c>
      <c r="E741">
        <v>7700</v>
      </c>
      <c r="F741" t="s">
        <v>455</v>
      </c>
      <c r="G741">
        <v>846</v>
      </c>
    </row>
    <row r="742" spans="1:7" x14ac:dyDescent="0.3">
      <c r="A742" t="s">
        <v>1039</v>
      </c>
      <c r="B742" t="s">
        <v>309</v>
      </c>
      <c r="C742">
        <v>20</v>
      </c>
      <c r="D742" s="1">
        <v>45858</v>
      </c>
      <c r="E742">
        <v>7700</v>
      </c>
      <c r="F742" t="s">
        <v>1660</v>
      </c>
      <c r="G742">
        <v>801</v>
      </c>
    </row>
    <row r="743" spans="1:7" x14ac:dyDescent="0.3">
      <c r="A743" t="s">
        <v>1039</v>
      </c>
      <c r="B743" t="s">
        <v>310</v>
      </c>
      <c r="C743">
        <v>20</v>
      </c>
      <c r="D743" s="1">
        <v>45859</v>
      </c>
      <c r="E743">
        <v>7700</v>
      </c>
      <c r="F743" t="s">
        <v>717</v>
      </c>
      <c r="G743">
        <v>793</v>
      </c>
    </row>
    <row r="744" spans="1:7" x14ac:dyDescent="0.3">
      <c r="A744" t="s">
        <v>1039</v>
      </c>
      <c r="B744" t="s">
        <v>310</v>
      </c>
      <c r="C744">
        <v>20</v>
      </c>
      <c r="D744" s="1">
        <v>45859</v>
      </c>
      <c r="E744">
        <v>7700</v>
      </c>
      <c r="F744" t="s">
        <v>1670</v>
      </c>
      <c r="G744">
        <v>771</v>
      </c>
    </row>
    <row r="745" spans="1:7" x14ac:dyDescent="0.3">
      <c r="A745" t="s">
        <v>1039</v>
      </c>
      <c r="B745" t="s">
        <v>233</v>
      </c>
      <c r="C745">
        <v>20</v>
      </c>
      <c r="D745" s="1">
        <v>45859</v>
      </c>
      <c r="E745">
        <v>7700</v>
      </c>
      <c r="F745" t="s">
        <v>591</v>
      </c>
      <c r="G745">
        <v>792</v>
      </c>
    </row>
    <row r="746" spans="1:7" x14ac:dyDescent="0.3">
      <c r="A746" t="s">
        <v>1039</v>
      </c>
      <c r="B746" t="s">
        <v>434</v>
      </c>
      <c r="C746">
        <v>20</v>
      </c>
      <c r="D746" s="1">
        <v>45858</v>
      </c>
      <c r="E746">
        <v>7700</v>
      </c>
      <c r="F746" t="s">
        <v>663</v>
      </c>
      <c r="G746">
        <v>811</v>
      </c>
    </row>
    <row r="747" spans="1:7" x14ac:dyDescent="0.3">
      <c r="A747" t="s">
        <v>1039</v>
      </c>
      <c r="B747" t="s">
        <v>314</v>
      </c>
      <c r="C747">
        <v>20</v>
      </c>
      <c r="D747" s="1">
        <v>45858</v>
      </c>
      <c r="E747">
        <v>7700</v>
      </c>
      <c r="F747" t="s">
        <v>1671</v>
      </c>
      <c r="G747">
        <v>808</v>
      </c>
    </row>
    <row r="748" spans="1:7" x14ac:dyDescent="0.3">
      <c r="A748" t="s">
        <v>1039</v>
      </c>
      <c r="B748" t="s">
        <v>310</v>
      </c>
      <c r="C748">
        <v>20</v>
      </c>
      <c r="D748" s="1">
        <v>45858</v>
      </c>
      <c r="E748">
        <v>7700</v>
      </c>
      <c r="F748" t="s">
        <v>588</v>
      </c>
      <c r="G748">
        <v>786</v>
      </c>
    </row>
    <row r="749" spans="1:7" x14ac:dyDescent="0.3">
      <c r="A749" t="s">
        <v>1039</v>
      </c>
      <c r="B749" t="s">
        <v>229</v>
      </c>
      <c r="C749">
        <v>20</v>
      </c>
      <c r="D749" s="1">
        <v>45856</v>
      </c>
      <c r="E749">
        <v>7700</v>
      </c>
      <c r="F749" t="s">
        <v>600</v>
      </c>
      <c r="G749">
        <v>756</v>
      </c>
    </row>
    <row r="750" spans="1:7" x14ac:dyDescent="0.3">
      <c r="A750" t="s">
        <v>1039</v>
      </c>
      <c r="B750" t="s">
        <v>233</v>
      </c>
      <c r="C750">
        <v>20</v>
      </c>
      <c r="D750" s="1">
        <v>45857</v>
      </c>
      <c r="E750">
        <v>7700</v>
      </c>
      <c r="F750" t="s">
        <v>543</v>
      </c>
      <c r="G750">
        <v>714</v>
      </c>
    </row>
    <row r="751" spans="1:7" x14ac:dyDescent="0.3">
      <c r="A751" t="s">
        <v>1039</v>
      </c>
      <c r="B751" t="s">
        <v>310</v>
      </c>
      <c r="C751">
        <v>20</v>
      </c>
      <c r="D751" s="1">
        <v>45857</v>
      </c>
      <c r="E751">
        <v>7700</v>
      </c>
      <c r="F751" t="s">
        <v>1686</v>
      </c>
      <c r="G751">
        <v>754</v>
      </c>
    </row>
    <row r="752" spans="1:7" x14ac:dyDescent="0.3">
      <c r="A752" t="s">
        <v>1039</v>
      </c>
      <c r="B752" t="s">
        <v>310</v>
      </c>
      <c r="C752">
        <v>20</v>
      </c>
      <c r="D752" s="1">
        <v>45858</v>
      </c>
      <c r="E752">
        <v>7700</v>
      </c>
      <c r="F752" t="s">
        <v>590</v>
      </c>
      <c r="G752">
        <v>727</v>
      </c>
    </row>
    <row r="753" spans="1:7" x14ac:dyDescent="0.3">
      <c r="A753" t="s">
        <v>1039</v>
      </c>
      <c r="B753" t="s">
        <v>235</v>
      </c>
      <c r="C753">
        <v>20</v>
      </c>
      <c r="D753" s="1">
        <v>45854</v>
      </c>
      <c r="E753">
        <v>7700</v>
      </c>
      <c r="F753" t="s">
        <v>1691</v>
      </c>
      <c r="G753">
        <v>692</v>
      </c>
    </row>
    <row r="754" spans="1:7" x14ac:dyDescent="0.3">
      <c r="A754" t="s">
        <v>1039</v>
      </c>
      <c r="B754" t="s">
        <v>236</v>
      </c>
      <c r="C754">
        <v>20</v>
      </c>
      <c r="D754" s="1">
        <v>45857</v>
      </c>
      <c r="E754">
        <v>7700</v>
      </c>
      <c r="F754" t="s">
        <v>1692</v>
      </c>
      <c r="G754">
        <v>745</v>
      </c>
    </row>
    <row r="755" spans="1:7" x14ac:dyDescent="0.3">
      <c r="A755" t="s">
        <v>1039</v>
      </c>
      <c r="B755" t="s">
        <v>310</v>
      </c>
      <c r="C755">
        <v>20</v>
      </c>
      <c r="D755" s="1">
        <v>45857</v>
      </c>
      <c r="E755">
        <v>7700</v>
      </c>
      <c r="F755" t="s">
        <v>618</v>
      </c>
      <c r="G755">
        <v>711</v>
      </c>
    </row>
    <row r="756" spans="1:7" x14ac:dyDescent="0.3">
      <c r="A756" t="s">
        <v>1039</v>
      </c>
      <c r="B756" t="s">
        <v>310</v>
      </c>
      <c r="C756">
        <v>20</v>
      </c>
      <c r="D756" s="1">
        <v>45857</v>
      </c>
      <c r="E756">
        <v>7700</v>
      </c>
      <c r="F756" t="s">
        <v>770</v>
      </c>
      <c r="G756">
        <v>704</v>
      </c>
    </row>
    <row r="757" spans="1:7" x14ac:dyDescent="0.3">
      <c r="A757" t="s">
        <v>1039</v>
      </c>
      <c r="B757" t="s">
        <v>310</v>
      </c>
      <c r="C757">
        <v>20</v>
      </c>
      <c r="D757" s="1">
        <v>45858</v>
      </c>
      <c r="E757">
        <v>7700</v>
      </c>
      <c r="F757" t="s">
        <v>738</v>
      </c>
      <c r="G757">
        <v>699</v>
      </c>
    </row>
    <row r="758" spans="1:7" x14ac:dyDescent="0.3">
      <c r="A758" t="s">
        <v>1039</v>
      </c>
      <c r="B758" t="s">
        <v>310</v>
      </c>
      <c r="C758">
        <v>20</v>
      </c>
      <c r="D758" s="1">
        <v>45858</v>
      </c>
      <c r="E758">
        <v>7700</v>
      </c>
      <c r="F758" t="s">
        <v>596</v>
      </c>
      <c r="G758">
        <v>660</v>
      </c>
    </row>
    <row r="759" spans="1:7" x14ac:dyDescent="0.3">
      <c r="A759" t="s">
        <v>1039</v>
      </c>
      <c r="B759" t="s">
        <v>232</v>
      </c>
      <c r="C759">
        <v>20</v>
      </c>
      <c r="D759" s="1">
        <v>45856</v>
      </c>
      <c r="E759">
        <v>7700</v>
      </c>
      <c r="F759" t="s">
        <v>724</v>
      </c>
      <c r="G759">
        <v>687</v>
      </c>
    </row>
    <row r="760" spans="1:7" x14ac:dyDescent="0.3">
      <c r="A760" t="s">
        <v>1039</v>
      </c>
      <c r="B760" t="s">
        <v>236</v>
      </c>
      <c r="C760">
        <v>20</v>
      </c>
      <c r="D760" s="1">
        <v>45857</v>
      </c>
      <c r="E760">
        <v>7700</v>
      </c>
      <c r="F760" t="s">
        <v>827</v>
      </c>
      <c r="G760">
        <v>586</v>
      </c>
    </row>
    <row r="761" spans="1:7" x14ac:dyDescent="0.3">
      <c r="A761" t="s">
        <v>1039</v>
      </c>
      <c r="B761" t="s">
        <v>310</v>
      </c>
      <c r="C761">
        <v>20</v>
      </c>
      <c r="D761" s="1">
        <v>45857</v>
      </c>
      <c r="E761">
        <v>7700</v>
      </c>
      <c r="F761" t="s">
        <v>698</v>
      </c>
      <c r="G761">
        <v>607</v>
      </c>
    </row>
    <row r="762" spans="1:7" x14ac:dyDescent="0.3">
      <c r="A762" t="s">
        <v>1039</v>
      </c>
      <c r="B762" t="s">
        <v>310</v>
      </c>
      <c r="C762">
        <v>20</v>
      </c>
      <c r="D762" s="1">
        <v>45856</v>
      </c>
      <c r="E762">
        <v>7700</v>
      </c>
      <c r="F762" t="s">
        <v>673</v>
      </c>
      <c r="G762">
        <v>587</v>
      </c>
    </row>
    <row r="763" spans="1:7" x14ac:dyDescent="0.3">
      <c r="A763" t="s">
        <v>1039</v>
      </c>
      <c r="B763" t="s">
        <v>310</v>
      </c>
      <c r="C763">
        <v>20</v>
      </c>
      <c r="D763" s="1">
        <v>45857</v>
      </c>
      <c r="E763">
        <v>7700</v>
      </c>
      <c r="F763" t="s">
        <v>786</v>
      </c>
      <c r="G763">
        <v>643</v>
      </c>
    </row>
    <row r="764" spans="1:7" x14ac:dyDescent="0.3">
      <c r="A764" t="s">
        <v>1039</v>
      </c>
      <c r="B764" t="s">
        <v>233</v>
      </c>
      <c r="C764">
        <v>20</v>
      </c>
      <c r="D764" s="1">
        <v>45854</v>
      </c>
      <c r="E764">
        <v>7700</v>
      </c>
      <c r="F764" t="s">
        <v>666</v>
      </c>
      <c r="G764">
        <v>585</v>
      </c>
    </row>
    <row r="765" spans="1:7" x14ac:dyDescent="0.3">
      <c r="A765" t="s">
        <v>1039</v>
      </c>
      <c r="B765" t="s">
        <v>310</v>
      </c>
      <c r="C765">
        <v>20</v>
      </c>
      <c r="D765" s="1">
        <v>45856</v>
      </c>
      <c r="E765">
        <v>7700</v>
      </c>
      <c r="F765" t="s">
        <v>1719</v>
      </c>
      <c r="G765">
        <v>559</v>
      </c>
    </row>
    <row r="766" spans="1:7" x14ac:dyDescent="0.3">
      <c r="A766" t="s">
        <v>1039</v>
      </c>
      <c r="B766" t="s">
        <v>233</v>
      </c>
      <c r="C766">
        <v>20</v>
      </c>
      <c r="D766" s="1">
        <v>45856</v>
      </c>
      <c r="E766">
        <v>7700</v>
      </c>
      <c r="F766" t="s">
        <v>669</v>
      </c>
      <c r="G766">
        <v>537</v>
      </c>
    </row>
    <row r="767" spans="1:7" x14ac:dyDescent="0.3">
      <c r="A767" t="s">
        <v>1039</v>
      </c>
      <c r="B767" t="s">
        <v>230</v>
      </c>
      <c r="C767">
        <v>20</v>
      </c>
      <c r="D767" s="1">
        <v>45856</v>
      </c>
      <c r="E767">
        <v>7700</v>
      </c>
      <c r="F767" t="s">
        <v>680</v>
      </c>
      <c r="G767">
        <v>541</v>
      </c>
    </row>
    <row r="768" spans="1:7" x14ac:dyDescent="0.3">
      <c r="A768" t="s">
        <v>1039</v>
      </c>
      <c r="B768" t="s">
        <v>233</v>
      </c>
      <c r="C768">
        <v>20</v>
      </c>
      <c r="D768" s="1">
        <v>45856</v>
      </c>
      <c r="E768">
        <v>7700</v>
      </c>
      <c r="F768" t="s">
        <v>713</v>
      </c>
      <c r="G768">
        <v>521</v>
      </c>
    </row>
    <row r="769" spans="1:7" x14ac:dyDescent="0.3">
      <c r="A769" t="s">
        <v>1039</v>
      </c>
      <c r="B769" t="s">
        <v>236</v>
      </c>
      <c r="C769">
        <v>20</v>
      </c>
      <c r="D769" s="1">
        <v>45856</v>
      </c>
      <c r="E769">
        <v>7700</v>
      </c>
      <c r="F769" t="s">
        <v>836</v>
      </c>
      <c r="G769">
        <v>512</v>
      </c>
    </row>
    <row r="770" spans="1:7" x14ac:dyDescent="0.3">
      <c r="A770" t="s">
        <v>1039</v>
      </c>
      <c r="B770" t="s">
        <v>310</v>
      </c>
      <c r="C770">
        <v>20</v>
      </c>
      <c r="D770" s="1">
        <v>45856</v>
      </c>
      <c r="E770">
        <v>7700</v>
      </c>
      <c r="F770" t="s">
        <v>477</v>
      </c>
      <c r="G770">
        <v>536</v>
      </c>
    </row>
    <row r="771" spans="1:7" x14ac:dyDescent="0.3">
      <c r="A771" t="s">
        <v>1039</v>
      </c>
      <c r="B771" t="s">
        <v>310</v>
      </c>
      <c r="C771">
        <v>20</v>
      </c>
      <c r="D771" s="1">
        <v>45855</v>
      </c>
      <c r="E771">
        <v>7700</v>
      </c>
      <c r="F771" t="s">
        <v>719</v>
      </c>
      <c r="G771">
        <v>517</v>
      </c>
    </row>
    <row r="772" spans="1:7" x14ac:dyDescent="0.3">
      <c r="A772" t="s">
        <v>1039</v>
      </c>
      <c r="B772" t="s">
        <v>310</v>
      </c>
      <c r="C772">
        <v>20</v>
      </c>
      <c r="D772" s="1">
        <v>45855</v>
      </c>
      <c r="E772">
        <v>7700</v>
      </c>
      <c r="F772" t="s">
        <v>749</v>
      </c>
      <c r="G772">
        <v>476</v>
      </c>
    </row>
    <row r="773" spans="1:7" x14ac:dyDescent="0.3">
      <c r="A773" t="s">
        <v>1039</v>
      </c>
      <c r="B773" t="s">
        <v>309</v>
      </c>
      <c r="C773">
        <v>20</v>
      </c>
      <c r="D773" s="1">
        <v>45855</v>
      </c>
      <c r="E773">
        <v>7700</v>
      </c>
      <c r="F773" t="s">
        <v>774</v>
      </c>
      <c r="G773">
        <v>462</v>
      </c>
    </row>
    <row r="774" spans="1:7" x14ac:dyDescent="0.3">
      <c r="A774" t="s">
        <v>1039</v>
      </c>
      <c r="B774" t="s">
        <v>310</v>
      </c>
      <c r="C774">
        <v>20</v>
      </c>
      <c r="D774" s="1">
        <v>45854</v>
      </c>
      <c r="E774">
        <v>7700</v>
      </c>
      <c r="F774" t="s">
        <v>804</v>
      </c>
      <c r="G774">
        <v>443</v>
      </c>
    </row>
    <row r="775" spans="1:7" x14ac:dyDescent="0.3">
      <c r="A775" t="s">
        <v>1039</v>
      </c>
      <c r="B775" t="s">
        <v>309</v>
      </c>
      <c r="C775">
        <v>20</v>
      </c>
      <c r="D775" s="1">
        <v>45854</v>
      </c>
      <c r="E775">
        <v>7700</v>
      </c>
      <c r="F775" t="s">
        <v>832</v>
      </c>
      <c r="G775">
        <v>407</v>
      </c>
    </row>
    <row r="776" spans="1:7" x14ac:dyDescent="0.3">
      <c r="A776" t="s">
        <v>1039</v>
      </c>
      <c r="B776" t="s">
        <v>309</v>
      </c>
      <c r="C776">
        <v>20</v>
      </c>
      <c r="D776" s="1">
        <v>45854</v>
      </c>
      <c r="E776">
        <v>7700</v>
      </c>
      <c r="F776" t="s">
        <v>1746</v>
      </c>
      <c r="G776">
        <v>468</v>
      </c>
    </row>
    <row r="777" spans="1:7" x14ac:dyDescent="0.3">
      <c r="A777" t="s">
        <v>1039</v>
      </c>
      <c r="B777" t="s">
        <v>233</v>
      </c>
      <c r="C777">
        <v>20</v>
      </c>
      <c r="D777" s="1">
        <v>45854</v>
      </c>
      <c r="E777">
        <v>7700</v>
      </c>
      <c r="F777" t="s">
        <v>865</v>
      </c>
      <c r="G777">
        <v>387</v>
      </c>
    </row>
    <row r="778" spans="1:7" x14ac:dyDescent="0.3">
      <c r="A778" t="s">
        <v>1039</v>
      </c>
      <c r="B778" t="s">
        <v>310</v>
      </c>
      <c r="C778">
        <v>20</v>
      </c>
      <c r="D778" s="1">
        <v>45854</v>
      </c>
      <c r="E778">
        <v>7700</v>
      </c>
      <c r="F778" t="s">
        <v>969</v>
      </c>
      <c r="G778">
        <v>391</v>
      </c>
    </row>
    <row r="779" spans="1:7" x14ac:dyDescent="0.3">
      <c r="A779" t="s">
        <v>1039</v>
      </c>
      <c r="B779" t="s">
        <v>311</v>
      </c>
      <c r="C779">
        <v>20</v>
      </c>
      <c r="D779" s="1">
        <v>45854</v>
      </c>
      <c r="E779">
        <v>7700</v>
      </c>
      <c r="F779" t="s">
        <v>890</v>
      </c>
      <c r="G779">
        <v>383</v>
      </c>
    </row>
    <row r="780" spans="1:7" x14ac:dyDescent="0.3">
      <c r="A780" t="s">
        <v>1039</v>
      </c>
      <c r="B780" t="s">
        <v>311</v>
      </c>
      <c r="C780">
        <v>20</v>
      </c>
      <c r="D780" s="1">
        <v>45853</v>
      </c>
      <c r="E780">
        <v>7700</v>
      </c>
      <c r="F780" t="s">
        <v>789</v>
      </c>
      <c r="G780">
        <v>1888</v>
      </c>
    </row>
    <row r="781" spans="1:7" x14ac:dyDescent="0.3">
      <c r="A781" t="s">
        <v>1039</v>
      </c>
      <c r="B781" t="s">
        <v>231</v>
      </c>
      <c r="C781">
        <v>20</v>
      </c>
      <c r="D781" s="1">
        <v>45865</v>
      </c>
      <c r="E781">
        <v>0</v>
      </c>
      <c r="F781" t="s">
        <v>1248</v>
      </c>
      <c r="G781">
        <v>1334</v>
      </c>
    </row>
    <row r="782" spans="1:7" x14ac:dyDescent="0.3">
      <c r="A782" t="s">
        <v>1039</v>
      </c>
      <c r="B782" t="s">
        <v>309</v>
      </c>
      <c r="C782">
        <v>20</v>
      </c>
      <c r="D782" s="1">
        <v>45861</v>
      </c>
      <c r="E782">
        <v>0</v>
      </c>
      <c r="F782" t="s">
        <v>1623</v>
      </c>
      <c r="G782">
        <v>974</v>
      </c>
    </row>
    <row r="783" spans="1:7" x14ac:dyDescent="0.3">
      <c r="A783" t="s">
        <v>1039</v>
      </c>
      <c r="B783" t="s">
        <v>314</v>
      </c>
      <c r="C783">
        <v>20</v>
      </c>
      <c r="D783" s="1">
        <v>45858</v>
      </c>
      <c r="E783">
        <v>0</v>
      </c>
      <c r="F783" t="s">
        <v>640</v>
      </c>
      <c r="G783">
        <v>673</v>
      </c>
    </row>
    <row r="784" spans="1:7" x14ac:dyDescent="0.3">
      <c r="A784" t="s">
        <v>1039</v>
      </c>
      <c r="B784" t="s">
        <v>434</v>
      </c>
      <c r="C784">
        <v>20</v>
      </c>
      <c r="D784" s="1">
        <v>45857</v>
      </c>
      <c r="E784">
        <v>0</v>
      </c>
      <c r="F784" t="s">
        <v>709</v>
      </c>
      <c r="G784">
        <v>569</v>
      </c>
    </row>
    <row r="785" spans="1:7" x14ac:dyDescent="0.3">
      <c r="A785" t="s">
        <v>1039</v>
      </c>
      <c r="B785" t="s">
        <v>229</v>
      </c>
      <c r="C785">
        <v>20</v>
      </c>
      <c r="D785" s="1">
        <v>45856</v>
      </c>
      <c r="E785">
        <v>0</v>
      </c>
      <c r="F785" t="s">
        <v>756</v>
      </c>
      <c r="G785">
        <v>544</v>
      </c>
    </row>
    <row r="786" spans="1:7" x14ac:dyDescent="0.3">
      <c r="A786" t="s">
        <v>1039</v>
      </c>
      <c r="B786" t="s">
        <v>310</v>
      </c>
      <c r="C786">
        <v>20</v>
      </c>
      <c r="D786" s="1">
        <v>45855</v>
      </c>
      <c r="E786">
        <v>0</v>
      </c>
      <c r="F786" t="s">
        <v>837</v>
      </c>
      <c r="G786">
        <v>452</v>
      </c>
    </row>
    <row r="787" spans="1:7" x14ac:dyDescent="0.3">
      <c r="A787" t="s">
        <v>1039</v>
      </c>
      <c r="B787" t="s">
        <v>310</v>
      </c>
      <c r="C787">
        <v>20</v>
      </c>
      <c r="D787" s="1">
        <v>45855</v>
      </c>
      <c r="E787">
        <v>0</v>
      </c>
      <c r="F787" t="s">
        <v>783</v>
      </c>
      <c r="G787">
        <v>438</v>
      </c>
    </row>
    <row r="788" spans="1:7" x14ac:dyDescent="0.3">
      <c r="A788" t="s">
        <v>1039</v>
      </c>
      <c r="B788" t="s">
        <v>224</v>
      </c>
      <c r="C788">
        <v>21</v>
      </c>
      <c r="D788" s="1">
        <v>45855</v>
      </c>
      <c r="E788">
        <v>242000</v>
      </c>
      <c r="F788" t="s">
        <v>809</v>
      </c>
      <c r="G788">
        <v>547</v>
      </c>
    </row>
    <row r="789" spans="1:7" x14ac:dyDescent="0.3">
      <c r="A789" t="s">
        <v>1039</v>
      </c>
      <c r="B789" t="s">
        <v>226</v>
      </c>
      <c r="C789">
        <v>21</v>
      </c>
      <c r="D789" s="1">
        <v>45862</v>
      </c>
      <c r="E789">
        <v>143000</v>
      </c>
      <c r="F789" t="s">
        <v>1357</v>
      </c>
      <c r="G789">
        <v>1273</v>
      </c>
    </row>
    <row r="790" spans="1:7" x14ac:dyDescent="0.3">
      <c r="A790" t="s">
        <v>1039</v>
      </c>
      <c r="B790" t="s">
        <v>234</v>
      </c>
      <c r="C790">
        <v>21</v>
      </c>
      <c r="D790" s="1">
        <v>45862</v>
      </c>
      <c r="E790">
        <v>128700</v>
      </c>
      <c r="F790" t="s">
        <v>1403</v>
      </c>
      <c r="G790">
        <v>1180</v>
      </c>
    </row>
    <row r="791" spans="1:7" x14ac:dyDescent="0.3">
      <c r="A791" t="s">
        <v>1039</v>
      </c>
      <c r="B791" t="s">
        <v>309</v>
      </c>
      <c r="C791">
        <v>21</v>
      </c>
      <c r="D791" s="1">
        <v>45865</v>
      </c>
      <c r="E791">
        <v>73700</v>
      </c>
      <c r="F791" t="s">
        <v>1049</v>
      </c>
      <c r="G791">
        <v>1534</v>
      </c>
    </row>
    <row r="792" spans="1:7" x14ac:dyDescent="0.3">
      <c r="A792" t="s">
        <v>1039</v>
      </c>
      <c r="B792" t="s">
        <v>311</v>
      </c>
      <c r="C792">
        <v>21</v>
      </c>
      <c r="D792" s="1">
        <v>45854</v>
      </c>
      <c r="E792">
        <v>71500</v>
      </c>
      <c r="F792" t="s">
        <v>817</v>
      </c>
      <c r="G792">
        <v>484</v>
      </c>
    </row>
    <row r="793" spans="1:7" x14ac:dyDescent="0.3">
      <c r="A793" t="s">
        <v>1039</v>
      </c>
      <c r="B793" t="s">
        <v>310</v>
      </c>
      <c r="C793">
        <v>21</v>
      </c>
      <c r="D793" s="1">
        <v>45864</v>
      </c>
      <c r="E793">
        <v>66000</v>
      </c>
      <c r="F793" t="s">
        <v>1281</v>
      </c>
      <c r="G793">
        <v>1323</v>
      </c>
    </row>
    <row r="794" spans="1:7" x14ac:dyDescent="0.3">
      <c r="A794" t="s">
        <v>1039</v>
      </c>
      <c r="B794" t="s">
        <v>310</v>
      </c>
      <c r="C794">
        <v>21</v>
      </c>
      <c r="D794" s="1">
        <v>45857</v>
      </c>
      <c r="E794">
        <v>66000</v>
      </c>
      <c r="F794" t="s">
        <v>818</v>
      </c>
      <c r="G794">
        <v>660</v>
      </c>
    </row>
    <row r="795" spans="1:7" x14ac:dyDescent="0.3">
      <c r="A795" t="s">
        <v>1039</v>
      </c>
      <c r="B795" t="s">
        <v>235</v>
      </c>
      <c r="C795">
        <v>21</v>
      </c>
      <c r="D795" s="1">
        <v>45857</v>
      </c>
      <c r="E795">
        <v>62700</v>
      </c>
      <c r="F795" t="s">
        <v>1643</v>
      </c>
      <c r="G795">
        <v>1037</v>
      </c>
    </row>
    <row r="796" spans="1:7" x14ac:dyDescent="0.3">
      <c r="A796" t="s">
        <v>1039</v>
      </c>
      <c r="B796" t="s">
        <v>310</v>
      </c>
      <c r="C796">
        <v>21</v>
      </c>
      <c r="D796" s="1">
        <v>45861</v>
      </c>
      <c r="E796">
        <v>60500</v>
      </c>
      <c r="F796" t="s">
        <v>1490</v>
      </c>
      <c r="G796">
        <v>1142</v>
      </c>
    </row>
    <row r="797" spans="1:7" x14ac:dyDescent="0.3">
      <c r="A797" t="s">
        <v>1039</v>
      </c>
      <c r="B797" t="s">
        <v>309</v>
      </c>
      <c r="C797">
        <v>21</v>
      </c>
      <c r="D797" s="1">
        <v>45860</v>
      </c>
      <c r="E797">
        <v>59400</v>
      </c>
      <c r="F797" t="s">
        <v>1350</v>
      </c>
      <c r="G797">
        <v>1324</v>
      </c>
    </row>
    <row r="798" spans="1:7" x14ac:dyDescent="0.3">
      <c r="A798" t="s">
        <v>1039</v>
      </c>
      <c r="B798" t="s">
        <v>309</v>
      </c>
      <c r="C798">
        <v>21</v>
      </c>
      <c r="D798" s="1">
        <v>45858</v>
      </c>
      <c r="E798">
        <v>53900</v>
      </c>
      <c r="F798" t="s">
        <v>1442</v>
      </c>
      <c r="G798">
        <v>1645</v>
      </c>
    </row>
    <row r="799" spans="1:7" x14ac:dyDescent="0.3">
      <c r="A799" t="s">
        <v>1039</v>
      </c>
      <c r="B799" t="s">
        <v>310</v>
      </c>
      <c r="C799">
        <v>21</v>
      </c>
      <c r="D799" s="1">
        <v>45856</v>
      </c>
      <c r="E799">
        <v>51700</v>
      </c>
      <c r="F799" t="s">
        <v>643</v>
      </c>
      <c r="G799">
        <v>740</v>
      </c>
    </row>
    <row r="800" spans="1:7" x14ac:dyDescent="0.3">
      <c r="A800" t="s">
        <v>1039</v>
      </c>
      <c r="B800" t="s">
        <v>310</v>
      </c>
      <c r="C800">
        <v>21</v>
      </c>
      <c r="D800" s="1">
        <v>45862</v>
      </c>
      <c r="E800">
        <v>44000</v>
      </c>
      <c r="F800" t="s">
        <v>1446</v>
      </c>
      <c r="G800">
        <v>1151</v>
      </c>
    </row>
    <row r="801" spans="1:7" x14ac:dyDescent="0.3">
      <c r="A801" t="s">
        <v>1039</v>
      </c>
      <c r="B801" t="s">
        <v>309</v>
      </c>
      <c r="C801">
        <v>21</v>
      </c>
      <c r="D801" s="1">
        <v>45856</v>
      </c>
      <c r="E801">
        <v>41800</v>
      </c>
      <c r="F801" t="s">
        <v>603</v>
      </c>
      <c r="G801">
        <v>704</v>
      </c>
    </row>
    <row r="802" spans="1:7" x14ac:dyDescent="0.3">
      <c r="A802" t="s">
        <v>1039</v>
      </c>
      <c r="B802" t="s">
        <v>309</v>
      </c>
      <c r="C802">
        <v>21</v>
      </c>
      <c r="D802" s="1">
        <v>45857</v>
      </c>
      <c r="E802">
        <v>40700</v>
      </c>
      <c r="F802" t="s">
        <v>1590</v>
      </c>
      <c r="G802">
        <v>1025</v>
      </c>
    </row>
    <row r="803" spans="1:7" x14ac:dyDescent="0.3">
      <c r="A803" t="s">
        <v>1039</v>
      </c>
      <c r="B803" t="s">
        <v>309</v>
      </c>
      <c r="C803">
        <v>21</v>
      </c>
      <c r="D803" s="1">
        <v>45857</v>
      </c>
      <c r="E803">
        <v>40700</v>
      </c>
      <c r="F803" t="s">
        <v>551</v>
      </c>
      <c r="G803">
        <v>692</v>
      </c>
    </row>
    <row r="804" spans="1:7" x14ac:dyDescent="0.3">
      <c r="A804" t="s">
        <v>1039</v>
      </c>
      <c r="B804" t="s">
        <v>311</v>
      </c>
      <c r="C804">
        <v>21</v>
      </c>
      <c r="D804" s="1">
        <v>45856</v>
      </c>
      <c r="E804">
        <v>40700</v>
      </c>
      <c r="F804" t="s">
        <v>777</v>
      </c>
      <c r="G804">
        <v>637</v>
      </c>
    </row>
    <row r="805" spans="1:7" x14ac:dyDescent="0.3">
      <c r="A805" t="s">
        <v>1039</v>
      </c>
      <c r="B805" t="s">
        <v>309</v>
      </c>
      <c r="C805">
        <v>21</v>
      </c>
      <c r="D805" s="1">
        <v>45859</v>
      </c>
      <c r="E805">
        <v>38500</v>
      </c>
      <c r="F805" t="s">
        <v>465</v>
      </c>
      <c r="G805">
        <v>1159</v>
      </c>
    </row>
    <row r="806" spans="1:7" x14ac:dyDescent="0.3">
      <c r="A806" t="s">
        <v>1039</v>
      </c>
      <c r="B806" t="s">
        <v>310</v>
      </c>
      <c r="C806">
        <v>21</v>
      </c>
      <c r="D806" s="1">
        <v>45856</v>
      </c>
      <c r="E806">
        <v>33000</v>
      </c>
      <c r="F806" t="s">
        <v>1709</v>
      </c>
      <c r="G806">
        <v>610</v>
      </c>
    </row>
    <row r="807" spans="1:7" x14ac:dyDescent="0.3">
      <c r="A807" t="s">
        <v>1039</v>
      </c>
      <c r="B807" t="s">
        <v>231</v>
      </c>
      <c r="C807">
        <v>21</v>
      </c>
      <c r="D807" s="1">
        <v>45863</v>
      </c>
      <c r="E807">
        <v>29700</v>
      </c>
      <c r="F807" t="s">
        <v>1373</v>
      </c>
      <c r="G807">
        <v>1281</v>
      </c>
    </row>
    <row r="808" spans="1:7" x14ac:dyDescent="0.3">
      <c r="A808" t="s">
        <v>1039</v>
      </c>
      <c r="B808" t="s">
        <v>311</v>
      </c>
      <c r="C808">
        <v>21</v>
      </c>
      <c r="D808" s="1">
        <v>45858</v>
      </c>
      <c r="E808">
        <v>29700</v>
      </c>
      <c r="F808" t="s">
        <v>1672</v>
      </c>
      <c r="G808">
        <v>821</v>
      </c>
    </row>
    <row r="809" spans="1:7" x14ac:dyDescent="0.3">
      <c r="A809" t="s">
        <v>1039</v>
      </c>
      <c r="B809" t="s">
        <v>310</v>
      </c>
      <c r="C809">
        <v>21</v>
      </c>
      <c r="D809" s="1">
        <v>45863</v>
      </c>
      <c r="E809">
        <v>27500</v>
      </c>
      <c r="F809" t="s">
        <v>1329</v>
      </c>
      <c r="G809">
        <v>1256</v>
      </c>
    </row>
    <row r="810" spans="1:7" x14ac:dyDescent="0.3">
      <c r="A810" t="s">
        <v>1039</v>
      </c>
      <c r="B810" t="s">
        <v>310</v>
      </c>
      <c r="C810">
        <v>21</v>
      </c>
      <c r="D810" s="1">
        <v>45858</v>
      </c>
      <c r="E810">
        <v>27500</v>
      </c>
      <c r="F810" t="s">
        <v>584</v>
      </c>
      <c r="G810">
        <v>808</v>
      </c>
    </row>
    <row r="811" spans="1:7" x14ac:dyDescent="0.3">
      <c r="A811" t="s">
        <v>1039</v>
      </c>
      <c r="B811" t="s">
        <v>310</v>
      </c>
      <c r="C811">
        <v>21</v>
      </c>
      <c r="D811" s="1">
        <v>45856</v>
      </c>
      <c r="E811">
        <v>27500</v>
      </c>
      <c r="F811" t="s">
        <v>744</v>
      </c>
      <c r="G811">
        <v>635</v>
      </c>
    </row>
    <row r="812" spans="1:7" x14ac:dyDescent="0.3">
      <c r="A812" t="s">
        <v>1039</v>
      </c>
      <c r="B812" t="s">
        <v>229</v>
      </c>
      <c r="C812">
        <v>21</v>
      </c>
      <c r="D812" s="1">
        <v>45854</v>
      </c>
      <c r="E812">
        <v>27500</v>
      </c>
      <c r="F812" t="s">
        <v>715</v>
      </c>
      <c r="G812">
        <v>694</v>
      </c>
    </row>
    <row r="813" spans="1:7" x14ac:dyDescent="0.3">
      <c r="A813" t="s">
        <v>1039</v>
      </c>
      <c r="B813" t="s">
        <v>309</v>
      </c>
      <c r="C813">
        <v>21</v>
      </c>
      <c r="D813" s="1">
        <v>45857</v>
      </c>
      <c r="E813">
        <v>25300</v>
      </c>
      <c r="F813" t="s">
        <v>461</v>
      </c>
      <c r="G813">
        <v>795</v>
      </c>
    </row>
    <row r="814" spans="1:7" x14ac:dyDescent="0.3">
      <c r="A814" t="s">
        <v>1039</v>
      </c>
      <c r="B814" t="s">
        <v>314</v>
      </c>
      <c r="C814">
        <v>21</v>
      </c>
      <c r="D814" s="1">
        <v>45859</v>
      </c>
      <c r="E814">
        <v>22000</v>
      </c>
      <c r="F814" t="s">
        <v>1078</v>
      </c>
      <c r="G814">
        <v>1523</v>
      </c>
    </row>
    <row r="815" spans="1:7" x14ac:dyDescent="0.3">
      <c r="A815" t="s">
        <v>1039</v>
      </c>
      <c r="B815" t="s">
        <v>309</v>
      </c>
      <c r="C815">
        <v>21</v>
      </c>
      <c r="D815" s="1">
        <v>45863</v>
      </c>
      <c r="E815">
        <v>18700</v>
      </c>
      <c r="F815" t="s">
        <v>1349</v>
      </c>
      <c r="G815">
        <v>1239</v>
      </c>
    </row>
    <row r="816" spans="1:7" x14ac:dyDescent="0.3">
      <c r="A816" t="s">
        <v>1039</v>
      </c>
      <c r="B816" t="s">
        <v>310</v>
      </c>
      <c r="C816">
        <v>21</v>
      </c>
      <c r="D816" s="1">
        <v>45855</v>
      </c>
      <c r="E816">
        <v>18700</v>
      </c>
      <c r="F816" t="s">
        <v>1717</v>
      </c>
      <c r="G816">
        <v>580</v>
      </c>
    </row>
    <row r="817" spans="1:7" x14ac:dyDescent="0.3">
      <c r="A817" t="s">
        <v>1039</v>
      </c>
      <c r="B817" t="s">
        <v>233</v>
      </c>
      <c r="C817">
        <v>21</v>
      </c>
      <c r="D817" s="1">
        <v>45860</v>
      </c>
      <c r="E817">
        <v>17600</v>
      </c>
      <c r="F817" t="s">
        <v>1503</v>
      </c>
      <c r="G817">
        <v>1036</v>
      </c>
    </row>
    <row r="818" spans="1:7" x14ac:dyDescent="0.3">
      <c r="A818" t="s">
        <v>1039</v>
      </c>
      <c r="B818" t="s">
        <v>234</v>
      </c>
      <c r="C818">
        <v>21</v>
      </c>
      <c r="D818" s="1">
        <v>45860</v>
      </c>
      <c r="E818">
        <v>14300</v>
      </c>
      <c r="F818" t="s">
        <v>1581</v>
      </c>
      <c r="G818">
        <v>954</v>
      </c>
    </row>
    <row r="819" spans="1:7" x14ac:dyDescent="0.3">
      <c r="A819" t="s">
        <v>1039</v>
      </c>
      <c r="B819" t="s">
        <v>233</v>
      </c>
      <c r="C819">
        <v>21</v>
      </c>
      <c r="D819" s="1">
        <v>45855</v>
      </c>
      <c r="E819">
        <v>14300</v>
      </c>
      <c r="F819" t="s">
        <v>1683</v>
      </c>
      <c r="G819">
        <v>919</v>
      </c>
    </row>
    <row r="820" spans="1:7" x14ac:dyDescent="0.3">
      <c r="A820" t="s">
        <v>1039</v>
      </c>
      <c r="B820" t="s">
        <v>229</v>
      </c>
      <c r="C820">
        <v>21</v>
      </c>
      <c r="D820" s="1">
        <v>45854</v>
      </c>
      <c r="E820">
        <v>14300</v>
      </c>
      <c r="F820" t="s">
        <v>822</v>
      </c>
      <c r="G820">
        <v>523</v>
      </c>
    </row>
    <row r="821" spans="1:7" x14ac:dyDescent="0.3">
      <c r="A821" t="s">
        <v>1039</v>
      </c>
      <c r="B821" t="s">
        <v>309</v>
      </c>
      <c r="C821">
        <v>21</v>
      </c>
      <c r="D821" s="1">
        <v>45864</v>
      </c>
      <c r="E821">
        <v>11000</v>
      </c>
      <c r="F821" t="s">
        <v>1274</v>
      </c>
      <c r="G821">
        <v>1863</v>
      </c>
    </row>
    <row r="822" spans="1:7" x14ac:dyDescent="0.3">
      <c r="A822" t="s">
        <v>1039</v>
      </c>
      <c r="B822" t="s">
        <v>310</v>
      </c>
      <c r="C822">
        <v>21</v>
      </c>
      <c r="D822" s="1">
        <v>45862</v>
      </c>
      <c r="E822">
        <v>11000</v>
      </c>
      <c r="F822" t="s">
        <v>1434</v>
      </c>
      <c r="G822">
        <v>1191</v>
      </c>
    </row>
    <row r="823" spans="1:7" x14ac:dyDescent="0.3">
      <c r="A823" t="s">
        <v>1039</v>
      </c>
      <c r="B823" t="s">
        <v>1041</v>
      </c>
      <c r="C823">
        <v>21</v>
      </c>
      <c r="D823" s="1">
        <v>45856</v>
      </c>
      <c r="E823">
        <v>11000</v>
      </c>
      <c r="F823" t="s">
        <v>1714</v>
      </c>
      <c r="G823">
        <v>615</v>
      </c>
    </row>
    <row r="824" spans="1:7" x14ac:dyDescent="0.3">
      <c r="A824" t="s">
        <v>1039</v>
      </c>
      <c r="B824" t="s">
        <v>309</v>
      </c>
      <c r="C824">
        <v>21</v>
      </c>
      <c r="D824" s="1">
        <v>45862</v>
      </c>
      <c r="E824">
        <v>8800</v>
      </c>
      <c r="F824" t="s">
        <v>1084</v>
      </c>
      <c r="G824">
        <v>1510</v>
      </c>
    </row>
    <row r="825" spans="1:7" x14ac:dyDescent="0.3">
      <c r="A825" t="s">
        <v>1039</v>
      </c>
      <c r="B825" t="s">
        <v>309</v>
      </c>
      <c r="C825">
        <v>21</v>
      </c>
      <c r="D825" s="1">
        <v>45867</v>
      </c>
      <c r="E825">
        <v>7700</v>
      </c>
      <c r="F825" t="s">
        <v>1058</v>
      </c>
      <c r="G825">
        <v>1641</v>
      </c>
    </row>
    <row r="826" spans="1:7" x14ac:dyDescent="0.3">
      <c r="A826" t="s">
        <v>1039</v>
      </c>
      <c r="B826" t="s">
        <v>309</v>
      </c>
      <c r="C826">
        <v>21</v>
      </c>
      <c r="D826" s="1">
        <v>45867</v>
      </c>
      <c r="E826">
        <v>7700</v>
      </c>
      <c r="F826" t="s">
        <v>1068</v>
      </c>
      <c r="G826">
        <v>1544</v>
      </c>
    </row>
    <row r="827" spans="1:7" x14ac:dyDescent="0.3">
      <c r="A827" t="s">
        <v>1039</v>
      </c>
      <c r="B827" t="s">
        <v>310</v>
      </c>
      <c r="C827">
        <v>21</v>
      </c>
      <c r="D827" s="1">
        <v>45865</v>
      </c>
      <c r="E827">
        <v>7700</v>
      </c>
      <c r="F827" t="s">
        <v>1090</v>
      </c>
      <c r="G827">
        <v>1490</v>
      </c>
    </row>
    <row r="828" spans="1:7" x14ac:dyDescent="0.3">
      <c r="A828" t="s">
        <v>1039</v>
      </c>
      <c r="B828" t="s">
        <v>310</v>
      </c>
      <c r="C828">
        <v>21</v>
      </c>
      <c r="D828" s="1">
        <v>45864</v>
      </c>
      <c r="E828">
        <v>7700</v>
      </c>
      <c r="F828" t="s">
        <v>1110</v>
      </c>
      <c r="G828">
        <v>1557</v>
      </c>
    </row>
    <row r="829" spans="1:7" x14ac:dyDescent="0.3">
      <c r="A829" t="s">
        <v>1039</v>
      </c>
      <c r="B829" t="s">
        <v>313</v>
      </c>
      <c r="C829">
        <v>21</v>
      </c>
      <c r="D829" s="1">
        <v>45865</v>
      </c>
      <c r="E829">
        <v>7700</v>
      </c>
      <c r="F829" t="s">
        <v>1113</v>
      </c>
      <c r="G829">
        <v>1470</v>
      </c>
    </row>
    <row r="830" spans="1:7" x14ac:dyDescent="0.3">
      <c r="A830" t="s">
        <v>1039</v>
      </c>
      <c r="B830" t="s">
        <v>311</v>
      </c>
      <c r="C830">
        <v>21</v>
      </c>
      <c r="D830" s="1">
        <v>45864</v>
      </c>
      <c r="E830">
        <v>7700</v>
      </c>
      <c r="F830" t="s">
        <v>1172</v>
      </c>
      <c r="G830">
        <v>1383</v>
      </c>
    </row>
    <row r="831" spans="1:7" x14ac:dyDescent="0.3">
      <c r="A831" t="s">
        <v>1039</v>
      </c>
      <c r="B831" t="s">
        <v>233</v>
      </c>
      <c r="C831">
        <v>21</v>
      </c>
      <c r="D831" s="1">
        <v>45865</v>
      </c>
      <c r="E831">
        <v>7700</v>
      </c>
      <c r="F831" t="s">
        <v>1186</v>
      </c>
      <c r="G831">
        <v>1413</v>
      </c>
    </row>
    <row r="832" spans="1:7" x14ac:dyDescent="0.3">
      <c r="A832" t="s">
        <v>1039</v>
      </c>
      <c r="B832" t="s">
        <v>309</v>
      </c>
      <c r="C832">
        <v>21</v>
      </c>
      <c r="D832" s="1">
        <v>45862</v>
      </c>
      <c r="E832">
        <v>7700</v>
      </c>
      <c r="F832" t="s">
        <v>1201</v>
      </c>
      <c r="G832">
        <v>1501</v>
      </c>
    </row>
    <row r="833" spans="1:7" x14ac:dyDescent="0.3">
      <c r="A833" t="s">
        <v>1039</v>
      </c>
      <c r="B833" t="s">
        <v>434</v>
      </c>
      <c r="C833">
        <v>21</v>
      </c>
      <c r="D833" s="1">
        <v>45865</v>
      </c>
      <c r="E833">
        <v>7700</v>
      </c>
      <c r="F833" t="s">
        <v>1213</v>
      </c>
      <c r="G833">
        <v>1373</v>
      </c>
    </row>
    <row r="834" spans="1:7" x14ac:dyDescent="0.3">
      <c r="A834" t="s">
        <v>1039</v>
      </c>
      <c r="B834" t="s">
        <v>309</v>
      </c>
      <c r="C834">
        <v>21</v>
      </c>
      <c r="D834" s="1">
        <v>45864</v>
      </c>
      <c r="E834">
        <v>7700</v>
      </c>
      <c r="F834" t="s">
        <v>1220</v>
      </c>
      <c r="G834">
        <v>1359</v>
      </c>
    </row>
    <row r="835" spans="1:7" x14ac:dyDescent="0.3">
      <c r="A835" t="s">
        <v>1039</v>
      </c>
      <c r="B835" t="s">
        <v>310</v>
      </c>
      <c r="C835">
        <v>21</v>
      </c>
      <c r="D835" s="1">
        <v>45863</v>
      </c>
      <c r="E835">
        <v>7700</v>
      </c>
      <c r="F835" t="s">
        <v>1244</v>
      </c>
      <c r="G835">
        <v>1356</v>
      </c>
    </row>
    <row r="836" spans="1:7" x14ac:dyDescent="0.3">
      <c r="A836" t="s">
        <v>1039</v>
      </c>
      <c r="B836" t="s">
        <v>309</v>
      </c>
      <c r="C836">
        <v>21</v>
      </c>
      <c r="D836" s="1">
        <v>45864</v>
      </c>
      <c r="E836">
        <v>7700</v>
      </c>
      <c r="F836" t="s">
        <v>1261</v>
      </c>
      <c r="G836">
        <v>1292</v>
      </c>
    </row>
    <row r="837" spans="1:7" x14ac:dyDescent="0.3">
      <c r="A837" t="s">
        <v>1039</v>
      </c>
      <c r="B837" t="s">
        <v>224</v>
      </c>
      <c r="C837">
        <v>21</v>
      </c>
      <c r="D837" s="1">
        <v>45863</v>
      </c>
      <c r="E837">
        <v>7700</v>
      </c>
      <c r="F837" t="s">
        <v>1279</v>
      </c>
      <c r="G837">
        <v>1361</v>
      </c>
    </row>
    <row r="838" spans="1:7" x14ac:dyDescent="0.3">
      <c r="A838" t="s">
        <v>1039</v>
      </c>
      <c r="B838" t="s">
        <v>309</v>
      </c>
      <c r="C838">
        <v>21</v>
      </c>
      <c r="D838" s="1">
        <v>45864</v>
      </c>
      <c r="E838">
        <v>7700</v>
      </c>
      <c r="F838" t="s">
        <v>1292</v>
      </c>
      <c r="G838">
        <v>1359</v>
      </c>
    </row>
    <row r="839" spans="1:7" x14ac:dyDescent="0.3">
      <c r="A839" t="s">
        <v>1039</v>
      </c>
      <c r="B839" t="s">
        <v>310</v>
      </c>
      <c r="C839">
        <v>21</v>
      </c>
      <c r="D839" s="1">
        <v>45864</v>
      </c>
      <c r="E839">
        <v>7700</v>
      </c>
      <c r="F839" t="s">
        <v>1302</v>
      </c>
      <c r="G839">
        <v>1277</v>
      </c>
    </row>
    <row r="840" spans="1:7" x14ac:dyDescent="0.3">
      <c r="A840" t="s">
        <v>1039</v>
      </c>
      <c r="B840" t="s">
        <v>226</v>
      </c>
      <c r="C840">
        <v>21</v>
      </c>
      <c r="D840" s="1">
        <v>45864</v>
      </c>
      <c r="E840">
        <v>7700</v>
      </c>
      <c r="F840" t="s">
        <v>1315</v>
      </c>
      <c r="G840">
        <v>1266</v>
      </c>
    </row>
    <row r="841" spans="1:7" x14ac:dyDescent="0.3">
      <c r="A841" t="s">
        <v>1039</v>
      </c>
      <c r="B841" t="s">
        <v>309</v>
      </c>
      <c r="C841">
        <v>21</v>
      </c>
      <c r="D841" s="1">
        <v>45863</v>
      </c>
      <c r="E841">
        <v>7700</v>
      </c>
      <c r="F841" t="s">
        <v>1320</v>
      </c>
      <c r="G841">
        <v>1286</v>
      </c>
    </row>
    <row r="842" spans="1:7" x14ac:dyDescent="0.3">
      <c r="A842" t="s">
        <v>1039</v>
      </c>
      <c r="B842" t="s">
        <v>231</v>
      </c>
      <c r="C842">
        <v>21</v>
      </c>
      <c r="D842" s="1">
        <v>45863</v>
      </c>
      <c r="E842">
        <v>7700</v>
      </c>
      <c r="F842" t="s">
        <v>1321</v>
      </c>
      <c r="G842">
        <v>1264</v>
      </c>
    </row>
    <row r="843" spans="1:7" x14ac:dyDescent="0.3">
      <c r="A843" t="s">
        <v>1039</v>
      </c>
      <c r="B843" t="s">
        <v>309</v>
      </c>
      <c r="C843">
        <v>21</v>
      </c>
      <c r="D843" s="1">
        <v>45862</v>
      </c>
      <c r="E843">
        <v>7700</v>
      </c>
      <c r="F843" t="s">
        <v>1346</v>
      </c>
      <c r="G843">
        <v>1260</v>
      </c>
    </row>
    <row r="844" spans="1:7" x14ac:dyDescent="0.3">
      <c r="A844" t="s">
        <v>1039</v>
      </c>
      <c r="B844" t="s">
        <v>313</v>
      </c>
      <c r="C844">
        <v>21</v>
      </c>
      <c r="D844" s="1">
        <v>45862</v>
      </c>
      <c r="E844">
        <v>7700</v>
      </c>
      <c r="F844" t="s">
        <v>1360</v>
      </c>
      <c r="G844">
        <v>1221</v>
      </c>
    </row>
    <row r="845" spans="1:7" x14ac:dyDescent="0.3">
      <c r="A845" t="s">
        <v>1039</v>
      </c>
      <c r="B845" t="s">
        <v>309</v>
      </c>
      <c r="C845">
        <v>21</v>
      </c>
      <c r="D845" s="1">
        <v>45862</v>
      </c>
      <c r="E845">
        <v>7700</v>
      </c>
      <c r="F845" t="s">
        <v>1391</v>
      </c>
      <c r="G845">
        <v>1259</v>
      </c>
    </row>
    <row r="846" spans="1:7" x14ac:dyDescent="0.3">
      <c r="A846" t="s">
        <v>1039</v>
      </c>
      <c r="B846" t="s">
        <v>231</v>
      </c>
      <c r="C846">
        <v>21</v>
      </c>
      <c r="D846" s="1">
        <v>45862</v>
      </c>
      <c r="E846">
        <v>7700</v>
      </c>
      <c r="F846" t="s">
        <v>1410</v>
      </c>
      <c r="G846">
        <v>1185</v>
      </c>
    </row>
    <row r="847" spans="1:7" x14ac:dyDescent="0.3">
      <c r="A847" t="s">
        <v>1039</v>
      </c>
      <c r="B847" t="s">
        <v>226</v>
      </c>
      <c r="C847">
        <v>21</v>
      </c>
      <c r="D847" s="1">
        <v>45861</v>
      </c>
      <c r="E847">
        <v>7700</v>
      </c>
      <c r="F847" t="s">
        <v>1418</v>
      </c>
      <c r="G847">
        <v>1225</v>
      </c>
    </row>
    <row r="848" spans="1:7" x14ac:dyDescent="0.3">
      <c r="A848" t="s">
        <v>1039</v>
      </c>
      <c r="B848" t="s">
        <v>310</v>
      </c>
      <c r="C848">
        <v>21</v>
      </c>
      <c r="D848" s="1">
        <v>45862</v>
      </c>
      <c r="E848">
        <v>7700</v>
      </c>
      <c r="F848" t="s">
        <v>1429</v>
      </c>
      <c r="G848">
        <v>1158</v>
      </c>
    </row>
    <row r="849" spans="1:7" x14ac:dyDescent="0.3">
      <c r="A849" t="s">
        <v>1039</v>
      </c>
      <c r="B849" t="s">
        <v>310</v>
      </c>
      <c r="C849">
        <v>21</v>
      </c>
      <c r="D849" s="1">
        <v>45860</v>
      </c>
      <c r="E849">
        <v>7700</v>
      </c>
      <c r="F849" t="s">
        <v>1440</v>
      </c>
      <c r="G849">
        <v>1156</v>
      </c>
    </row>
    <row r="850" spans="1:7" x14ac:dyDescent="0.3">
      <c r="A850" t="s">
        <v>1039</v>
      </c>
      <c r="B850" t="s">
        <v>228</v>
      </c>
      <c r="C850">
        <v>21</v>
      </c>
      <c r="D850" s="1">
        <v>45858</v>
      </c>
      <c r="E850">
        <v>7700</v>
      </c>
      <c r="F850" t="s">
        <v>1512</v>
      </c>
      <c r="G850">
        <v>1049</v>
      </c>
    </row>
    <row r="851" spans="1:7" x14ac:dyDescent="0.3">
      <c r="A851" t="s">
        <v>1039</v>
      </c>
      <c r="B851" t="s">
        <v>309</v>
      </c>
      <c r="C851">
        <v>21</v>
      </c>
      <c r="D851" s="1">
        <v>45861</v>
      </c>
      <c r="E851">
        <v>7700</v>
      </c>
      <c r="F851" t="s">
        <v>1524</v>
      </c>
      <c r="G851">
        <v>1118</v>
      </c>
    </row>
    <row r="852" spans="1:7" x14ac:dyDescent="0.3">
      <c r="A852" t="s">
        <v>1039</v>
      </c>
      <c r="B852" t="s">
        <v>309</v>
      </c>
      <c r="C852">
        <v>21</v>
      </c>
      <c r="D852" s="1">
        <v>45859</v>
      </c>
      <c r="E852">
        <v>7700</v>
      </c>
      <c r="F852" t="s">
        <v>1537</v>
      </c>
      <c r="G852">
        <v>1241</v>
      </c>
    </row>
    <row r="853" spans="1:7" x14ac:dyDescent="0.3">
      <c r="A853" t="s">
        <v>1039</v>
      </c>
      <c r="B853" t="s">
        <v>231</v>
      </c>
      <c r="C853">
        <v>21</v>
      </c>
      <c r="D853" s="1">
        <v>45860</v>
      </c>
      <c r="E853">
        <v>7700</v>
      </c>
      <c r="F853" t="s">
        <v>1539</v>
      </c>
      <c r="G853">
        <v>1069</v>
      </c>
    </row>
    <row r="854" spans="1:7" x14ac:dyDescent="0.3">
      <c r="A854" t="s">
        <v>1039</v>
      </c>
      <c r="B854" t="s">
        <v>309</v>
      </c>
      <c r="C854">
        <v>21</v>
      </c>
      <c r="D854" s="1">
        <v>45861</v>
      </c>
      <c r="E854">
        <v>7700</v>
      </c>
      <c r="F854" t="s">
        <v>1542</v>
      </c>
      <c r="G854">
        <v>1094</v>
      </c>
    </row>
    <row r="855" spans="1:7" x14ac:dyDescent="0.3">
      <c r="A855" t="s">
        <v>1039</v>
      </c>
      <c r="B855" t="s">
        <v>310</v>
      </c>
      <c r="C855">
        <v>21</v>
      </c>
      <c r="D855" s="1">
        <v>45860</v>
      </c>
      <c r="E855">
        <v>7700</v>
      </c>
      <c r="F855" t="s">
        <v>1548</v>
      </c>
      <c r="G855">
        <v>995</v>
      </c>
    </row>
    <row r="856" spans="1:7" x14ac:dyDescent="0.3">
      <c r="A856" t="s">
        <v>1039</v>
      </c>
      <c r="B856" t="s">
        <v>234</v>
      </c>
      <c r="C856">
        <v>21</v>
      </c>
      <c r="D856" s="1">
        <v>45860</v>
      </c>
      <c r="E856">
        <v>7700</v>
      </c>
      <c r="F856" t="s">
        <v>1562</v>
      </c>
      <c r="G856">
        <v>1147</v>
      </c>
    </row>
    <row r="857" spans="1:7" x14ac:dyDescent="0.3">
      <c r="A857" t="s">
        <v>1039</v>
      </c>
      <c r="B857" t="s">
        <v>228</v>
      </c>
      <c r="C857">
        <v>21</v>
      </c>
      <c r="D857" s="1">
        <v>45860</v>
      </c>
      <c r="E857">
        <v>7700</v>
      </c>
      <c r="F857" t="s">
        <v>1567</v>
      </c>
      <c r="G857">
        <v>1051</v>
      </c>
    </row>
    <row r="858" spans="1:7" x14ac:dyDescent="0.3">
      <c r="A858" t="s">
        <v>1039</v>
      </c>
      <c r="B858" t="s">
        <v>309</v>
      </c>
      <c r="C858">
        <v>21</v>
      </c>
      <c r="D858" s="1">
        <v>45858</v>
      </c>
      <c r="E858">
        <v>7700</v>
      </c>
      <c r="F858" t="s">
        <v>457</v>
      </c>
      <c r="G858">
        <v>993</v>
      </c>
    </row>
    <row r="859" spans="1:7" x14ac:dyDescent="0.3">
      <c r="A859" t="s">
        <v>1039</v>
      </c>
      <c r="B859" t="s">
        <v>310</v>
      </c>
      <c r="C859">
        <v>21</v>
      </c>
      <c r="D859" s="1">
        <v>45860</v>
      </c>
      <c r="E859">
        <v>7700</v>
      </c>
      <c r="F859" t="s">
        <v>550</v>
      </c>
      <c r="G859">
        <v>954</v>
      </c>
    </row>
    <row r="860" spans="1:7" x14ac:dyDescent="0.3">
      <c r="A860" t="s">
        <v>1039</v>
      </c>
      <c r="B860" t="s">
        <v>229</v>
      </c>
      <c r="C860">
        <v>21</v>
      </c>
      <c r="D860" s="1">
        <v>45858</v>
      </c>
      <c r="E860">
        <v>7700</v>
      </c>
      <c r="F860" t="s">
        <v>1626</v>
      </c>
      <c r="G860">
        <v>865</v>
      </c>
    </row>
    <row r="861" spans="1:7" x14ac:dyDescent="0.3">
      <c r="A861" t="s">
        <v>1039</v>
      </c>
      <c r="B861" t="s">
        <v>310</v>
      </c>
      <c r="C861">
        <v>21</v>
      </c>
      <c r="D861" s="1">
        <v>45859</v>
      </c>
      <c r="E861">
        <v>7700</v>
      </c>
      <c r="F861" t="s">
        <v>1642</v>
      </c>
      <c r="G861">
        <v>915</v>
      </c>
    </row>
    <row r="862" spans="1:7" x14ac:dyDescent="0.3">
      <c r="A862" t="s">
        <v>1039</v>
      </c>
      <c r="B862" t="s">
        <v>310</v>
      </c>
      <c r="C862">
        <v>21</v>
      </c>
      <c r="D862" s="1">
        <v>45859</v>
      </c>
      <c r="E862">
        <v>7700</v>
      </c>
      <c r="F862" t="s">
        <v>606</v>
      </c>
      <c r="G862">
        <v>849</v>
      </c>
    </row>
    <row r="863" spans="1:7" x14ac:dyDescent="0.3">
      <c r="A863" t="s">
        <v>1039</v>
      </c>
      <c r="B863" t="s">
        <v>313</v>
      </c>
      <c r="C863">
        <v>21</v>
      </c>
      <c r="D863" s="1">
        <v>45858</v>
      </c>
      <c r="E863">
        <v>7700</v>
      </c>
      <c r="F863" t="s">
        <v>1646</v>
      </c>
      <c r="G863">
        <v>897</v>
      </c>
    </row>
    <row r="864" spans="1:7" x14ac:dyDescent="0.3">
      <c r="A864" t="s">
        <v>1039</v>
      </c>
      <c r="B864" t="s">
        <v>310</v>
      </c>
      <c r="C864">
        <v>21</v>
      </c>
      <c r="D864" s="1">
        <v>45857</v>
      </c>
      <c r="E864">
        <v>7700</v>
      </c>
      <c r="F864" t="s">
        <v>633</v>
      </c>
      <c r="G864">
        <v>800</v>
      </c>
    </row>
    <row r="865" spans="1:7" x14ac:dyDescent="0.3">
      <c r="A865" t="s">
        <v>1039</v>
      </c>
      <c r="B865" t="s">
        <v>309</v>
      </c>
      <c r="C865">
        <v>21</v>
      </c>
      <c r="D865" s="1">
        <v>45856</v>
      </c>
      <c r="E865">
        <v>7700</v>
      </c>
      <c r="F865" t="s">
        <v>441</v>
      </c>
      <c r="G865">
        <v>789</v>
      </c>
    </row>
    <row r="866" spans="1:7" x14ac:dyDescent="0.3">
      <c r="A866" t="s">
        <v>1039</v>
      </c>
      <c r="B866" t="s">
        <v>310</v>
      </c>
      <c r="C866">
        <v>21</v>
      </c>
      <c r="D866" s="1">
        <v>45858</v>
      </c>
      <c r="E866">
        <v>7700</v>
      </c>
      <c r="F866" t="s">
        <v>599</v>
      </c>
      <c r="G866">
        <v>794</v>
      </c>
    </row>
    <row r="867" spans="1:7" x14ac:dyDescent="0.3">
      <c r="A867" t="s">
        <v>1039</v>
      </c>
      <c r="B867" t="s">
        <v>314</v>
      </c>
      <c r="C867">
        <v>21</v>
      </c>
      <c r="D867" s="1">
        <v>45858</v>
      </c>
      <c r="E867">
        <v>7700</v>
      </c>
      <c r="F867" t="s">
        <v>503</v>
      </c>
      <c r="G867">
        <v>823</v>
      </c>
    </row>
    <row r="868" spans="1:7" x14ac:dyDescent="0.3">
      <c r="A868" t="s">
        <v>1039</v>
      </c>
      <c r="B868" t="s">
        <v>310</v>
      </c>
      <c r="C868">
        <v>21</v>
      </c>
      <c r="D868" s="1">
        <v>45857</v>
      </c>
      <c r="E868">
        <v>7700</v>
      </c>
      <c r="F868" t="s">
        <v>608</v>
      </c>
      <c r="G868">
        <v>794</v>
      </c>
    </row>
    <row r="869" spans="1:7" x14ac:dyDescent="0.3">
      <c r="A869" t="s">
        <v>1039</v>
      </c>
      <c r="B869" t="s">
        <v>231</v>
      </c>
      <c r="C869">
        <v>21</v>
      </c>
      <c r="D869" s="1">
        <v>45858</v>
      </c>
      <c r="E869">
        <v>7700</v>
      </c>
      <c r="F869" t="s">
        <v>595</v>
      </c>
      <c r="G869">
        <v>764</v>
      </c>
    </row>
    <row r="870" spans="1:7" x14ac:dyDescent="0.3">
      <c r="A870" t="s">
        <v>1039</v>
      </c>
      <c r="B870" t="s">
        <v>231</v>
      </c>
      <c r="C870">
        <v>21</v>
      </c>
      <c r="D870" s="1">
        <v>45857</v>
      </c>
      <c r="E870">
        <v>7700</v>
      </c>
      <c r="F870" t="s">
        <v>1681</v>
      </c>
      <c r="G870">
        <v>737</v>
      </c>
    </row>
    <row r="871" spans="1:7" x14ac:dyDescent="0.3">
      <c r="A871" t="s">
        <v>1039</v>
      </c>
      <c r="B871" t="s">
        <v>311</v>
      </c>
      <c r="C871">
        <v>21</v>
      </c>
      <c r="D871" s="1">
        <v>45857</v>
      </c>
      <c r="E871">
        <v>7700</v>
      </c>
      <c r="F871" t="s">
        <v>757</v>
      </c>
      <c r="G871">
        <v>757</v>
      </c>
    </row>
    <row r="872" spans="1:7" x14ac:dyDescent="0.3">
      <c r="A872" t="s">
        <v>1039</v>
      </c>
      <c r="B872" t="s">
        <v>310</v>
      </c>
      <c r="C872">
        <v>21</v>
      </c>
      <c r="D872" s="1">
        <v>45855</v>
      </c>
      <c r="E872">
        <v>7700</v>
      </c>
      <c r="F872" t="s">
        <v>541</v>
      </c>
      <c r="G872">
        <v>715</v>
      </c>
    </row>
    <row r="873" spans="1:7" x14ac:dyDescent="0.3">
      <c r="A873" t="s">
        <v>1039</v>
      </c>
      <c r="B873" t="s">
        <v>229</v>
      </c>
      <c r="C873">
        <v>21</v>
      </c>
      <c r="D873" s="1">
        <v>45857</v>
      </c>
      <c r="E873">
        <v>7700</v>
      </c>
      <c r="F873" t="s">
        <v>1693</v>
      </c>
      <c r="G873">
        <v>694</v>
      </c>
    </row>
    <row r="874" spans="1:7" x14ac:dyDescent="0.3">
      <c r="A874" t="s">
        <v>1039</v>
      </c>
      <c r="B874" t="s">
        <v>310</v>
      </c>
      <c r="C874">
        <v>21</v>
      </c>
      <c r="D874" s="1">
        <v>45857</v>
      </c>
      <c r="E874">
        <v>7700</v>
      </c>
      <c r="F874" t="s">
        <v>598</v>
      </c>
      <c r="G874">
        <v>695</v>
      </c>
    </row>
    <row r="875" spans="1:7" x14ac:dyDescent="0.3">
      <c r="A875" t="s">
        <v>1039</v>
      </c>
      <c r="B875" t="s">
        <v>231</v>
      </c>
      <c r="C875">
        <v>21</v>
      </c>
      <c r="D875" s="1">
        <v>45857</v>
      </c>
      <c r="E875">
        <v>7700</v>
      </c>
      <c r="F875" t="s">
        <v>464</v>
      </c>
      <c r="G875">
        <v>649</v>
      </c>
    </row>
    <row r="876" spans="1:7" x14ac:dyDescent="0.3">
      <c r="A876" t="s">
        <v>1039</v>
      </c>
      <c r="B876" t="s">
        <v>309</v>
      </c>
      <c r="C876">
        <v>21</v>
      </c>
      <c r="D876" s="1">
        <v>45856</v>
      </c>
      <c r="E876">
        <v>7700</v>
      </c>
      <c r="F876" t="s">
        <v>1700</v>
      </c>
      <c r="G876">
        <v>691</v>
      </c>
    </row>
    <row r="877" spans="1:7" x14ac:dyDescent="0.3">
      <c r="A877" t="s">
        <v>1039</v>
      </c>
      <c r="B877" t="s">
        <v>309</v>
      </c>
      <c r="C877">
        <v>21</v>
      </c>
      <c r="D877" s="1">
        <v>45856</v>
      </c>
      <c r="E877">
        <v>7700</v>
      </c>
      <c r="F877" t="s">
        <v>1701</v>
      </c>
      <c r="G877">
        <v>673</v>
      </c>
    </row>
    <row r="878" spans="1:7" x14ac:dyDescent="0.3">
      <c r="A878" t="s">
        <v>1039</v>
      </c>
      <c r="B878" t="s">
        <v>309</v>
      </c>
      <c r="C878">
        <v>21</v>
      </c>
      <c r="D878" s="1">
        <v>45856</v>
      </c>
      <c r="E878">
        <v>7700</v>
      </c>
      <c r="F878" t="s">
        <v>1704</v>
      </c>
      <c r="G878">
        <v>623</v>
      </c>
    </row>
    <row r="879" spans="1:7" x14ac:dyDescent="0.3">
      <c r="A879" t="s">
        <v>1039</v>
      </c>
      <c r="B879" t="s">
        <v>310</v>
      </c>
      <c r="C879">
        <v>21</v>
      </c>
      <c r="D879" s="1">
        <v>45856</v>
      </c>
      <c r="E879">
        <v>7700</v>
      </c>
      <c r="F879" t="s">
        <v>571</v>
      </c>
      <c r="G879">
        <v>642</v>
      </c>
    </row>
    <row r="880" spans="1:7" x14ac:dyDescent="0.3">
      <c r="A880" t="s">
        <v>1039</v>
      </c>
      <c r="B880" t="s">
        <v>309</v>
      </c>
      <c r="C880">
        <v>21</v>
      </c>
      <c r="D880" s="1">
        <v>45856</v>
      </c>
      <c r="E880">
        <v>7700</v>
      </c>
      <c r="F880" t="s">
        <v>1710</v>
      </c>
      <c r="G880">
        <v>595</v>
      </c>
    </row>
    <row r="881" spans="1:7" x14ac:dyDescent="0.3">
      <c r="A881" t="s">
        <v>1039</v>
      </c>
      <c r="B881" t="s">
        <v>233</v>
      </c>
      <c r="C881">
        <v>21</v>
      </c>
      <c r="D881" s="1">
        <v>45856</v>
      </c>
      <c r="E881">
        <v>7700</v>
      </c>
      <c r="F881" t="s">
        <v>558</v>
      </c>
      <c r="G881">
        <v>567</v>
      </c>
    </row>
    <row r="882" spans="1:7" x14ac:dyDescent="0.3">
      <c r="A882" t="s">
        <v>1039</v>
      </c>
      <c r="B882" t="s">
        <v>233</v>
      </c>
      <c r="C882">
        <v>21</v>
      </c>
      <c r="D882" s="1">
        <v>45855</v>
      </c>
      <c r="E882">
        <v>7700</v>
      </c>
      <c r="F882" t="s">
        <v>791</v>
      </c>
      <c r="G882">
        <v>561</v>
      </c>
    </row>
    <row r="883" spans="1:7" x14ac:dyDescent="0.3">
      <c r="A883" t="s">
        <v>1039</v>
      </c>
      <c r="B883" t="s">
        <v>231</v>
      </c>
      <c r="C883">
        <v>21</v>
      </c>
      <c r="D883" s="1">
        <v>45855</v>
      </c>
      <c r="E883">
        <v>7700</v>
      </c>
      <c r="F883" t="s">
        <v>767</v>
      </c>
      <c r="G883">
        <v>528</v>
      </c>
    </row>
    <row r="884" spans="1:7" x14ac:dyDescent="0.3">
      <c r="A884" t="s">
        <v>1039</v>
      </c>
      <c r="B884" t="s">
        <v>234</v>
      </c>
      <c r="C884">
        <v>21</v>
      </c>
      <c r="D884" s="1">
        <v>45855</v>
      </c>
      <c r="E884">
        <v>7700</v>
      </c>
      <c r="F884" t="s">
        <v>516</v>
      </c>
      <c r="G884">
        <v>503</v>
      </c>
    </row>
    <row r="885" spans="1:7" x14ac:dyDescent="0.3">
      <c r="A885" t="s">
        <v>1039</v>
      </c>
      <c r="B885" t="s">
        <v>310</v>
      </c>
      <c r="C885">
        <v>21</v>
      </c>
      <c r="D885" s="1">
        <v>45855</v>
      </c>
      <c r="E885">
        <v>7700</v>
      </c>
      <c r="F885" t="s">
        <v>775</v>
      </c>
      <c r="G885">
        <v>515</v>
      </c>
    </row>
    <row r="886" spans="1:7" x14ac:dyDescent="0.3">
      <c r="A886" t="s">
        <v>1039</v>
      </c>
      <c r="B886" t="s">
        <v>313</v>
      </c>
      <c r="C886">
        <v>21</v>
      </c>
      <c r="D886" s="1">
        <v>45855</v>
      </c>
      <c r="E886">
        <v>7700</v>
      </c>
      <c r="F886" t="s">
        <v>734</v>
      </c>
      <c r="G886">
        <v>545</v>
      </c>
    </row>
    <row r="887" spans="1:7" x14ac:dyDescent="0.3">
      <c r="A887" t="s">
        <v>1039</v>
      </c>
      <c r="B887" t="s">
        <v>310</v>
      </c>
      <c r="C887">
        <v>21</v>
      </c>
      <c r="D887" s="1">
        <v>45855</v>
      </c>
      <c r="E887">
        <v>7700</v>
      </c>
      <c r="F887" t="s">
        <v>672</v>
      </c>
      <c r="G887">
        <v>503</v>
      </c>
    </row>
    <row r="888" spans="1:7" x14ac:dyDescent="0.3">
      <c r="A888" t="s">
        <v>1039</v>
      </c>
      <c r="B888" t="s">
        <v>310</v>
      </c>
      <c r="C888">
        <v>21</v>
      </c>
      <c r="D888" s="1">
        <v>45854</v>
      </c>
      <c r="E888">
        <v>7700</v>
      </c>
      <c r="F888" t="s">
        <v>625</v>
      </c>
      <c r="G888">
        <v>481</v>
      </c>
    </row>
    <row r="889" spans="1:7" x14ac:dyDescent="0.3">
      <c r="A889" t="s">
        <v>1039</v>
      </c>
      <c r="B889" t="s">
        <v>229</v>
      </c>
      <c r="C889">
        <v>21</v>
      </c>
      <c r="D889" s="1">
        <v>45865</v>
      </c>
      <c r="E889">
        <v>0</v>
      </c>
      <c r="F889" t="s">
        <v>1233</v>
      </c>
      <c r="G889">
        <v>1347</v>
      </c>
    </row>
    <row r="890" spans="1:7" x14ac:dyDescent="0.3">
      <c r="A890" t="s">
        <v>1039</v>
      </c>
      <c r="B890" t="s">
        <v>309</v>
      </c>
      <c r="C890">
        <v>21</v>
      </c>
      <c r="D890" s="1">
        <v>45860</v>
      </c>
      <c r="E890">
        <v>0</v>
      </c>
      <c r="F890" t="s">
        <v>454</v>
      </c>
      <c r="G890">
        <v>917</v>
      </c>
    </row>
    <row r="891" spans="1:7" x14ac:dyDescent="0.3">
      <c r="A891" t="s">
        <v>1039</v>
      </c>
      <c r="B891" t="s">
        <v>310</v>
      </c>
      <c r="C891">
        <v>21</v>
      </c>
      <c r="D891" s="1">
        <v>45854</v>
      </c>
      <c r="E891">
        <v>0</v>
      </c>
      <c r="F891" t="s">
        <v>733</v>
      </c>
      <c r="G891">
        <v>725</v>
      </c>
    </row>
    <row r="892" spans="1:7" x14ac:dyDescent="0.3">
      <c r="A892" t="s">
        <v>1039</v>
      </c>
      <c r="B892" t="s">
        <v>309</v>
      </c>
      <c r="C892">
        <v>21</v>
      </c>
      <c r="D892" s="1">
        <v>45855</v>
      </c>
      <c r="E892">
        <v>0</v>
      </c>
      <c r="F892" t="s">
        <v>763</v>
      </c>
      <c r="G892">
        <v>566</v>
      </c>
    </row>
    <row r="893" spans="1:7" x14ac:dyDescent="0.3">
      <c r="A893" t="s">
        <v>1039</v>
      </c>
      <c r="B893" t="s">
        <v>236</v>
      </c>
      <c r="C893">
        <v>22</v>
      </c>
      <c r="D893" s="1">
        <v>45856</v>
      </c>
      <c r="E893">
        <v>89100</v>
      </c>
      <c r="F893" t="s">
        <v>781</v>
      </c>
      <c r="G893">
        <v>695</v>
      </c>
    </row>
    <row r="894" spans="1:7" x14ac:dyDescent="0.3">
      <c r="A894" t="s">
        <v>1039</v>
      </c>
      <c r="B894" t="s">
        <v>310</v>
      </c>
      <c r="C894">
        <v>22</v>
      </c>
      <c r="D894" s="1">
        <v>45858</v>
      </c>
      <c r="E894">
        <v>51700</v>
      </c>
      <c r="F894" t="s">
        <v>496</v>
      </c>
      <c r="G894">
        <v>999</v>
      </c>
    </row>
    <row r="895" spans="1:7" x14ac:dyDescent="0.3">
      <c r="A895" t="s">
        <v>1039</v>
      </c>
      <c r="B895" t="s">
        <v>310</v>
      </c>
      <c r="C895">
        <v>22</v>
      </c>
      <c r="D895" s="1">
        <v>45631</v>
      </c>
      <c r="E895">
        <v>44000</v>
      </c>
      <c r="F895" t="s">
        <v>1348</v>
      </c>
      <c r="G895">
        <v>1846</v>
      </c>
    </row>
    <row r="896" spans="1:7" x14ac:dyDescent="0.3">
      <c r="A896" t="s">
        <v>1039</v>
      </c>
      <c r="B896" t="s">
        <v>309</v>
      </c>
      <c r="C896">
        <v>22</v>
      </c>
      <c r="D896" s="1">
        <v>45865</v>
      </c>
      <c r="E896">
        <v>41800</v>
      </c>
      <c r="F896" t="s">
        <v>1153</v>
      </c>
      <c r="G896">
        <v>1611</v>
      </c>
    </row>
    <row r="897" spans="1:7" x14ac:dyDescent="0.3">
      <c r="A897" t="s">
        <v>1039</v>
      </c>
      <c r="B897" t="s">
        <v>309</v>
      </c>
      <c r="C897">
        <v>22</v>
      </c>
      <c r="D897" s="1">
        <v>45866</v>
      </c>
      <c r="E897">
        <v>40700</v>
      </c>
      <c r="F897" t="s">
        <v>1102</v>
      </c>
      <c r="G897">
        <v>1650</v>
      </c>
    </row>
    <row r="898" spans="1:7" x14ac:dyDescent="0.3">
      <c r="A898" t="s">
        <v>1039</v>
      </c>
      <c r="B898" t="s">
        <v>309</v>
      </c>
      <c r="C898">
        <v>22</v>
      </c>
      <c r="D898" s="1">
        <v>45861</v>
      </c>
      <c r="E898">
        <v>40700</v>
      </c>
      <c r="F898" t="s">
        <v>1455</v>
      </c>
      <c r="G898">
        <v>1174</v>
      </c>
    </row>
    <row r="899" spans="1:7" x14ac:dyDescent="0.3">
      <c r="A899" t="s">
        <v>1039</v>
      </c>
      <c r="B899" t="s">
        <v>309</v>
      </c>
      <c r="C899">
        <v>22</v>
      </c>
      <c r="D899" s="1">
        <v>45856</v>
      </c>
      <c r="E899">
        <v>40700</v>
      </c>
      <c r="F899" t="s">
        <v>1504</v>
      </c>
      <c r="G899">
        <v>1060</v>
      </c>
    </row>
    <row r="900" spans="1:7" x14ac:dyDescent="0.3">
      <c r="A900" t="s">
        <v>1039</v>
      </c>
      <c r="B900" t="s">
        <v>435</v>
      </c>
      <c r="C900">
        <v>22</v>
      </c>
      <c r="D900" s="1">
        <v>45857</v>
      </c>
      <c r="E900">
        <v>36300</v>
      </c>
      <c r="F900" t="s">
        <v>572</v>
      </c>
      <c r="G900">
        <v>753</v>
      </c>
    </row>
    <row r="901" spans="1:7" x14ac:dyDescent="0.3">
      <c r="A901" t="s">
        <v>1039</v>
      </c>
      <c r="B901" t="s">
        <v>310</v>
      </c>
      <c r="C901">
        <v>22</v>
      </c>
      <c r="D901" s="1">
        <v>45858</v>
      </c>
      <c r="E901">
        <v>31900</v>
      </c>
      <c r="F901" t="s">
        <v>1648</v>
      </c>
      <c r="G901">
        <v>817</v>
      </c>
    </row>
    <row r="902" spans="1:7" x14ac:dyDescent="0.3">
      <c r="A902" t="s">
        <v>1039</v>
      </c>
      <c r="B902" t="s">
        <v>233</v>
      </c>
      <c r="C902">
        <v>22</v>
      </c>
      <c r="D902" s="1">
        <v>45857</v>
      </c>
      <c r="E902">
        <v>29700</v>
      </c>
      <c r="F902" t="s">
        <v>736</v>
      </c>
      <c r="G902">
        <v>787</v>
      </c>
    </row>
    <row r="903" spans="1:7" x14ac:dyDescent="0.3">
      <c r="A903" t="s">
        <v>1039</v>
      </c>
      <c r="B903" t="s">
        <v>233</v>
      </c>
      <c r="C903">
        <v>22</v>
      </c>
      <c r="D903" s="1">
        <v>45857</v>
      </c>
      <c r="E903">
        <v>29700</v>
      </c>
      <c r="F903" t="s">
        <v>771</v>
      </c>
      <c r="G903">
        <v>772</v>
      </c>
    </row>
    <row r="904" spans="1:7" x14ac:dyDescent="0.3">
      <c r="A904" t="s">
        <v>1039</v>
      </c>
      <c r="B904" t="s">
        <v>310</v>
      </c>
      <c r="C904">
        <v>22</v>
      </c>
      <c r="D904" s="1">
        <v>45857</v>
      </c>
      <c r="E904">
        <v>28600</v>
      </c>
      <c r="F904" t="s">
        <v>1656</v>
      </c>
      <c r="G904">
        <v>902</v>
      </c>
    </row>
    <row r="905" spans="1:7" x14ac:dyDescent="0.3">
      <c r="A905" t="s">
        <v>1039</v>
      </c>
      <c r="B905" t="s">
        <v>310</v>
      </c>
      <c r="C905">
        <v>22</v>
      </c>
      <c r="D905" s="1">
        <v>45857</v>
      </c>
      <c r="E905">
        <v>20900</v>
      </c>
      <c r="F905" t="s">
        <v>1635</v>
      </c>
      <c r="G905">
        <v>867</v>
      </c>
    </row>
    <row r="906" spans="1:7" x14ac:dyDescent="0.3">
      <c r="A906" t="s">
        <v>1039</v>
      </c>
      <c r="B906" t="s">
        <v>311</v>
      </c>
      <c r="C906">
        <v>22</v>
      </c>
      <c r="D906" s="1">
        <v>45857</v>
      </c>
      <c r="E906">
        <v>18700</v>
      </c>
      <c r="F906" t="s">
        <v>1658</v>
      </c>
      <c r="G906">
        <v>808</v>
      </c>
    </row>
    <row r="907" spans="1:7" x14ac:dyDescent="0.3">
      <c r="A907" t="s">
        <v>1039</v>
      </c>
      <c r="B907" t="s">
        <v>310</v>
      </c>
      <c r="C907">
        <v>22</v>
      </c>
      <c r="D907" s="1">
        <v>45857</v>
      </c>
      <c r="E907">
        <v>18700</v>
      </c>
      <c r="F907" t="s">
        <v>1677</v>
      </c>
      <c r="G907">
        <v>727</v>
      </c>
    </row>
    <row r="908" spans="1:7" x14ac:dyDescent="0.3">
      <c r="A908" t="s">
        <v>1039</v>
      </c>
      <c r="B908" t="s">
        <v>231</v>
      </c>
      <c r="C908">
        <v>22</v>
      </c>
      <c r="D908" s="1">
        <v>45856</v>
      </c>
      <c r="E908">
        <v>18700</v>
      </c>
      <c r="F908" t="s">
        <v>661</v>
      </c>
      <c r="G908">
        <v>693</v>
      </c>
    </row>
    <row r="909" spans="1:7" x14ac:dyDescent="0.3">
      <c r="A909" t="s">
        <v>1039</v>
      </c>
      <c r="B909" t="s">
        <v>231</v>
      </c>
      <c r="C909">
        <v>22</v>
      </c>
      <c r="D909" s="1">
        <v>45853</v>
      </c>
      <c r="E909">
        <v>18700</v>
      </c>
      <c r="F909" t="s">
        <v>1737</v>
      </c>
      <c r="G909">
        <v>1881</v>
      </c>
    </row>
    <row r="910" spans="1:7" x14ac:dyDescent="0.3">
      <c r="A910" t="s">
        <v>1039</v>
      </c>
      <c r="B910" t="s">
        <v>310</v>
      </c>
      <c r="C910">
        <v>22</v>
      </c>
      <c r="D910" s="1">
        <v>45865</v>
      </c>
      <c r="E910">
        <v>14300</v>
      </c>
      <c r="F910" t="s">
        <v>1079</v>
      </c>
      <c r="G910">
        <v>1522</v>
      </c>
    </row>
    <row r="911" spans="1:7" x14ac:dyDescent="0.3">
      <c r="A911" t="s">
        <v>1039</v>
      </c>
      <c r="B911" t="s">
        <v>310</v>
      </c>
      <c r="C911">
        <v>22</v>
      </c>
      <c r="D911" s="1">
        <v>45856</v>
      </c>
      <c r="E911">
        <v>14300</v>
      </c>
      <c r="F911" t="s">
        <v>1682</v>
      </c>
      <c r="G911">
        <v>748</v>
      </c>
    </row>
    <row r="912" spans="1:7" x14ac:dyDescent="0.3">
      <c r="A912" t="s">
        <v>1039</v>
      </c>
      <c r="B912" t="s">
        <v>309</v>
      </c>
      <c r="C912">
        <v>22</v>
      </c>
      <c r="D912" s="1">
        <v>45865</v>
      </c>
      <c r="E912">
        <v>11000</v>
      </c>
      <c r="F912" t="s">
        <v>1085</v>
      </c>
      <c r="G912">
        <v>2005</v>
      </c>
    </row>
    <row r="913" spans="1:7" x14ac:dyDescent="0.3">
      <c r="A913" t="s">
        <v>1039</v>
      </c>
      <c r="B913" t="s">
        <v>309</v>
      </c>
      <c r="C913">
        <v>22</v>
      </c>
      <c r="D913" s="1">
        <v>45859</v>
      </c>
      <c r="E913">
        <v>11000</v>
      </c>
      <c r="F913" t="s">
        <v>1586</v>
      </c>
      <c r="G913">
        <v>1013</v>
      </c>
    </row>
    <row r="914" spans="1:7" x14ac:dyDescent="0.3">
      <c r="A914" t="s">
        <v>1039</v>
      </c>
      <c r="B914" t="s">
        <v>310</v>
      </c>
      <c r="C914">
        <v>22</v>
      </c>
      <c r="D914" s="1">
        <v>45859</v>
      </c>
      <c r="E914">
        <v>11000</v>
      </c>
      <c r="F914" t="s">
        <v>1628</v>
      </c>
      <c r="G914">
        <v>870</v>
      </c>
    </row>
    <row r="915" spans="1:7" x14ac:dyDescent="0.3">
      <c r="A915" t="s">
        <v>1039</v>
      </c>
      <c r="B915" t="s">
        <v>310</v>
      </c>
      <c r="C915">
        <v>22</v>
      </c>
      <c r="D915" s="1">
        <v>45856</v>
      </c>
      <c r="E915">
        <v>11000</v>
      </c>
      <c r="F915" t="s">
        <v>691</v>
      </c>
      <c r="G915">
        <v>854</v>
      </c>
    </row>
    <row r="916" spans="1:7" x14ac:dyDescent="0.3">
      <c r="A916" t="s">
        <v>1039</v>
      </c>
      <c r="B916" t="s">
        <v>310</v>
      </c>
      <c r="C916">
        <v>22</v>
      </c>
      <c r="D916" s="1">
        <v>45856</v>
      </c>
      <c r="E916">
        <v>11000</v>
      </c>
      <c r="F916" t="s">
        <v>517</v>
      </c>
      <c r="G916">
        <v>885</v>
      </c>
    </row>
    <row r="917" spans="1:7" x14ac:dyDescent="0.3">
      <c r="A917" t="s">
        <v>1039</v>
      </c>
      <c r="B917" t="s">
        <v>229</v>
      </c>
      <c r="C917">
        <v>22</v>
      </c>
      <c r="D917" s="1">
        <v>45856</v>
      </c>
      <c r="E917">
        <v>11000</v>
      </c>
      <c r="F917" t="s">
        <v>530</v>
      </c>
      <c r="G917">
        <v>678</v>
      </c>
    </row>
    <row r="918" spans="1:7" x14ac:dyDescent="0.3">
      <c r="A918" t="s">
        <v>1039</v>
      </c>
      <c r="B918" t="s">
        <v>236</v>
      </c>
      <c r="C918">
        <v>22</v>
      </c>
      <c r="D918" s="1">
        <v>45855</v>
      </c>
      <c r="E918">
        <v>11000</v>
      </c>
      <c r="F918" t="s">
        <v>678</v>
      </c>
      <c r="G918">
        <v>660</v>
      </c>
    </row>
    <row r="919" spans="1:7" x14ac:dyDescent="0.3">
      <c r="A919" t="s">
        <v>1039</v>
      </c>
      <c r="B919" t="s">
        <v>236</v>
      </c>
      <c r="C919">
        <v>22</v>
      </c>
      <c r="D919" s="1">
        <v>45857</v>
      </c>
      <c r="E919">
        <v>8800</v>
      </c>
      <c r="F919" t="s">
        <v>484</v>
      </c>
      <c r="G919">
        <v>754</v>
      </c>
    </row>
    <row r="920" spans="1:7" x14ac:dyDescent="0.3">
      <c r="A920" t="s">
        <v>1039</v>
      </c>
      <c r="B920" t="s">
        <v>309</v>
      </c>
      <c r="C920">
        <v>22</v>
      </c>
      <c r="D920" s="1">
        <v>45865</v>
      </c>
      <c r="E920">
        <v>7700</v>
      </c>
      <c r="F920" t="s">
        <v>1059</v>
      </c>
      <c r="G920">
        <v>1565</v>
      </c>
    </row>
    <row r="921" spans="1:7" x14ac:dyDescent="0.3">
      <c r="A921" t="s">
        <v>1039</v>
      </c>
      <c r="B921" t="s">
        <v>311</v>
      </c>
      <c r="C921">
        <v>22</v>
      </c>
      <c r="D921" s="1">
        <v>45865</v>
      </c>
      <c r="E921">
        <v>7700</v>
      </c>
      <c r="F921" t="s">
        <v>1076</v>
      </c>
      <c r="G921">
        <v>1525</v>
      </c>
    </row>
    <row r="922" spans="1:7" x14ac:dyDescent="0.3">
      <c r="A922" t="s">
        <v>1039</v>
      </c>
      <c r="B922" t="s">
        <v>309</v>
      </c>
      <c r="C922">
        <v>22</v>
      </c>
      <c r="D922" s="1">
        <v>45865</v>
      </c>
      <c r="E922">
        <v>7700</v>
      </c>
      <c r="F922" t="s">
        <v>1081</v>
      </c>
      <c r="G922">
        <v>1549</v>
      </c>
    </row>
    <row r="923" spans="1:7" x14ac:dyDescent="0.3">
      <c r="A923" t="s">
        <v>1039</v>
      </c>
      <c r="B923" t="s">
        <v>231</v>
      </c>
      <c r="C923">
        <v>22</v>
      </c>
      <c r="D923" s="1">
        <v>45866</v>
      </c>
      <c r="E923">
        <v>7700</v>
      </c>
      <c r="F923" t="s">
        <v>1082</v>
      </c>
      <c r="G923">
        <v>1547</v>
      </c>
    </row>
    <row r="924" spans="1:7" x14ac:dyDescent="0.3">
      <c r="A924" t="s">
        <v>1039</v>
      </c>
      <c r="B924" t="s">
        <v>312</v>
      </c>
      <c r="C924">
        <v>22</v>
      </c>
      <c r="D924" s="1">
        <v>45866</v>
      </c>
      <c r="E924">
        <v>7700</v>
      </c>
      <c r="F924" t="s">
        <v>1098</v>
      </c>
      <c r="G924">
        <v>1497</v>
      </c>
    </row>
    <row r="925" spans="1:7" x14ac:dyDescent="0.3">
      <c r="A925" t="s">
        <v>1039</v>
      </c>
      <c r="B925" t="s">
        <v>310</v>
      </c>
      <c r="C925">
        <v>22</v>
      </c>
      <c r="D925" s="1">
        <v>45865</v>
      </c>
      <c r="E925">
        <v>7700</v>
      </c>
      <c r="F925" t="s">
        <v>1103</v>
      </c>
      <c r="G925">
        <v>1481</v>
      </c>
    </row>
    <row r="926" spans="1:7" x14ac:dyDescent="0.3">
      <c r="A926" t="s">
        <v>1039</v>
      </c>
      <c r="B926" t="s">
        <v>226</v>
      </c>
      <c r="C926">
        <v>22</v>
      </c>
      <c r="D926" s="1">
        <v>45865</v>
      </c>
      <c r="E926">
        <v>7700</v>
      </c>
      <c r="F926" t="s">
        <v>1138</v>
      </c>
      <c r="G926">
        <v>1524</v>
      </c>
    </row>
    <row r="927" spans="1:7" x14ac:dyDescent="0.3">
      <c r="A927" t="s">
        <v>1039</v>
      </c>
      <c r="B927" t="s">
        <v>310</v>
      </c>
      <c r="C927">
        <v>22</v>
      </c>
      <c r="D927" s="1">
        <v>45856</v>
      </c>
      <c r="E927">
        <v>7700</v>
      </c>
      <c r="F927" t="s">
        <v>1182</v>
      </c>
      <c r="G927">
        <v>1444</v>
      </c>
    </row>
    <row r="928" spans="1:7" x14ac:dyDescent="0.3">
      <c r="A928" t="s">
        <v>1039</v>
      </c>
      <c r="B928" t="s">
        <v>310</v>
      </c>
      <c r="C928">
        <v>22</v>
      </c>
      <c r="D928" s="1">
        <v>45863</v>
      </c>
      <c r="E928">
        <v>7700</v>
      </c>
      <c r="F928" t="s">
        <v>1215</v>
      </c>
      <c r="G928">
        <v>1479</v>
      </c>
    </row>
    <row r="929" spans="1:7" x14ac:dyDescent="0.3">
      <c r="A929" t="s">
        <v>1039</v>
      </c>
      <c r="B929" t="s">
        <v>309</v>
      </c>
      <c r="C929">
        <v>22</v>
      </c>
      <c r="D929" s="1">
        <v>45864</v>
      </c>
      <c r="E929">
        <v>7700</v>
      </c>
      <c r="F929" t="s">
        <v>1230</v>
      </c>
      <c r="G929">
        <v>1530</v>
      </c>
    </row>
    <row r="930" spans="1:7" x14ac:dyDescent="0.3">
      <c r="A930" t="s">
        <v>1039</v>
      </c>
      <c r="B930" t="s">
        <v>228</v>
      </c>
      <c r="C930">
        <v>22</v>
      </c>
      <c r="D930" s="1">
        <v>45862</v>
      </c>
      <c r="E930">
        <v>7700</v>
      </c>
      <c r="F930" t="s">
        <v>1250</v>
      </c>
      <c r="G930">
        <v>1331</v>
      </c>
    </row>
    <row r="931" spans="1:7" x14ac:dyDescent="0.3">
      <c r="A931" t="s">
        <v>1039</v>
      </c>
      <c r="B931" t="s">
        <v>228</v>
      </c>
      <c r="C931">
        <v>22</v>
      </c>
      <c r="D931" s="1">
        <v>45859</v>
      </c>
      <c r="E931">
        <v>7700</v>
      </c>
      <c r="F931" t="s">
        <v>1294</v>
      </c>
      <c r="G931">
        <v>1323</v>
      </c>
    </row>
    <row r="932" spans="1:7" x14ac:dyDescent="0.3">
      <c r="A932" t="s">
        <v>1039</v>
      </c>
      <c r="B932" t="s">
        <v>232</v>
      </c>
      <c r="C932">
        <v>22</v>
      </c>
      <c r="D932" s="1">
        <v>45863</v>
      </c>
      <c r="E932">
        <v>7700</v>
      </c>
      <c r="F932" t="s">
        <v>1310</v>
      </c>
      <c r="G932">
        <v>1274</v>
      </c>
    </row>
    <row r="933" spans="1:7" x14ac:dyDescent="0.3">
      <c r="A933" t="s">
        <v>1039</v>
      </c>
      <c r="B933" t="s">
        <v>229</v>
      </c>
      <c r="C933">
        <v>22</v>
      </c>
      <c r="D933" s="1">
        <v>45862</v>
      </c>
      <c r="E933">
        <v>7700</v>
      </c>
      <c r="F933" t="s">
        <v>1338</v>
      </c>
      <c r="G933">
        <v>1249</v>
      </c>
    </row>
    <row r="934" spans="1:7" x14ac:dyDescent="0.3">
      <c r="A934" t="s">
        <v>1039</v>
      </c>
      <c r="B934" t="s">
        <v>310</v>
      </c>
      <c r="C934">
        <v>22</v>
      </c>
      <c r="D934" s="1">
        <v>45862</v>
      </c>
      <c r="E934">
        <v>7700</v>
      </c>
      <c r="F934" t="s">
        <v>1354</v>
      </c>
      <c r="G934">
        <v>1243</v>
      </c>
    </row>
    <row r="935" spans="1:7" x14ac:dyDescent="0.3">
      <c r="A935" t="s">
        <v>1039</v>
      </c>
      <c r="B935" t="s">
        <v>226</v>
      </c>
      <c r="C935">
        <v>22</v>
      </c>
      <c r="D935" s="1">
        <v>45862</v>
      </c>
      <c r="E935">
        <v>7700</v>
      </c>
      <c r="F935" t="s">
        <v>1368</v>
      </c>
      <c r="G935">
        <v>1790</v>
      </c>
    </row>
    <row r="936" spans="1:7" x14ac:dyDescent="0.3">
      <c r="A936" t="s">
        <v>1039</v>
      </c>
      <c r="B936" t="s">
        <v>233</v>
      </c>
      <c r="C936">
        <v>22</v>
      </c>
      <c r="D936" s="1">
        <v>45862</v>
      </c>
      <c r="E936">
        <v>7700</v>
      </c>
      <c r="F936" t="s">
        <v>1371</v>
      </c>
      <c r="G936">
        <v>1215</v>
      </c>
    </row>
    <row r="937" spans="1:7" x14ac:dyDescent="0.3">
      <c r="A937" t="s">
        <v>1039</v>
      </c>
      <c r="B937" t="s">
        <v>309</v>
      </c>
      <c r="C937">
        <v>22</v>
      </c>
      <c r="D937" s="1">
        <v>45861</v>
      </c>
      <c r="E937">
        <v>7700</v>
      </c>
      <c r="F937" t="s">
        <v>1408</v>
      </c>
      <c r="G937">
        <v>1292</v>
      </c>
    </row>
    <row r="938" spans="1:7" x14ac:dyDescent="0.3">
      <c r="A938" t="s">
        <v>1039</v>
      </c>
      <c r="B938" t="s">
        <v>309</v>
      </c>
      <c r="C938">
        <v>22</v>
      </c>
      <c r="D938" s="1">
        <v>45858</v>
      </c>
      <c r="E938">
        <v>7700</v>
      </c>
      <c r="F938" t="s">
        <v>1464</v>
      </c>
      <c r="G938">
        <v>1109</v>
      </c>
    </row>
    <row r="939" spans="1:7" x14ac:dyDescent="0.3">
      <c r="A939" t="s">
        <v>1039</v>
      </c>
      <c r="B939" t="s">
        <v>309</v>
      </c>
      <c r="C939">
        <v>22</v>
      </c>
      <c r="D939" s="1">
        <v>45861</v>
      </c>
      <c r="E939">
        <v>7700</v>
      </c>
      <c r="F939" t="s">
        <v>1472</v>
      </c>
      <c r="G939">
        <v>1125</v>
      </c>
    </row>
    <row r="940" spans="1:7" x14ac:dyDescent="0.3">
      <c r="A940" t="s">
        <v>1039</v>
      </c>
      <c r="B940" t="s">
        <v>310</v>
      </c>
      <c r="C940">
        <v>22</v>
      </c>
      <c r="D940" s="1">
        <v>45860</v>
      </c>
      <c r="E940">
        <v>7700</v>
      </c>
      <c r="F940" t="s">
        <v>1488</v>
      </c>
      <c r="G940">
        <v>1096</v>
      </c>
    </row>
    <row r="941" spans="1:7" x14ac:dyDescent="0.3">
      <c r="A941" t="s">
        <v>1039</v>
      </c>
      <c r="B941" t="s">
        <v>233</v>
      </c>
      <c r="C941">
        <v>22</v>
      </c>
      <c r="D941" s="1">
        <v>45858</v>
      </c>
      <c r="E941">
        <v>7700</v>
      </c>
      <c r="F941" t="s">
        <v>1518</v>
      </c>
      <c r="G941">
        <v>1049</v>
      </c>
    </row>
    <row r="942" spans="1:7" x14ac:dyDescent="0.3">
      <c r="A942" t="s">
        <v>1039</v>
      </c>
      <c r="B942" t="s">
        <v>231</v>
      </c>
      <c r="C942">
        <v>22</v>
      </c>
      <c r="D942" s="1">
        <v>45859</v>
      </c>
      <c r="E942">
        <v>7700</v>
      </c>
      <c r="F942" t="s">
        <v>452</v>
      </c>
      <c r="G942">
        <v>988</v>
      </c>
    </row>
    <row r="943" spans="1:7" x14ac:dyDescent="0.3">
      <c r="A943" t="s">
        <v>1039</v>
      </c>
      <c r="B943" t="s">
        <v>309</v>
      </c>
      <c r="C943">
        <v>22</v>
      </c>
      <c r="D943" s="1">
        <v>45857</v>
      </c>
      <c r="E943">
        <v>7700</v>
      </c>
      <c r="F943" t="s">
        <v>476</v>
      </c>
      <c r="G943">
        <v>977</v>
      </c>
    </row>
    <row r="944" spans="1:7" x14ac:dyDescent="0.3">
      <c r="A944" t="s">
        <v>1039</v>
      </c>
      <c r="B944" t="s">
        <v>309</v>
      </c>
      <c r="C944">
        <v>22</v>
      </c>
      <c r="D944" s="1">
        <v>45859</v>
      </c>
      <c r="E944">
        <v>7700</v>
      </c>
      <c r="F944" t="s">
        <v>536</v>
      </c>
      <c r="G944">
        <v>983</v>
      </c>
    </row>
    <row r="945" spans="1:7" x14ac:dyDescent="0.3">
      <c r="A945" t="s">
        <v>1039</v>
      </c>
      <c r="B945" t="s">
        <v>310</v>
      </c>
      <c r="C945">
        <v>22</v>
      </c>
      <c r="D945" s="1">
        <v>45858</v>
      </c>
      <c r="E945">
        <v>7700</v>
      </c>
      <c r="F945" t="s">
        <v>569</v>
      </c>
      <c r="G945">
        <v>856</v>
      </c>
    </row>
    <row r="946" spans="1:7" x14ac:dyDescent="0.3">
      <c r="A946" t="s">
        <v>1039</v>
      </c>
      <c r="B946" t="s">
        <v>226</v>
      </c>
      <c r="C946">
        <v>22</v>
      </c>
      <c r="D946" s="1">
        <v>45857</v>
      </c>
      <c r="E946">
        <v>7700</v>
      </c>
      <c r="F946" t="s">
        <v>1636</v>
      </c>
      <c r="G946">
        <v>905</v>
      </c>
    </row>
    <row r="947" spans="1:7" x14ac:dyDescent="0.3">
      <c r="A947" t="s">
        <v>1039</v>
      </c>
      <c r="B947" t="s">
        <v>310</v>
      </c>
      <c r="C947">
        <v>22</v>
      </c>
      <c r="D947" s="1">
        <v>45858</v>
      </c>
      <c r="E947">
        <v>7700</v>
      </c>
      <c r="F947" t="s">
        <v>628</v>
      </c>
      <c r="G947">
        <v>831</v>
      </c>
    </row>
    <row r="948" spans="1:7" x14ac:dyDescent="0.3">
      <c r="A948" t="s">
        <v>1039</v>
      </c>
      <c r="B948" t="s">
        <v>231</v>
      </c>
      <c r="C948">
        <v>22</v>
      </c>
      <c r="D948" s="1">
        <v>45856</v>
      </c>
      <c r="E948">
        <v>7700</v>
      </c>
      <c r="F948" t="s">
        <v>1663</v>
      </c>
      <c r="G948">
        <v>793</v>
      </c>
    </row>
    <row r="949" spans="1:7" x14ac:dyDescent="0.3">
      <c r="A949" t="s">
        <v>1039</v>
      </c>
      <c r="B949" t="s">
        <v>231</v>
      </c>
      <c r="C949">
        <v>22</v>
      </c>
      <c r="D949" s="1">
        <v>45857</v>
      </c>
      <c r="E949">
        <v>7700</v>
      </c>
      <c r="F949" t="s">
        <v>1664</v>
      </c>
      <c r="G949">
        <v>852</v>
      </c>
    </row>
    <row r="950" spans="1:7" x14ac:dyDescent="0.3">
      <c r="A950" t="s">
        <v>1039</v>
      </c>
      <c r="B950" t="s">
        <v>233</v>
      </c>
      <c r="C950">
        <v>22</v>
      </c>
      <c r="D950" s="1">
        <v>45857</v>
      </c>
      <c r="E950">
        <v>7700</v>
      </c>
      <c r="F950" t="s">
        <v>1665</v>
      </c>
      <c r="G950">
        <v>864</v>
      </c>
    </row>
    <row r="951" spans="1:7" x14ac:dyDescent="0.3">
      <c r="A951" t="s">
        <v>1039</v>
      </c>
      <c r="B951" t="s">
        <v>229</v>
      </c>
      <c r="C951">
        <v>22</v>
      </c>
      <c r="D951" s="1">
        <v>45857</v>
      </c>
      <c r="E951">
        <v>7700</v>
      </c>
      <c r="F951" t="s">
        <v>1666</v>
      </c>
      <c r="G951">
        <v>765</v>
      </c>
    </row>
    <row r="952" spans="1:7" x14ac:dyDescent="0.3">
      <c r="A952" t="s">
        <v>1039</v>
      </c>
      <c r="B952" t="s">
        <v>310</v>
      </c>
      <c r="C952">
        <v>22</v>
      </c>
      <c r="D952" s="1">
        <v>45857</v>
      </c>
      <c r="E952">
        <v>7700</v>
      </c>
      <c r="F952" t="s">
        <v>762</v>
      </c>
      <c r="G952">
        <v>789</v>
      </c>
    </row>
    <row r="953" spans="1:7" x14ac:dyDescent="0.3">
      <c r="A953" t="s">
        <v>1039</v>
      </c>
      <c r="B953" t="s">
        <v>228</v>
      </c>
      <c r="C953">
        <v>22</v>
      </c>
      <c r="D953" s="1">
        <v>45857</v>
      </c>
      <c r="E953">
        <v>7700</v>
      </c>
      <c r="F953" t="s">
        <v>693</v>
      </c>
      <c r="G953">
        <v>813</v>
      </c>
    </row>
    <row r="954" spans="1:7" x14ac:dyDescent="0.3">
      <c r="A954" t="s">
        <v>1039</v>
      </c>
      <c r="B954" t="s">
        <v>233</v>
      </c>
      <c r="C954">
        <v>22</v>
      </c>
      <c r="D954" s="1">
        <v>45857</v>
      </c>
      <c r="E954">
        <v>7700</v>
      </c>
      <c r="F954" t="s">
        <v>547</v>
      </c>
      <c r="G954">
        <v>757</v>
      </c>
    </row>
    <row r="955" spans="1:7" x14ac:dyDescent="0.3">
      <c r="A955" t="s">
        <v>1039</v>
      </c>
      <c r="B955" t="s">
        <v>233</v>
      </c>
      <c r="C955">
        <v>22</v>
      </c>
      <c r="D955" s="1">
        <v>45856</v>
      </c>
      <c r="E955">
        <v>7700</v>
      </c>
      <c r="F955" t="s">
        <v>653</v>
      </c>
      <c r="G955">
        <v>716</v>
      </c>
    </row>
    <row r="956" spans="1:7" x14ac:dyDescent="0.3">
      <c r="A956" t="s">
        <v>1039</v>
      </c>
      <c r="B956" t="s">
        <v>310</v>
      </c>
      <c r="C956">
        <v>22</v>
      </c>
      <c r="D956" s="1">
        <v>45856</v>
      </c>
      <c r="E956">
        <v>7700</v>
      </c>
      <c r="F956" t="s">
        <v>581</v>
      </c>
      <c r="G956">
        <v>725</v>
      </c>
    </row>
    <row r="957" spans="1:7" x14ac:dyDescent="0.3">
      <c r="A957" t="s">
        <v>1039</v>
      </c>
      <c r="B957" t="s">
        <v>310</v>
      </c>
      <c r="C957">
        <v>22</v>
      </c>
      <c r="D957" s="1">
        <v>45857</v>
      </c>
      <c r="E957">
        <v>7700</v>
      </c>
      <c r="F957" t="s">
        <v>620</v>
      </c>
      <c r="G957">
        <v>729</v>
      </c>
    </row>
    <row r="958" spans="1:7" x14ac:dyDescent="0.3">
      <c r="A958" t="s">
        <v>1039</v>
      </c>
      <c r="B958" t="s">
        <v>310</v>
      </c>
      <c r="C958">
        <v>22</v>
      </c>
      <c r="D958" s="1">
        <v>45855</v>
      </c>
      <c r="E958">
        <v>7700</v>
      </c>
      <c r="F958" t="s">
        <v>1689</v>
      </c>
      <c r="G958">
        <v>699</v>
      </c>
    </row>
    <row r="959" spans="1:7" x14ac:dyDescent="0.3">
      <c r="A959" t="s">
        <v>1039</v>
      </c>
      <c r="B959" t="s">
        <v>233</v>
      </c>
      <c r="C959">
        <v>22</v>
      </c>
      <c r="D959" s="1">
        <v>45855</v>
      </c>
      <c r="E959">
        <v>7700</v>
      </c>
      <c r="F959" t="s">
        <v>1715</v>
      </c>
      <c r="G959">
        <v>760</v>
      </c>
    </row>
    <row r="960" spans="1:7" x14ac:dyDescent="0.3">
      <c r="A960" t="s">
        <v>1039</v>
      </c>
      <c r="B960" t="s">
        <v>310</v>
      </c>
      <c r="C960">
        <v>22</v>
      </c>
      <c r="D960" s="1">
        <v>45855</v>
      </c>
      <c r="E960">
        <v>7700</v>
      </c>
      <c r="F960" t="s">
        <v>727</v>
      </c>
      <c r="G960">
        <v>645</v>
      </c>
    </row>
    <row r="961" spans="1:7" x14ac:dyDescent="0.3">
      <c r="A961" t="s">
        <v>1039</v>
      </c>
      <c r="B961" t="s">
        <v>310</v>
      </c>
      <c r="C961">
        <v>22</v>
      </c>
      <c r="D961" s="1">
        <v>45854</v>
      </c>
      <c r="E961">
        <v>7700</v>
      </c>
      <c r="F961" t="s">
        <v>1716</v>
      </c>
      <c r="G961">
        <v>567</v>
      </c>
    </row>
    <row r="962" spans="1:7" x14ac:dyDescent="0.3">
      <c r="A962" t="s">
        <v>1039</v>
      </c>
      <c r="B962" t="s">
        <v>310</v>
      </c>
      <c r="C962">
        <v>22</v>
      </c>
      <c r="D962" s="1">
        <v>45854</v>
      </c>
      <c r="E962">
        <v>7700</v>
      </c>
      <c r="F962" t="s">
        <v>1722</v>
      </c>
      <c r="G962">
        <v>533</v>
      </c>
    </row>
    <row r="963" spans="1:7" x14ac:dyDescent="0.3">
      <c r="A963" t="s">
        <v>1039</v>
      </c>
      <c r="B963" t="s">
        <v>235</v>
      </c>
      <c r="C963">
        <v>22</v>
      </c>
      <c r="D963" s="1">
        <v>45863</v>
      </c>
      <c r="E963">
        <v>0</v>
      </c>
      <c r="F963" t="s">
        <v>1174</v>
      </c>
      <c r="G963">
        <v>1485</v>
      </c>
    </row>
    <row r="964" spans="1:7" x14ac:dyDescent="0.3">
      <c r="A964" t="s">
        <v>1039</v>
      </c>
      <c r="B964" t="s">
        <v>310</v>
      </c>
      <c r="C964">
        <v>22</v>
      </c>
      <c r="D964" s="1">
        <v>45856</v>
      </c>
      <c r="E964">
        <v>0</v>
      </c>
      <c r="F964" t="s">
        <v>621</v>
      </c>
      <c r="G964">
        <v>891</v>
      </c>
    </row>
    <row r="965" spans="1:7" x14ac:dyDescent="0.3">
      <c r="A965" t="s">
        <v>1039</v>
      </c>
      <c r="B965" t="s">
        <v>231</v>
      </c>
      <c r="C965">
        <v>22</v>
      </c>
      <c r="D965" s="1">
        <v>45856</v>
      </c>
      <c r="E965">
        <v>0</v>
      </c>
      <c r="F965" t="s">
        <v>1697</v>
      </c>
      <c r="G965">
        <v>659</v>
      </c>
    </row>
    <row r="966" spans="1:7" x14ac:dyDescent="0.3">
      <c r="A966" t="s">
        <v>1039</v>
      </c>
      <c r="B966" t="s">
        <v>225</v>
      </c>
      <c r="C966">
        <v>22</v>
      </c>
      <c r="D966" s="1">
        <v>45855</v>
      </c>
      <c r="E966">
        <v>0</v>
      </c>
      <c r="F966" t="s">
        <v>1711</v>
      </c>
      <c r="G966">
        <v>618</v>
      </c>
    </row>
    <row r="967" spans="1:7" x14ac:dyDescent="0.3">
      <c r="A967" t="s">
        <v>1039</v>
      </c>
      <c r="B967" t="s">
        <v>226</v>
      </c>
      <c r="C967">
        <v>23</v>
      </c>
      <c r="D967" s="1">
        <v>45854</v>
      </c>
      <c r="E967">
        <v>128700</v>
      </c>
      <c r="F967" t="s">
        <v>750</v>
      </c>
      <c r="G967">
        <v>665</v>
      </c>
    </row>
    <row r="968" spans="1:7" x14ac:dyDescent="0.3">
      <c r="A968" t="s">
        <v>1039</v>
      </c>
      <c r="B968" t="s">
        <v>309</v>
      </c>
      <c r="C968">
        <v>23</v>
      </c>
      <c r="D968" s="1">
        <v>45854</v>
      </c>
      <c r="E968">
        <v>84700</v>
      </c>
      <c r="F968" t="s">
        <v>532</v>
      </c>
      <c r="G968">
        <v>792</v>
      </c>
    </row>
    <row r="969" spans="1:7" x14ac:dyDescent="0.3">
      <c r="A969" t="s">
        <v>1039</v>
      </c>
      <c r="B969" t="s">
        <v>233</v>
      </c>
      <c r="C969">
        <v>23</v>
      </c>
      <c r="D969" s="1">
        <v>45854</v>
      </c>
      <c r="E969">
        <v>64900</v>
      </c>
      <c r="F969" t="s">
        <v>692</v>
      </c>
      <c r="G969">
        <v>760</v>
      </c>
    </row>
    <row r="970" spans="1:7" x14ac:dyDescent="0.3">
      <c r="A970" t="s">
        <v>1039</v>
      </c>
      <c r="B970" t="s">
        <v>309</v>
      </c>
      <c r="C970">
        <v>23</v>
      </c>
      <c r="D970" s="1">
        <v>45862</v>
      </c>
      <c r="E970">
        <v>40700</v>
      </c>
      <c r="F970" t="s">
        <v>1283</v>
      </c>
      <c r="G970">
        <v>1393</v>
      </c>
    </row>
    <row r="971" spans="1:7" x14ac:dyDescent="0.3">
      <c r="A971" t="s">
        <v>1039</v>
      </c>
      <c r="B971" t="s">
        <v>309</v>
      </c>
      <c r="C971">
        <v>23</v>
      </c>
      <c r="D971" s="1">
        <v>45859</v>
      </c>
      <c r="E971">
        <v>33000</v>
      </c>
      <c r="F971" t="s">
        <v>1538</v>
      </c>
      <c r="G971">
        <v>1009</v>
      </c>
    </row>
    <row r="972" spans="1:7" x14ac:dyDescent="0.3">
      <c r="A972" t="s">
        <v>1039</v>
      </c>
      <c r="B972" t="s">
        <v>309</v>
      </c>
      <c r="C972">
        <v>23</v>
      </c>
      <c r="D972" s="1">
        <v>45860</v>
      </c>
      <c r="E972">
        <v>29700</v>
      </c>
      <c r="F972" t="s">
        <v>1426</v>
      </c>
      <c r="G972">
        <v>1396</v>
      </c>
    </row>
    <row r="973" spans="1:7" x14ac:dyDescent="0.3">
      <c r="A973" t="s">
        <v>1039</v>
      </c>
      <c r="B973" t="s">
        <v>309</v>
      </c>
      <c r="C973">
        <v>23</v>
      </c>
      <c r="D973" s="1">
        <v>45858</v>
      </c>
      <c r="E973">
        <v>28600</v>
      </c>
      <c r="F973" t="s">
        <v>1595</v>
      </c>
      <c r="G973">
        <v>1000</v>
      </c>
    </row>
    <row r="974" spans="1:7" x14ac:dyDescent="0.3">
      <c r="A974" t="s">
        <v>1039</v>
      </c>
      <c r="B974" t="s">
        <v>309</v>
      </c>
      <c r="C974">
        <v>23</v>
      </c>
      <c r="D974" s="1">
        <v>45863</v>
      </c>
      <c r="E974">
        <v>25300</v>
      </c>
      <c r="F974" t="s">
        <v>1240</v>
      </c>
      <c r="G974">
        <v>1605</v>
      </c>
    </row>
    <row r="975" spans="1:7" x14ac:dyDescent="0.3">
      <c r="A975" t="s">
        <v>1039</v>
      </c>
      <c r="B975" t="s">
        <v>236</v>
      </c>
      <c r="C975">
        <v>23</v>
      </c>
      <c r="D975" s="1">
        <v>45861</v>
      </c>
      <c r="E975">
        <v>23100</v>
      </c>
      <c r="F975" t="s">
        <v>1380</v>
      </c>
      <c r="G975">
        <v>1232</v>
      </c>
    </row>
    <row r="976" spans="1:7" x14ac:dyDescent="0.3">
      <c r="A976" t="s">
        <v>1039</v>
      </c>
      <c r="B976" t="s">
        <v>309</v>
      </c>
      <c r="C976">
        <v>23</v>
      </c>
      <c r="D976" s="1">
        <v>45863</v>
      </c>
      <c r="E976">
        <v>20900</v>
      </c>
      <c r="F976" t="s">
        <v>1229</v>
      </c>
      <c r="G976">
        <v>1506</v>
      </c>
    </row>
    <row r="977" spans="1:7" x14ac:dyDescent="0.3">
      <c r="A977" t="s">
        <v>1039</v>
      </c>
      <c r="B977" t="s">
        <v>309</v>
      </c>
      <c r="C977">
        <v>23</v>
      </c>
      <c r="D977" s="1">
        <v>45860</v>
      </c>
      <c r="E977">
        <v>18700</v>
      </c>
      <c r="F977" t="s">
        <v>1459</v>
      </c>
      <c r="G977">
        <v>1357</v>
      </c>
    </row>
    <row r="978" spans="1:7" x14ac:dyDescent="0.3">
      <c r="A978" t="s">
        <v>1039</v>
      </c>
      <c r="B978" t="s">
        <v>309</v>
      </c>
      <c r="C978">
        <v>23</v>
      </c>
      <c r="D978" s="1">
        <v>45858</v>
      </c>
      <c r="E978">
        <v>18700</v>
      </c>
      <c r="F978" t="s">
        <v>1551</v>
      </c>
      <c r="G978">
        <v>1608</v>
      </c>
    </row>
    <row r="979" spans="1:7" x14ac:dyDescent="0.3">
      <c r="A979" t="s">
        <v>1039</v>
      </c>
      <c r="B979" t="s">
        <v>309</v>
      </c>
      <c r="C979">
        <v>23</v>
      </c>
      <c r="D979" s="1">
        <v>45858</v>
      </c>
      <c r="E979">
        <v>18700</v>
      </c>
      <c r="F979" t="s">
        <v>1589</v>
      </c>
      <c r="G979">
        <v>926</v>
      </c>
    </row>
    <row r="980" spans="1:7" x14ac:dyDescent="0.3">
      <c r="A980" t="s">
        <v>1039</v>
      </c>
      <c r="B980" t="s">
        <v>229</v>
      </c>
      <c r="C980">
        <v>23</v>
      </c>
      <c r="D980" s="1">
        <v>45857</v>
      </c>
      <c r="E980">
        <v>18700</v>
      </c>
      <c r="F980" t="s">
        <v>578</v>
      </c>
      <c r="G980">
        <v>856</v>
      </c>
    </row>
    <row r="981" spans="1:7" x14ac:dyDescent="0.3">
      <c r="A981" t="s">
        <v>1039</v>
      </c>
      <c r="B981" t="s">
        <v>310</v>
      </c>
      <c r="C981">
        <v>23</v>
      </c>
      <c r="D981" s="1">
        <v>45859</v>
      </c>
      <c r="E981">
        <v>14300</v>
      </c>
      <c r="F981" t="s">
        <v>1473</v>
      </c>
      <c r="G981">
        <v>1122</v>
      </c>
    </row>
    <row r="982" spans="1:7" x14ac:dyDescent="0.3">
      <c r="A982" t="s">
        <v>1039</v>
      </c>
      <c r="B982" t="s">
        <v>310</v>
      </c>
      <c r="C982">
        <v>23</v>
      </c>
      <c r="D982" s="1">
        <v>45857</v>
      </c>
      <c r="E982">
        <v>14300</v>
      </c>
      <c r="F982" t="s">
        <v>502</v>
      </c>
      <c r="G982">
        <v>872</v>
      </c>
    </row>
    <row r="983" spans="1:7" x14ac:dyDescent="0.3">
      <c r="A983" t="s">
        <v>1039</v>
      </c>
      <c r="B983" t="s">
        <v>231</v>
      </c>
      <c r="C983">
        <v>23</v>
      </c>
      <c r="D983" s="1">
        <v>45864</v>
      </c>
      <c r="E983">
        <v>11000</v>
      </c>
      <c r="F983" t="s">
        <v>1120</v>
      </c>
      <c r="G983">
        <v>1559</v>
      </c>
    </row>
    <row r="984" spans="1:7" x14ac:dyDescent="0.3">
      <c r="A984" t="s">
        <v>1039</v>
      </c>
      <c r="B984" t="s">
        <v>309</v>
      </c>
      <c r="C984">
        <v>23</v>
      </c>
      <c r="D984" s="1">
        <v>45861</v>
      </c>
      <c r="E984">
        <v>11000</v>
      </c>
      <c r="F984" t="s">
        <v>1331</v>
      </c>
      <c r="G984">
        <v>1516</v>
      </c>
    </row>
    <row r="985" spans="1:7" x14ac:dyDescent="0.3">
      <c r="A985" t="s">
        <v>1039</v>
      </c>
      <c r="B985" t="s">
        <v>309</v>
      </c>
      <c r="C985">
        <v>23</v>
      </c>
      <c r="D985" s="1">
        <v>45859</v>
      </c>
      <c r="E985">
        <v>8800</v>
      </c>
      <c r="F985" t="s">
        <v>1499</v>
      </c>
      <c r="G985">
        <v>1298</v>
      </c>
    </row>
    <row r="986" spans="1:7" x14ac:dyDescent="0.3">
      <c r="A986" t="s">
        <v>1039</v>
      </c>
      <c r="B986" t="s">
        <v>226</v>
      </c>
      <c r="C986">
        <v>23</v>
      </c>
      <c r="D986" s="1">
        <v>45865</v>
      </c>
      <c r="E986">
        <v>7700</v>
      </c>
      <c r="F986" t="s">
        <v>1092</v>
      </c>
      <c r="G986">
        <v>1473</v>
      </c>
    </row>
    <row r="987" spans="1:7" x14ac:dyDescent="0.3">
      <c r="A987" t="s">
        <v>1039</v>
      </c>
      <c r="B987" t="s">
        <v>310</v>
      </c>
      <c r="C987">
        <v>23</v>
      </c>
      <c r="D987" s="1">
        <v>45864</v>
      </c>
      <c r="E987">
        <v>7700</v>
      </c>
      <c r="F987" t="s">
        <v>1161</v>
      </c>
      <c r="G987">
        <v>1423</v>
      </c>
    </row>
    <row r="988" spans="1:7" x14ac:dyDescent="0.3">
      <c r="A988" t="s">
        <v>1039</v>
      </c>
      <c r="B988" t="s">
        <v>226</v>
      </c>
      <c r="C988">
        <v>23</v>
      </c>
      <c r="D988" s="1">
        <v>45863</v>
      </c>
      <c r="E988">
        <v>7700</v>
      </c>
      <c r="F988" t="s">
        <v>1165</v>
      </c>
      <c r="G988">
        <v>1425</v>
      </c>
    </row>
    <row r="989" spans="1:7" x14ac:dyDescent="0.3">
      <c r="A989" t="s">
        <v>1039</v>
      </c>
      <c r="B989" t="s">
        <v>234</v>
      </c>
      <c r="C989">
        <v>23</v>
      </c>
      <c r="D989" s="1">
        <v>45862</v>
      </c>
      <c r="E989">
        <v>7700</v>
      </c>
      <c r="F989" t="s">
        <v>1228</v>
      </c>
      <c r="G989">
        <v>1352</v>
      </c>
    </row>
    <row r="990" spans="1:7" x14ac:dyDescent="0.3">
      <c r="A990" t="s">
        <v>1039</v>
      </c>
      <c r="B990" t="s">
        <v>229</v>
      </c>
      <c r="C990">
        <v>23</v>
      </c>
      <c r="D990" s="1">
        <v>45854</v>
      </c>
      <c r="E990">
        <v>7700</v>
      </c>
      <c r="F990" t="s">
        <v>1239</v>
      </c>
      <c r="G990">
        <v>1369</v>
      </c>
    </row>
    <row r="991" spans="1:7" x14ac:dyDescent="0.3">
      <c r="A991" t="s">
        <v>1039</v>
      </c>
      <c r="B991" t="s">
        <v>235</v>
      </c>
      <c r="C991">
        <v>23</v>
      </c>
      <c r="D991" s="1">
        <v>45862</v>
      </c>
      <c r="E991">
        <v>7700</v>
      </c>
      <c r="F991" t="s">
        <v>1254</v>
      </c>
      <c r="G991">
        <v>1348</v>
      </c>
    </row>
    <row r="992" spans="1:7" x14ac:dyDescent="0.3">
      <c r="A992" t="s">
        <v>1039</v>
      </c>
      <c r="B992" t="s">
        <v>309</v>
      </c>
      <c r="C992">
        <v>23</v>
      </c>
      <c r="D992" s="1">
        <v>45860</v>
      </c>
      <c r="E992">
        <v>7700</v>
      </c>
      <c r="F992" t="s">
        <v>1333</v>
      </c>
      <c r="G992">
        <v>1268</v>
      </c>
    </row>
    <row r="993" spans="1:7" x14ac:dyDescent="0.3">
      <c r="A993" t="s">
        <v>1039</v>
      </c>
      <c r="B993" t="s">
        <v>231</v>
      </c>
      <c r="C993">
        <v>23</v>
      </c>
      <c r="D993" s="1">
        <v>45859</v>
      </c>
      <c r="E993">
        <v>7700</v>
      </c>
      <c r="F993" t="s">
        <v>1374</v>
      </c>
      <c r="G993">
        <v>1225</v>
      </c>
    </row>
    <row r="994" spans="1:7" x14ac:dyDescent="0.3">
      <c r="A994" t="s">
        <v>1039</v>
      </c>
      <c r="B994" t="s">
        <v>309</v>
      </c>
      <c r="C994">
        <v>23</v>
      </c>
      <c r="D994" s="1">
        <v>45860</v>
      </c>
      <c r="E994">
        <v>7700</v>
      </c>
      <c r="F994" t="s">
        <v>1389</v>
      </c>
      <c r="G994">
        <v>1292</v>
      </c>
    </row>
    <row r="995" spans="1:7" x14ac:dyDescent="0.3">
      <c r="A995" t="s">
        <v>1039</v>
      </c>
      <c r="B995" t="s">
        <v>309</v>
      </c>
      <c r="C995">
        <v>23</v>
      </c>
      <c r="D995" s="1">
        <v>45859</v>
      </c>
      <c r="E995">
        <v>7700</v>
      </c>
      <c r="F995" t="s">
        <v>1445</v>
      </c>
      <c r="G995">
        <v>1169</v>
      </c>
    </row>
    <row r="996" spans="1:7" x14ac:dyDescent="0.3">
      <c r="A996" t="s">
        <v>1039</v>
      </c>
      <c r="B996" t="s">
        <v>231</v>
      </c>
      <c r="C996">
        <v>23</v>
      </c>
      <c r="D996" s="1">
        <v>45636</v>
      </c>
      <c r="E996">
        <v>7700</v>
      </c>
      <c r="F996" t="s">
        <v>1456</v>
      </c>
      <c r="G996">
        <v>1952</v>
      </c>
    </row>
    <row r="997" spans="1:7" x14ac:dyDescent="0.3">
      <c r="A997" t="s">
        <v>1039</v>
      </c>
      <c r="B997" t="s">
        <v>310</v>
      </c>
      <c r="C997">
        <v>23</v>
      </c>
      <c r="D997" s="1">
        <v>45857</v>
      </c>
      <c r="E997">
        <v>7700</v>
      </c>
      <c r="F997" t="s">
        <v>1486</v>
      </c>
      <c r="G997">
        <v>1173</v>
      </c>
    </row>
    <row r="998" spans="1:7" x14ac:dyDescent="0.3">
      <c r="A998" t="s">
        <v>1039</v>
      </c>
      <c r="B998" t="s">
        <v>232</v>
      </c>
      <c r="C998">
        <v>23</v>
      </c>
      <c r="D998" s="1">
        <v>45859</v>
      </c>
      <c r="E998">
        <v>7700</v>
      </c>
      <c r="F998" t="s">
        <v>1510</v>
      </c>
      <c r="G998">
        <v>1067</v>
      </c>
    </row>
    <row r="999" spans="1:7" x14ac:dyDescent="0.3">
      <c r="A999" t="s">
        <v>1039</v>
      </c>
      <c r="B999" t="s">
        <v>311</v>
      </c>
      <c r="C999">
        <v>23</v>
      </c>
      <c r="D999" s="1">
        <v>45859</v>
      </c>
      <c r="E999">
        <v>7700</v>
      </c>
      <c r="F999" t="s">
        <v>1513</v>
      </c>
      <c r="G999">
        <v>1053</v>
      </c>
    </row>
    <row r="1000" spans="1:7" x14ac:dyDescent="0.3">
      <c r="A1000" t="s">
        <v>1039</v>
      </c>
      <c r="B1000" t="s">
        <v>233</v>
      </c>
      <c r="C1000">
        <v>23</v>
      </c>
      <c r="D1000" s="1">
        <v>45858</v>
      </c>
      <c r="E1000">
        <v>7700</v>
      </c>
      <c r="F1000" t="s">
        <v>1557</v>
      </c>
      <c r="G1000">
        <v>980</v>
      </c>
    </row>
    <row r="1001" spans="1:7" x14ac:dyDescent="0.3">
      <c r="A1001" t="s">
        <v>1039</v>
      </c>
      <c r="B1001" t="s">
        <v>231</v>
      </c>
      <c r="C1001">
        <v>23</v>
      </c>
      <c r="D1001" s="1">
        <v>45857</v>
      </c>
      <c r="E1001">
        <v>7700</v>
      </c>
      <c r="F1001" t="s">
        <v>1558</v>
      </c>
      <c r="G1001">
        <v>1069</v>
      </c>
    </row>
    <row r="1002" spans="1:7" x14ac:dyDescent="0.3">
      <c r="A1002" t="s">
        <v>1039</v>
      </c>
      <c r="B1002" t="s">
        <v>309</v>
      </c>
      <c r="C1002">
        <v>23</v>
      </c>
      <c r="D1002" s="1">
        <v>45858</v>
      </c>
      <c r="E1002">
        <v>7700</v>
      </c>
      <c r="F1002" t="s">
        <v>1561</v>
      </c>
      <c r="G1002">
        <v>988</v>
      </c>
    </row>
    <row r="1003" spans="1:7" x14ac:dyDescent="0.3">
      <c r="A1003" t="s">
        <v>1039</v>
      </c>
      <c r="B1003" t="s">
        <v>231</v>
      </c>
      <c r="C1003">
        <v>23</v>
      </c>
      <c r="D1003" s="1">
        <v>45858</v>
      </c>
      <c r="E1003">
        <v>7700</v>
      </c>
      <c r="F1003" t="s">
        <v>1563</v>
      </c>
      <c r="G1003">
        <v>1053</v>
      </c>
    </row>
    <row r="1004" spans="1:7" x14ac:dyDescent="0.3">
      <c r="A1004" t="s">
        <v>1039</v>
      </c>
      <c r="B1004" t="s">
        <v>231</v>
      </c>
      <c r="C1004">
        <v>23</v>
      </c>
      <c r="D1004" s="1">
        <v>45858</v>
      </c>
      <c r="E1004">
        <v>7700</v>
      </c>
      <c r="F1004" t="s">
        <v>1574</v>
      </c>
      <c r="G1004">
        <v>953</v>
      </c>
    </row>
    <row r="1005" spans="1:7" x14ac:dyDescent="0.3">
      <c r="A1005" t="s">
        <v>1039</v>
      </c>
      <c r="B1005" t="s">
        <v>231</v>
      </c>
      <c r="C1005">
        <v>23</v>
      </c>
      <c r="D1005" s="1">
        <v>45858</v>
      </c>
      <c r="E1005">
        <v>7700</v>
      </c>
      <c r="F1005" t="s">
        <v>601</v>
      </c>
      <c r="G1005">
        <v>966</v>
      </c>
    </row>
    <row r="1006" spans="1:7" x14ac:dyDescent="0.3">
      <c r="A1006" t="s">
        <v>1039</v>
      </c>
      <c r="B1006" t="s">
        <v>309</v>
      </c>
      <c r="C1006">
        <v>23</v>
      </c>
      <c r="D1006" s="1">
        <v>45857</v>
      </c>
      <c r="E1006">
        <v>7700</v>
      </c>
      <c r="F1006" t="s">
        <v>1582</v>
      </c>
      <c r="G1006">
        <v>1121</v>
      </c>
    </row>
    <row r="1007" spans="1:7" x14ac:dyDescent="0.3">
      <c r="A1007" t="s">
        <v>1039</v>
      </c>
      <c r="B1007" t="s">
        <v>231</v>
      </c>
      <c r="C1007">
        <v>23</v>
      </c>
      <c r="D1007" s="1">
        <v>45858</v>
      </c>
      <c r="E1007">
        <v>7700</v>
      </c>
      <c r="F1007" t="s">
        <v>505</v>
      </c>
      <c r="G1007">
        <v>939</v>
      </c>
    </row>
    <row r="1008" spans="1:7" x14ac:dyDescent="0.3">
      <c r="A1008" t="s">
        <v>1039</v>
      </c>
      <c r="B1008" t="s">
        <v>226</v>
      </c>
      <c r="C1008">
        <v>23</v>
      </c>
      <c r="D1008" s="1">
        <v>45858</v>
      </c>
      <c r="E1008">
        <v>7700</v>
      </c>
      <c r="F1008" t="s">
        <v>1593</v>
      </c>
      <c r="G1008">
        <v>922</v>
      </c>
    </row>
    <row r="1009" spans="1:7" x14ac:dyDescent="0.3">
      <c r="A1009" t="s">
        <v>1039</v>
      </c>
      <c r="B1009" t="s">
        <v>310</v>
      </c>
      <c r="C1009">
        <v>23</v>
      </c>
      <c r="D1009" s="1">
        <v>45858</v>
      </c>
      <c r="E1009">
        <v>7700</v>
      </c>
      <c r="F1009" t="s">
        <v>1600</v>
      </c>
      <c r="G1009">
        <v>920</v>
      </c>
    </row>
    <row r="1010" spans="1:7" x14ac:dyDescent="0.3">
      <c r="A1010" t="s">
        <v>1039</v>
      </c>
      <c r="B1010" t="s">
        <v>309</v>
      </c>
      <c r="C1010">
        <v>23</v>
      </c>
      <c r="D1010" s="1">
        <v>45857</v>
      </c>
      <c r="E1010">
        <v>7700</v>
      </c>
      <c r="F1010" t="s">
        <v>1605</v>
      </c>
      <c r="G1010">
        <v>917</v>
      </c>
    </row>
    <row r="1011" spans="1:7" x14ac:dyDescent="0.3">
      <c r="A1011" t="s">
        <v>1039</v>
      </c>
      <c r="B1011" t="s">
        <v>309</v>
      </c>
      <c r="C1011">
        <v>23</v>
      </c>
      <c r="D1011" s="1">
        <v>45857</v>
      </c>
      <c r="E1011">
        <v>7700</v>
      </c>
      <c r="F1011" t="s">
        <v>1608</v>
      </c>
      <c r="G1011">
        <v>906</v>
      </c>
    </row>
    <row r="1012" spans="1:7" x14ac:dyDescent="0.3">
      <c r="A1012" t="s">
        <v>1039</v>
      </c>
      <c r="B1012" t="s">
        <v>228</v>
      </c>
      <c r="C1012">
        <v>23</v>
      </c>
      <c r="D1012" s="1">
        <v>45857</v>
      </c>
      <c r="E1012">
        <v>7700</v>
      </c>
      <c r="F1012" t="s">
        <v>1609</v>
      </c>
      <c r="G1012">
        <v>990</v>
      </c>
    </row>
    <row r="1013" spans="1:7" x14ac:dyDescent="0.3">
      <c r="A1013" t="s">
        <v>1039</v>
      </c>
      <c r="B1013" t="s">
        <v>309</v>
      </c>
      <c r="C1013">
        <v>23</v>
      </c>
      <c r="D1013" s="1">
        <v>45856</v>
      </c>
      <c r="E1013">
        <v>7700</v>
      </c>
      <c r="F1013" t="s">
        <v>1611</v>
      </c>
      <c r="G1013">
        <v>897</v>
      </c>
    </row>
    <row r="1014" spans="1:7" x14ac:dyDescent="0.3">
      <c r="A1014" t="s">
        <v>1039</v>
      </c>
      <c r="B1014" t="s">
        <v>231</v>
      </c>
      <c r="C1014">
        <v>23</v>
      </c>
      <c r="D1014" s="1">
        <v>45857</v>
      </c>
      <c r="E1014">
        <v>7700</v>
      </c>
      <c r="F1014" t="s">
        <v>546</v>
      </c>
      <c r="G1014">
        <v>961</v>
      </c>
    </row>
    <row r="1015" spans="1:7" x14ac:dyDescent="0.3">
      <c r="A1015" t="s">
        <v>1039</v>
      </c>
      <c r="B1015" t="s">
        <v>309</v>
      </c>
      <c r="C1015">
        <v>23</v>
      </c>
      <c r="D1015" s="1">
        <v>45858</v>
      </c>
      <c r="E1015">
        <v>7700</v>
      </c>
      <c r="F1015" t="s">
        <v>493</v>
      </c>
      <c r="G1015">
        <v>885</v>
      </c>
    </row>
    <row r="1016" spans="1:7" x14ac:dyDescent="0.3">
      <c r="A1016" t="s">
        <v>1039</v>
      </c>
      <c r="B1016" t="s">
        <v>226</v>
      </c>
      <c r="C1016">
        <v>23</v>
      </c>
      <c r="D1016" s="1">
        <v>45856</v>
      </c>
      <c r="E1016">
        <v>7700</v>
      </c>
      <c r="F1016" t="s">
        <v>1624</v>
      </c>
      <c r="G1016">
        <v>875</v>
      </c>
    </row>
    <row r="1017" spans="1:7" x14ac:dyDescent="0.3">
      <c r="A1017" t="s">
        <v>1039</v>
      </c>
      <c r="B1017" t="s">
        <v>233</v>
      </c>
      <c r="C1017">
        <v>23</v>
      </c>
      <c r="D1017" s="1">
        <v>45857</v>
      </c>
      <c r="E1017">
        <v>7700</v>
      </c>
      <c r="F1017" t="s">
        <v>1634</v>
      </c>
      <c r="G1017">
        <v>868</v>
      </c>
    </row>
    <row r="1018" spans="1:7" x14ac:dyDescent="0.3">
      <c r="A1018" t="s">
        <v>1039</v>
      </c>
      <c r="B1018" t="s">
        <v>310</v>
      </c>
      <c r="C1018">
        <v>23</v>
      </c>
      <c r="D1018" s="1">
        <v>45856</v>
      </c>
      <c r="E1018">
        <v>7700</v>
      </c>
      <c r="F1018" t="s">
        <v>504</v>
      </c>
      <c r="G1018">
        <v>852</v>
      </c>
    </row>
    <row r="1019" spans="1:7" x14ac:dyDescent="0.3">
      <c r="A1019" t="s">
        <v>1039</v>
      </c>
      <c r="B1019" t="s">
        <v>310</v>
      </c>
      <c r="C1019">
        <v>23</v>
      </c>
      <c r="D1019" s="1">
        <v>45857</v>
      </c>
      <c r="E1019">
        <v>7700</v>
      </c>
      <c r="F1019" t="s">
        <v>490</v>
      </c>
      <c r="G1019">
        <v>853</v>
      </c>
    </row>
    <row r="1020" spans="1:7" x14ac:dyDescent="0.3">
      <c r="A1020" t="s">
        <v>1039</v>
      </c>
      <c r="B1020" t="s">
        <v>310</v>
      </c>
      <c r="C1020">
        <v>23</v>
      </c>
      <c r="D1020" s="1">
        <v>45856</v>
      </c>
      <c r="E1020">
        <v>7700</v>
      </c>
      <c r="F1020" t="s">
        <v>1659</v>
      </c>
      <c r="G1020">
        <v>800</v>
      </c>
    </row>
    <row r="1021" spans="1:7" x14ac:dyDescent="0.3">
      <c r="A1021" t="s">
        <v>1039</v>
      </c>
      <c r="B1021" t="s">
        <v>233</v>
      </c>
      <c r="C1021">
        <v>23</v>
      </c>
      <c r="D1021" s="1">
        <v>45856</v>
      </c>
      <c r="E1021">
        <v>7700</v>
      </c>
      <c r="F1021" t="s">
        <v>619</v>
      </c>
      <c r="G1021">
        <v>780</v>
      </c>
    </row>
    <row r="1022" spans="1:7" x14ac:dyDescent="0.3">
      <c r="A1022" t="s">
        <v>1039</v>
      </c>
      <c r="B1022" t="s">
        <v>233</v>
      </c>
      <c r="C1022">
        <v>23</v>
      </c>
      <c r="D1022" s="1">
        <v>45856</v>
      </c>
      <c r="E1022">
        <v>7700</v>
      </c>
      <c r="F1022" t="s">
        <v>585</v>
      </c>
      <c r="G1022">
        <v>898</v>
      </c>
    </row>
    <row r="1023" spans="1:7" x14ac:dyDescent="0.3">
      <c r="A1023" t="s">
        <v>1039</v>
      </c>
      <c r="B1023" t="s">
        <v>309</v>
      </c>
      <c r="C1023">
        <v>23</v>
      </c>
      <c r="D1023" s="1">
        <v>45855</v>
      </c>
      <c r="E1023">
        <v>7700</v>
      </c>
      <c r="F1023" t="s">
        <v>741</v>
      </c>
      <c r="G1023">
        <v>778</v>
      </c>
    </row>
    <row r="1024" spans="1:7" x14ac:dyDescent="0.3">
      <c r="A1024" t="s">
        <v>1039</v>
      </c>
      <c r="B1024" t="s">
        <v>310</v>
      </c>
      <c r="C1024">
        <v>23</v>
      </c>
      <c r="D1024" s="1">
        <v>45856</v>
      </c>
      <c r="E1024">
        <v>7700</v>
      </c>
      <c r="F1024" t="s">
        <v>589</v>
      </c>
      <c r="G1024">
        <v>750</v>
      </c>
    </row>
    <row r="1025" spans="1:7" x14ac:dyDescent="0.3">
      <c r="A1025" t="s">
        <v>1039</v>
      </c>
      <c r="B1025" t="s">
        <v>310</v>
      </c>
      <c r="C1025">
        <v>23</v>
      </c>
      <c r="D1025" s="1">
        <v>45856</v>
      </c>
      <c r="E1025">
        <v>7700</v>
      </c>
      <c r="F1025" t="s">
        <v>1673</v>
      </c>
      <c r="G1025">
        <v>739</v>
      </c>
    </row>
    <row r="1026" spans="1:7" x14ac:dyDescent="0.3">
      <c r="A1026" t="s">
        <v>1039</v>
      </c>
      <c r="B1026" t="s">
        <v>309</v>
      </c>
      <c r="C1026">
        <v>23</v>
      </c>
      <c r="D1026" s="1">
        <v>45856</v>
      </c>
      <c r="E1026">
        <v>7700</v>
      </c>
      <c r="F1026" t="s">
        <v>481</v>
      </c>
      <c r="G1026">
        <v>739</v>
      </c>
    </row>
    <row r="1027" spans="1:7" x14ac:dyDescent="0.3">
      <c r="A1027" t="s">
        <v>1039</v>
      </c>
      <c r="B1027" t="s">
        <v>310</v>
      </c>
      <c r="C1027">
        <v>23</v>
      </c>
      <c r="D1027" s="1">
        <v>45856</v>
      </c>
      <c r="E1027">
        <v>7700</v>
      </c>
      <c r="F1027" t="s">
        <v>460</v>
      </c>
      <c r="G1027">
        <v>737</v>
      </c>
    </row>
    <row r="1028" spans="1:7" x14ac:dyDescent="0.3">
      <c r="A1028" t="s">
        <v>1039</v>
      </c>
      <c r="B1028" t="s">
        <v>310</v>
      </c>
      <c r="C1028">
        <v>23</v>
      </c>
      <c r="D1028" s="1">
        <v>45855</v>
      </c>
      <c r="E1028">
        <v>7700</v>
      </c>
      <c r="F1028" t="s">
        <v>712</v>
      </c>
      <c r="G1028">
        <v>714</v>
      </c>
    </row>
    <row r="1029" spans="1:7" x14ac:dyDescent="0.3">
      <c r="A1029" t="s">
        <v>1039</v>
      </c>
      <c r="B1029" t="s">
        <v>309</v>
      </c>
      <c r="C1029">
        <v>23</v>
      </c>
      <c r="D1029" s="1">
        <v>45855</v>
      </c>
      <c r="E1029">
        <v>7700</v>
      </c>
      <c r="F1029" t="s">
        <v>567</v>
      </c>
      <c r="G1029">
        <v>670</v>
      </c>
    </row>
    <row r="1030" spans="1:7" x14ac:dyDescent="0.3">
      <c r="A1030" t="s">
        <v>1039</v>
      </c>
      <c r="B1030" t="s">
        <v>310</v>
      </c>
      <c r="C1030">
        <v>23</v>
      </c>
      <c r="D1030" s="1">
        <v>45854</v>
      </c>
      <c r="E1030">
        <v>7700</v>
      </c>
      <c r="F1030" t="s">
        <v>728</v>
      </c>
      <c r="G1030">
        <v>658</v>
      </c>
    </row>
    <row r="1031" spans="1:7" x14ac:dyDescent="0.3">
      <c r="A1031" t="s">
        <v>1039</v>
      </c>
      <c r="B1031" t="s">
        <v>233</v>
      </c>
      <c r="C1031">
        <v>23</v>
      </c>
      <c r="D1031" s="1">
        <v>45855</v>
      </c>
      <c r="E1031">
        <v>7700</v>
      </c>
      <c r="F1031" t="s">
        <v>659</v>
      </c>
      <c r="G1031">
        <v>650</v>
      </c>
    </row>
    <row r="1032" spans="1:7" x14ac:dyDescent="0.3">
      <c r="A1032" t="s">
        <v>1039</v>
      </c>
      <c r="B1032" t="s">
        <v>311</v>
      </c>
      <c r="C1032">
        <v>23</v>
      </c>
      <c r="D1032" s="1">
        <v>45854</v>
      </c>
      <c r="E1032">
        <v>7700</v>
      </c>
      <c r="F1032" t="s">
        <v>1702</v>
      </c>
      <c r="G1032">
        <v>642</v>
      </c>
    </row>
    <row r="1033" spans="1:7" x14ac:dyDescent="0.3">
      <c r="A1033" t="s">
        <v>1039</v>
      </c>
      <c r="B1033" t="s">
        <v>226</v>
      </c>
      <c r="C1033">
        <v>23</v>
      </c>
      <c r="D1033" s="1">
        <v>45856</v>
      </c>
      <c r="E1033">
        <v>0</v>
      </c>
      <c r="F1033" t="s">
        <v>525</v>
      </c>
      <c r="G1033">
        <v>737</v>
      </c>
    </row>
    <row r="1034" spans="1:7" x14ac:dyDescent="0.3">
      <c r="A1034" t="s">
        <v>1039</v>
      </c>
      <c r="B1034" t="s">
        <v>229</v>
      </c>
      <c r="C1034">
        <v>23</v>
      </c>
      <c r="D1034" s="1">
        <v>45854</v>
      </c>
      <c r="E1034">
        <v>0</v>
      </c>
      <c r="F1034" t="s">
        <v>514</v>
      </c>
      <c r="G1034">
        <v>620</v>
      </c>
    </row>
    <row r="1035" spans="1:7" x14ac:dyDescent="0.3">
      <c r="A1035" t="s">
        <v>1039</v>
      </c>
      <c r="B1035" t="s">
        <v>314</v>
      </c>
      <c r="C1035">
        <v>24</v>
      </c>
      <c r="D1035" s="1">
        <v>45857</v>
      </c>
      <c r="E1035">
        <v>172700</v>
      </c>
      <c r="F1035" t="s">
        <v>1487</v>
      </c>
      <c r="G1035">
        <v>1082</v>
      </c>
    </row>
    <row r="1036" spans="1:7" x14ac:dyDescent="0.3">
      <c r="A1036" t="s">
        <v>1039</v>
      </c>
      <c r="B1036" t="s">
        <v>311</v>
      </c>
      <c r="C1036">
        <v>24</v>
      </c>
      <c r="D1036" s="1">
        <v>45856</v>
      </c>
      <c r="E1036">
        <v>110000</v>
      </c>
      <c r="F1036" t="s">
        <v>1633</v>
      </c>
      <c r="G1036">
        <v>883</v>
      </c>
    </row>
    <row r="1037" spans="1:7" x14ac:dyDescent="0.3">
      <c r="A1037" t="s">
        <v>1039</v>
      </c>
      <c r="B1037" t="s">
        <v>231</v>
      </c>
      <c r="C1037">
        <v>24</v>
      </c>
      <c r="D1037" s="1">
        <v>45860</v>
      </c>
      <c r="E1037">
        <v>95700</v>
      </c>
      <c r="F1037" t="s">
        <v>1277</v>
      </c>
      <c r="G1037">
        <v>1307</v>
      </c>
    </row>
    <row r="1038" spans="1:7" x14ac:dyDescent="0.3">
      <c r="A1038" t="s">
        <v>1039</v>
      </c>
      <c r="B1038" t="s">
        <v>309</v>
      </c>
      <c r="C1038">
        <v>24</v>
      </c>
      <c r="D1038" s="1">
        <v>45862</v>
      </c>
      <c r="E1038">
        <v>62700</v>
      </c>
      <c r="F1038" t="s">
        <v>1184</v>
      </c>
      <c r="G1038">
        <v>1492</v>
      </c>
    </row>
    <row r="1039" spans="1:7" x14ac:dyDescent="0.3">
      <c r="A1039" t="s">
        <v>1039</v>
      </c>
      <c r="B1039" t="s">
        <v>225</v>
      </c>
      <c r="C1039">
        <v>24</v>
      </c>
      <c r="D1039" s="1">
        <v>45855</v>
      </c>
      <c r="E1039">
        <v>62700</v>
      </c>
      <c r="F1039" t="s">
        <v>1463</v>
      </c>
      <c r="G1039">
        <v>1125</v>
      </c>
    </row>
    <row r="1040" spans="1:7" x14ac:dyDescent="0.3">
      <c r="A1040" t="s">
        <v>1039</v>
      </c>
      <c r="B1040" t="s">
        <v>309</v>
      </c>
      <c r="C1040">
        <v>24</v>
      </c>
      <c r="D1040" s="1">
        <v>45854</v>
      </c>
      <c r="E1040">
        <v>42900</v>
      </c>
      <c r="F1040" t="s">
        <v>566</v>
      </c>
      <c r="G1040">
        <v>732</v>
      </c>
    </row>
    <row r="1041" spans="1:7" x14ac:dyDescent="0.3">
      <c r="A1041" t="s">
        <v>1039</v>
      </c>
      <c r="B1041" t="s">
        <v>232</v>
      </c>
      <c r="C1041">
        <v>24</v>
      </c>
      <c r="D1041" s="1">
        <v>45858</v>
      </c>
      <c r="E1041">
        <v>40700</v>
      </c>
      <c r="F1041" t="s">
        <v>1412</v>
      </c>
      <c r="G1041">
        <v>1209</v>
      </c>
    </row>
    <row r="1042" spans="1:7" x14ac:dyDescent="0.3">
      <c r="A1042" t="s">
        <v>1039</v>
      </c>
      <c r="B1042" t="s">
        <v>309</v>
      </c>
      <c r="C1042">
        <v>24</v>
      </c>
      <c r="D1042" s="1">
        <v>45857</v>
      </c>
      <c r="E1042">
        <v>40700</v>
      </c>
      <c r="F1042" t="s">
        <v>1482</v>
      </c>
      <c r="G1042">
        <v>1141</v>
      </c>
    </row>
    <row r="1043" spans="1:7" x14ac:dyDescent="0.3">
      <c r="A1043" t="s">
        <v>1039</v>
      </c>
      <c r="B1043" t="s">
        <v>309</v>
      </c>
      <c r="C1043">
        <v>24</v>
      </c>
      <c r="D1043" s="1">
        <v>45859</v>
      </c>
      <c r="E1043">
        <v>39600</v>
      </c>
      <c r="F1043" t="s">
        <v>1481</v>
      </c>
      <c r="G1043">
        <v>1087</v>
      </c>
    </row>
    <row r="1044" spans="1:7" x14ac:dyDescent="0.3">
      <c r="A1044" t="s">
        <v>1039</v>
      </c>
      <c r="B1044" t="s">
        <v>309</v>
      </c>
      <c r="C1044">
        <v>24</v>
      </c>
      <c r="D1044" s="1">
        <v>45857</v>
      </c>
      <c r="E1044">
        <v>33000</v>
      </c>
      <c r="F1044" t="s">
        <v>1462</v>
      </c>
      <c r="G1044">
        <v>1304</v>
      </c>
    </row>
    <row r="1045" spans="1:7" x14ac:dyDescent="0.3">
      <c r="A1045" t="s">
        <v>1039</v>
      </c>
      <c r="B1045" t="s">
        <v>309</v>
      </c>
      <c r="C1045">
        <v>24</v>
      </c>
      <c r="D1045" s="1">
        <v>45857</v>
      </c>
      <c r="E1045">
        <v>30800</v>
      </c>
      <c r="F1045" t="s">
        <v>1606</v>
      </c>
      <c r="G1045">
        <v>982</v>
      </c>
    </row>
    <row r="1046" spans="1:7" x14ac:dyDescent="0.3">
      <c r="A1046" t="s">
        <v>1039</v>
      </c>
      <c r="B1046" t="s">
        <v>235</v>
      </c>
      <c r="C1046">
        <v>24</v>
      </c>
      <c r="D1046" s="1">
        <v>45857</v>
      </c>
      <c r="E1046">
        <v>29700</v>
      </c>
      <c r="F1046" t="s">
        <v>1559</v>
      </c>
      <c r="G1046">
        <v>1363</v>
      </c>
    </row>
    <row r="1047" spans="1:7" x14ac:dyDescent="0.3">
      <c r="A1047" t="s">
        <v>1039</v>
      </c>
      <c r="B1047" t="s">
        <v>231</v>
      </c>
      <c r="C1047">
        <v>24</v>
      </c>
      <c r="D1047" s="1">
        <v>45860</v>
      </c>
      <c r="E1047">
        <v>26400</v>
      </c>
      <c r="F1047" t="s">
        <v>1397</v>
      </c>
      <c r="G1047">
        <v>1276</v>
      </c>
    </row>
    <row r="1048" spans="1:7" x14ac:dyDescent="0.3">
      <c r="A1048" t="s">
        <v>1039</v>
      </c>
      <c r="B1048" t="s">
        <v>226</v>
      </c>
      <c r="C1048">
        <v>24</v>
      </c>
      <c r="D1048" s="1">
        <v>45857</v>
      </c>
      <c r="E1048">
        <v>22000</v>
      </c>
      <c r="F1048" t="s">
        <v>604</v>
      </c>
      <c r="G1048">
        <v>961</v>
      </c>
    </row>
    <row r="1049" spans="1:7" x14ac:dyDescent="0.3">
      <c r="A1049" t="s">
        <v>1039</v>
      </c>
      <c r="B1049" t="s">
        <v>311</v>
      </c>
      <c r="C1049">
        <v>24</v>
      </c>
      <c r="D1049" s="1">
        <v>45856</v>
      </c>
      <c r="E1049">
        <v>22000</v>
      </c>
      <c r="F1049" t="s">
        <v>1645</v>
      </c>
      <c r="G1049">
        <v>829</v>
      </c>
    </row>
    <row r="1050" spans="1:7" x14ac:dyDescent="0.3">
      <c r="A1050" t="s">
        <v>1039</v>
      </c>
      <c r="B1050" t="s">
        <v>234</v>
      </c>
      <c r="C1050">
        <v>24</v>
      </c>
      <c r="D1050" s="1">
        <v>45858</v>
      </c>
      <c r="E1050">
        <v>20900</v>
      </c>
      <c r="F1050" t="s">
        <v>1324</v>
      </c>
      <c r="G1050">
        <v>1274</v>
      </c>
    </row>
    <row r="1051" spans="1:7" x14ac:dyDescent="0.3">
      <c r="A1051" t="s">
        <v>1039</v>
      </c>
      <c r="B1051" t="s">
        <v>310</v>
      </c>
      <c r="C1051">
        <v>24</v>
      </c>
      <c r="D1051" s="1">
        <v>45860</v>
      </c>
      <c r="E1051">
        <v>18700</v>
      </c>
      <c r="F1051" t="s">
        <v>1188</v>
      </c>
      <c r="G1051">
        <v>1419</v>
      </c>
    </row>
    <row r="1052" spans="1:7" x14ac:dyDescent="0.3">
      <c r="A1052" t="s">
        <v>1039</v>
      </c>
      <c r="B1052" t="s">
        <v>310</v>
      </c>
      <c r="C1052">
        <v>24</v>
      </c>
      <c r="D1052" s="1">
        <v>45856</v>
      </c>
      <c r="E1052">
        <v>14300</v>
      </c>
      <c r="F1052" t="s">
        <v>694</v>
      </c>
      <c r="G1052">
        <v>1094</v>
      </c>
    </row>
    <row r="1053" spans="1:7" x14ac:dyDescent="0.3">
      <c r="A1053" t="s">
        <v>1039</v>
      </c>
      <c r="B1053" t="s">
        <v>309</v>
      </c>
      <c r="C1053">
        <v>24</v>
      </c>
      <c r="D1053" s="1">
        <v>45857</v>
      </c>
      <c r="E1053">
        <v>14300</v>
      </c>
      <c r="F1053" t="s">
        <v>1568</v>
      </c>
      <c r="G1053">
        <v>1180</v>
      </c>
    </row>
    <row r="1054" spans="1:7" x14ac:dyDescent="0.3">
      <c r="A1054" t="s">
        <v>1039</v>
      </c>
      <c r="B1054" t="s">
        <v>231</v>
      </c>
      <c r="C1054">
        <v>24</v>
      </c>
      <c r="D1054" s="1">
        <v>45856</v>
      </c>
      <c r="E1054">
        <v>14300</v>
      </c>
      <c r="F1054" t="s">
        <v>1576</v>
      </c>
      <c r="G1054">
        <v>1372</v>
      </c>
    </row>
    <row r="1055" spans="1:7" x14ac:dyDescent="0.3">
      <c r="A1055" t="s">
        <v>1039</v>
      </c>
      <c r="B1055" t="s">
        <v>309</v>
      </c>
      <c r="C1055">
        <v>24</v>
      </c>
      <c r="D1055" s="1">
        <v>45861</v>
      </c>
      <c r="E1055">
        <v>11000</v>
      </c>
      <c r="F1055" t="s">
        <v>1234</v>
      </c>
      <c r="G1055">
        <v>1551</v>
      </c>
    </row>
    <row r="1056" spans="1:7" x14ac:dyDescent="0.3">
      <c r="A1056" t="s">
        <v>1039</v>
      </c>
      <c r="B1056" t="s">
        <v>309</v>
      </c>
      <c r="C1056">
        <v>24</v>
      </c>
      <c r="D1056" s="1">
        <v>45857</v>
      </c>
      <c r="E1056">
        <v>11000</v>
      </c>
      <c r="F1056" t="s">
        <v>1483</v>
      </c>
      <c r="G1056">
        <v>1108</v>
      </c>
    </row>
    <row r="1057" spans="1:7" x14ac:dyDescent="0.3">
      <c r="A1057" t="s">
        <v>1039</v>
      </c>
      <c r="B1057" t="s">
        <v>310</v>
      </c>
      <c r="C1057">
        <v>24</v>
      </c>
      <c r="D1057" s="1">
        <v>45854</v>
      </c>
      <c r="E1057">
        <v>8800</v>
      </c>
      <c r="F1057" t="s">
        <v>1694</v>
      </c>
      <c r="G1057">
        <v>679</v>
      </c>
    </row>
    <row r="1058" spans="1:7" x14ac:dyDescent="0.3">
      <c r="A1058" t="s">
        <v>1039</v>
      </c>
      <c r="B1058" t="s">
        <v>310</v>
      </c>
      <c r="C1058">
        <v>24</v>
      </c>
      <c r="D1058" s="1">
        <v>45853</v>
      </c>
      <c r="E1058">
        <v>8800</v>
      </c>
      <c r="F1058" t="s">
        <v>848</v>
      </c>
      <c r="G1058">
        <v>1836</v>
      </c>
    </row>
    <row r="1059" spans="1:7" x14ac:dyDescent="0.3">
      <c r="A1059" t="s">
        <v>1039</v>
      </c>
      <c r="B1059" t="s">
        <v>225</v>
      </c>
      <c r="C1059">
        <v>24</v>
      </c>
      <c r="D1059" s="1">
        <v>45864</v>
      </c>
      <c r="E1059">
        <v>7700</v>
      </c>
      <c r="F1059" t="s">
        <v>1066</v>
      </c>
      <c r="G1059">
        <v>1519</v>
      </c>
    </row>
    <row r="1060" spans="1:7" x14ac:dyDescent="0.3">
      <c r="A1060" t="s">
        <v>1039</v>
      </c>
      <c r="B1060" t="s">
        <v>226</v>
      </c>
      <c r="C1060">
        <v>24</v>
      </c>
      <c r="D1060" s="1">
        <v>45862</v>
      </c>
      <c r="E1060">
        <v>7700</v>
      </c>
      <c r="F1060" t="s">
        <v>1115</v>
      </c>
      <c r="G1060">
        <v>1486</v>
      </c>
    </row>
    <row r="1061" spans="1:7" x14ac:dyDescent="0.3">
      <c r="A1061" t="s">
        <v>1039</v>
      </c>
      <c r="B1061" t="s">
        <v>312</v>
      </c>
      <c r="C1061">
        <v>24</v>
      </c>
      <c r="D1061" s="1">
        <v>45854</v>
      </c>
      <c r="E1061">
        <v>7700</v>
      </c>
      <c r="F1061" t="s">
        <v>1116</v>
      </c>
      <c r="G1061">
        <v>1480</v>
      </c>
    </row>
    <row r="1062" spans="1:7" x14ac:dyDescent="0.3">
      <c r="A1062" t="s">
        <v>1039</v>
      </c>
      <c r="B1062" t="s">
        <v>231</v>
      </c>
      <c r="C1062">
        <v>24</v>
      </c>
      <c r="D1062" s="1">
        <v>45863</v>
      </c>
      <c r="E1062">
        <v>7700</v>
      </c>
      <c r="F1062" t="s">
        <v>1132</v>
      </c>
      <c r="G1062">
        <v>1487</v>
      </c>
    </row>
    <row r="1063" spans="1:7" x14ac:dyDescent="0.3">
      <c r="A1063" t="s">
        <v>1039</v>
      </c>
      <c r="B1063" t="s">
        <v>309</v>
      </c>
      <c r="C1063">
        <v>24</v>
      </c>
      <c r="D1063" s="1">
        <v>45863</v>
      </c>
      <c r="E1063">
        <v>7700</v>
      </c>
      <c r="F1063" t="s">
        <v>1133</v>
      </c>
      <c r="G1063">
        <v>1505</v>
      </c>
    </row>
    <row r="1064" spans="1:7" x14ac:dyDescent="0.3">
      <c r="A1064" t="s">
        <v>1039</v>
      </c>
      <c r="B1064" t="s">
        <v>309</v>
      </c>
      <c r="C1064">
        <v>24</v>
      </c>
      <c r="D1064" s="1">
        <v>45863</v>
      </c>
      <c r="E1064">
        <v>7700</v>
      </c>
      <c r="F1064" t="s">
        <v>1135</v>
      </c>
      <c r="G1064">
        <v>1450</v>
      </c>
    </row>
    <row r="1065" spans="1:7" x14ac:dyDescent="0.3">
      <c r="A1065" t="s">
        <v>1039</v>
      </c>
      <c r="B1065" t="s">
        <v>310</v>
      </c>
      <c r="C1065">
        <v>24</v>
      </c>
      <c r="D1065" s="1">
        <v>45861</v>
      </c>
      <c r="E1065">
        <v>7700</v>
      </c>
      <c r="F1065" t="s">
        <v>1152</v>
      </c>
      <c r="G1065">
        <v>1431</v>
      </c>
    </row>
    <row r="1066" spans="1:7" x14ac:dyDescent="0.3">
      <c r="A1066" t="s">
        <v>1039</v>
      </c>
      <c r="B1066" t="s">
        <v>230</v>
      </c>
      <c r="C1066">
        <v>24</v>
      </c>
      <c r="D1066" s="1">
        <v>45862</v>
      </c>
      <c r="E1066">
        <v>7700</v>
      </c>
      <c r="F1066" t="s">
        <v>1203</v>
      </c>
      <c r="G1066">
        <v>1382</v>
      </c>
    </row>
    <row r="1067" spans="1:7" x14ac:dyDescent="0.3">
      <c r="A1067" t="s">
        <v>1039</v>
      </c>
      <c r="B1067" t="s">
        <v>309</v>
      </c>
      <c r="C1067">
        <v>24</v>
      </c>
      <c r="D1067" s="1">
        <v>45856</v>
      </c>
      <c r="E1067">
        <v>7700</v>
      </c>
      <c r="F1067" t="s">
        <v>1208</v>
      </c>
      <c r="G1067">
        <v>1583</v>
      </c>
    </row>
    <row r="1068" spans="1:7" x14ac:dyDescent="0.3">
      <c r="A1068" t="s">
        <v>1039</v>
      </c>
      <c r="B1068" t="s">
        <v>310</v>
      </c>
      <c r="C1068">
        <v>24</v>
      </c>
      <c r="D1068" s="1">
        <v>45862</v>
      </c>
      <c r="E1068">
        <v>7700</v>
      </c>
      <c r="F1068" t="s">
        <v>1231</v>
      </c>
      <c r="G1068">
        <v>1347</v>
      </c>
    </row>
    <row r="1069" spans="1:7" x14ac:dyDescent="0.3">
      <c r="A1069" t="s">
        <v>1039</v>
      </c>
      <c r="B1069" t="s">
        <v>309</v>
      </c>
      <c r="C1069">
        <v>24</v>
      </c>
      <c r="D1069" s="1">
        <v>45861</v>
      </c>
      <c r="E1069">
        <v>7700</v>
      </c>
      <c r="F1069" t="s">
        <v>1242</v>
      </c>
      <c r="G1069">
        <v>1413</v>
      </c>
    </row>
    <row r="1070" spans="1:7" x14ac:dyDescent="0.3">
      <c r="A1070" t="s">
        <v>1039</v>
      </c>
      <c r="B1070" t="s">
        <v>309</v>
      </c>
      <c r="C1070">
        <v>24</v>
      </c>
      <c r="D1070" s="1">
        <v>45862</v>
      </c>
      <c r="E1070">
        <v>7700</v>
      </c>
      <c r="F1070" t="s">
        <v>1264</v>
      </c>
      <c r="G1070">
        <v>1387</v>
      </c>
    </row>
    <row r="1071" spans="1:7" x14ac:dyDescent="0.3">
      <c r="A1071" t="s">
        <v>1039</v>
      </c>
      <c r="B1071" t="s">
        <v>234</v>
      </c>
      <c r="C1071">
        <v>24</v>
      </c>
      <c r="D1071" s="1">
        <v>45861</v>
      </c>
      <c r="E1071">
        <v>7700</v>
      </c>
      <c r="F1071" t="s">
        <v>1298</v>
      </c>
      <c r="G1071">
        <v>1305</v>
      </c>
    </row>
    <row r="1072" spans="1:7" x14ac:dyDescent="0.3">
      <c r="A1072" t="s">
        <v>1039</v>
      </c>
      <c r="B1072" t="s">
        <v>231</v>
      </c>
      <c r="C1072">
        <v>24</v>
      </c>
      <c r="D1072" s="1">
        <v>45860</v>
      </c>
      <c r="E1072">
        <v>7700</v>
      </c>
      <c r="F1072" t="s">
        <v>1325</v>
      </c>
      <c r="G1072">
        <v>1273</v>
      </c>
    </row>
    <row r="1073" spans="1:7" x14ac:dyDescent="0.3">
      <c r="A1073" t="s">
        <v>1039</v>
      </c>
      <c r="B1073" t="s">
        <v>310</v>
      </c>
      <c r="C1073">
        <v>24</v>
      </c>
      <c r="D1073" s="1">
        <v>45860</v>
      </c>
      <c r="E1073">
        <v>7700</v>
      </c>
      <c r="F1073" t="s">
        <v>1334</v>
      </c>
      <c r="G1073">
        <v>1294</v>
      </c>
    </row>
    <row r="1074" spans="1:7" x14ac:dyDescent="0.3">
      <c r="A1074" t="s">
        <v>1039</v>
      </c>
      <c r="B1074" t="s">
        <v>234</v>
      </c>
      <c r="C1074">
        <v>24</v>
      </c>
      <c r="D1074" s="1">
        <v>45859</v>
      </c>
      <c r="E1074">
        <v>7700</v>
      </c>
      <c r="F1074" t="s">
        <v>1369</v>
      </c>
      <c r="G1074">
        <v>1259</v>
      </c>
    </row>
    <row r="1075" spans="1:7" x14ac:dyDescent="0.3">
      <c r="A1075" t="s">
        <v>1039</v>
      </c>
      <c r="B1075" t="s">
        <v>309</v>
      </c>
      <c r="C1075">
        <v>24</v>
      </c>
      <c r="D1075" s="1">
        <v>45860</v>
      </c>
      <c r="E1075">
        <v>7700</v>
      </c>
      <c r="F1075" t="s">
        <v>1376</v>
      </c>
      <c r="G1075">
        <v>1205</v>
      </c>
    </row>
    <row r="1076" spans="1:7" x14ac:dyDescent="0.3">
      <c r="A1076" t="s">
        <v>1039</v>
      </c>
      <c r="B1076" t="s">
        <v>309</v>
      </c>
      <c r="C1076">
        <v>24</v>
      </c>
      <c r="D1076" s="1">
        <v>45859</v>
      </c>
      <c r="E1076">
        <v>7700</v>
      </c>
      <c r="F1076" t="s">
        <v>1392</v>
      </c>
      <c r="G1076">
        <v>1232</v>
      </c>
    </row>
    <row r="1077" spans="1:7" x14ac:dyDescent="0.3">
      <c r="A1077" t="s">
        <v>1039</v>
      </c>
      <c r="B1077" t="s">
        <v>310</v>
      </c>
      <c r="C1077">
        <v>24</v>
      </c>
      <c r="D1077" s="1">
        <v>45856</v>
      </c>
      <c r="E1077">
        <v>7700</v>
      </c>
      <c r="F1077" t="s">
        <v>1404</v>
      </c>
      <c r="G1077">
        <v>1178</v>
      </c>
    </row>
    <row r="1078" spans="1:7" x14ac:dyDescent="0.3">
      <c r="A1078" t="s">
        <v>1039</v>
      </c>
      <c r="B1078" t="s">
        <v>310</v>
      </c>
      <c r="C1078">
        <v>24</v>
      </c>
      <c r="D1078" s="1">
        <v>45857</v>
      </c>
      <c r="E1078">
        <v>7700</v>
      </c>
      <c r="F1078" t="s">
        <v>1409</v>
      </c>
      <c r="G1078">
        <v>1326</v>
      </c>
    </row>
    <row r="1079" spans="1:7" x14ac:dyDescent="0.3">
      <c r="A1079" t="s">
        <v>1039</v>
      </c>
      <c r="B1079" t="s">
        <v>233</v>
      </c>
      <c r="C1079">
        <v>24</v>
      </c>
      <c r="D1079" s="1">
        <v>45859</v>
      </c>
      <c r="E1079">
        <v>7700</v>
      </c>
      <c r="F1079" t="s">
        <v>1419</v>
      </c>
      <c r="G1079">
        <v>1147</v>
      </c>
    </row>
    <row r="1080" spans="1:7" x14ac:dyDescent="0.3">
      <c r="A1080" t="s">
        <v>1039</v>
      </c>
      <c r="B1080" t="s">
        <v>227</v>
      </c>
      <c r="C1080">
        <v>24</v>
      </c>
      <c r="D1080" s="1">
        <v>45859</v>
      </c>
      <c r="E1080">
        <v>7700</v>
      </c>
      <c r="F1080" t="s">
        <v>1431</v>
      </c>
      <c r="G1080">
        <v>1143</v>
      </c>
    </row>
    <row r="1081" spans="1:7" x14ac:dyDescent="0.3">
      <c r="A1081" t="s">
        <v>1039</v>
      </c>
      <c r="B1081" t="s">
        <v>309</v>
      </c>
      <c r="C1081">
        <v>24</v>
      </c>
      <c r="D1081" s="1">
        <v>45859</v>
      </c>
      <c r="E1081">
        <v>7700</v>
      </c>
      <c r="F1081" t="s">
        <v>1432</v>
      </c>
      <c r="G1081">
        <v>1134</v>
      </c>
    </row>
    <row r="1082" spans="1:7" x14ac:dyDescent="0.3">
      <c r="A1082" t="s">
        <v>1039</v>
      </c>
      <c r="B1082" t="s">
        <v>309</v>
      </c>
      <c r="C1082">
        <v>24</v>
      </c>
      <c r="D1082" s="1">
        <v>45859</v>
      </c>
      <c r="E1082">
        <v>7700</v>
      </c>
      <c r="F1082" t="s">
        <v>1441</v>
      </c>
      <c r="G1082">
        <v>1251</v>
      </c>
    </row>
    <row r="1083" spans="1:7" x14ac:dyDescent="0.3">
      <c r="A1083" t="s">
        <v>1039</v>
      </c>
      <c r="B1083" t="s">
        <v>310</v>
      </c>
      <c r="C1083">
        <v>24</v>
      </c>
      <c r="D1083" s="1">
        <v>45859</v>
      </c>
      <c r="E1083">
        <v>7700</v>
      </c>
      <c r="F1083" t="s">
        <v>1444</v>
      </c>
      <c r="G1083">
        <v>1144</v>
      </c>
    </row>
    <row r="1084" spans="1:7" x14ac:dyDescent="0.3">
      <c r="A1084" t="s">
        <v>1039</v>
      </c>
      <c r="B1084" t="s">
        <v>310</v>
      </c>
      <c r="C1084">
        <v>24</v>
      </c>
      <c r="D1084" s="1">
        <v>45859</v>
      </c>
      <c r="E1084">
        <v>7700</v>
      </c>
      <c r="F1084" t="s">
        <v>1449</v>
      </c>
      <c r="G1084">
        <v>1124</v>
      </c>
    </row>
    <row r="1085" spans="1:7" x14ac:dyDescent="0.3">
      <c r="A1085" t="s">
        <v>1039</v>
      </c>
      <c r="B1085" t="s">
        <v>309</v>
      </c>
      <c r="C1085">
        <v>24</v>
      </c>
      <c r="D1085" s="1">
        <v>45858</v>
      </c>
      <c r="E1085">
        <v>7700</v>
      </c>
      <c r="F1085" t="s">
        <v>1480</v>
      </c>
      <c r="G1085">
        <v>1120</v>
      </c>
    </row>
    <row r="1086" spans="1:7" x14ac:dyDescent="0.3">
      <c r="A1086" t="s">
        <v>1039</v>
      </c>
      <c r="B1086" t="s">
        <v>233</v>
      </c>
      <c r="C1086">
        <v>24</v>
      </c>
      <c r="D1086" s="1">
        <v>45858</v>
      </c>
      <c r="E1086">
        <v>7700</v>
      </c>
      <c r="F1086" t="s">
        <v>1495</v>
      </c>
      <c r="G1086">
        <v>1142</v>
      </c>
    </row>
    <row r="1087" spans="1:7" x14ac:dyDescent="0.3">
      <c r="A1087" t="s">
        <v>1039</v>
      </c>
      <c r="B1087" t="s">
        <v>309</v>
      </c>
      <c r="C1087">
        <v>24</v>
      </c>
      <c r="D1087" s="1">
        <v>45858</v>
      </c>
      <c r="E1087">
        <v>7700</v>
      </c>
      <c r="F1087" t="s">
        <v>1498</v>
      </c>
      <c r="G1087">
        <v>1718</v>
      </c>
    </row>
    <row r="1088" spans="1:7" x14ac:dyDescent="0.3">
      <c r="A1088" t="s">
        <v>1039</v>
      </c>
      <c r="B1088" t="s">
        <v>231</v>
      </c>
      <c r="C1088">
        <v>24</v>
      </c>
      <c r="D1088" s="1">
        <v>45857</v>
      </c>
      <c r="E1088">
        <v>7700</v>
      </c>
      <c r="F1088" t="s">
        <v>1508</v>
      </c>
      <c r="G1088">
        <v>1077</v>
      </c>
    </row>
    <row r="1089" spans="1:7" x14ac:dyDescent="0.3">
      <c r="A1089" t="s">
        <v>1039</v>
      </c>
      <c r="B1089" t="s">
        <v>225</v>
      </c>
      <c r="C1089">
        <v>24</v>
      </c>
      <c r="D1089" s="1">
        <v>45858</v>
      </c>
      <c r="E1089">
        <v>7700</v>
      </c>
      <c r="F1089" t="s">
        <v>1519</v>
      </c>
      <c r="G1089">
        <v>1043</v>
      </c>
    </row>
    <row r="1090" spans="1:7" x14ac:dyDescent="0.3">
      <c r="A1090" t="s">
        <v>1039</v>
      </c>
      <c r="B1090" t="s">
        <v>310</v>
      </c>
      <c r="C1090">
        <v>24</v>
      </c>
      <c r="D1090" s="1">
        <v>45857</v>
      </c>
      <c r="E1090">
        <v>7700</v>
      </c>
      <c r="F1090" t="s">
        <v>1528</v>
      </c>
      <c r="G1090">
        <v>1024</v>
      </c>
    </row>
    <row r="1091" spans="1:7" x14ac:dyDescent="0.3">
      <c r="A1091" t="s">
        <v>1039</v>
      </c>
      <c r="B1091" t="s">
        <v>309</v>
      </c>
      <c r="C1091">
        <v>24</v>
      </c>
      <c r="D1091" s="1">
        <v>45858</v>
      </c>
      <c r="E1091">
        <v>7700</v>
      </c>
      <c r="F1091" t="s">
        <v>1530</v>
      </c>
      <c r="G1091">
        <v>1229</v>
      </c>
    </row>
    <row r="1092" spans="1:7" x14ac:dyDescent="0.3">
      <c r="A1092" t="s">
        <v>1039</v>
      </c>
      <c r="B1092" t="s">
        <v>310</v>
      </c>
      <c r="C1092">
        <v>24</v>
      </c>
      <c r="D1092" s="1">
        <v>45857</v>
      </c>
      <c r="E1092">
        <v>7700</v>
      </c>
      <c r="F1092" t="s">
        <v>1546</v>
      </c>
      <c r="G1092">
        <v>1082</v>
      </c>
    </row>
    <row r="1093" spans="1:7" x14ac:dyDescent="0.3">
      <c r="A1093" t="s">
        <v>1039</v>
      </c>
      <c r="B1093" t="s">
        <v>231</v>
      </c>
      <c r="C1093">
        <v>24</v>
      </c>
      <c r="D1093" s="1">
        <v>45857</v>
      </c>
      <c r="E1093">
        <v>7700</v>
      </c>
      <c r="F1093" t="s">
        <v>1549</v>
      </c>
      <c r="G1093">
        <v>991</v>
      </c>
    </row>
    <row r="1094" spans="1:7" x14ac:dyDescent="0.3">
      <c r="A1094" t="s">
        <v>1039</v>
      </c>
      <c r="B1094" t="s">
        <v>309</v>
      </c>
      <c r="C1094">
        <v>24</v>
      </c>
      <c r="D1094" s="1">
        <v>45857</v>
      </c>
      <c r="E1094">
        <v>7700</v>
      </c>
      <c r="F1094" t="s">
        <v>1552</v>
      </c>
      <c r="G1094">
        <v>1001</v>
      </c>
    </row>
    <row r="1095" spans="1:7" x14ac:dyDescent="0.3">
      <c r="A1095" t="s">
        <v>1039</v>
      </c>
      <c r="B1095" t="s">
        <v>309</v>
      </c>
      <c r="C1095">
        <v>24</v>
      </c>
      <c r="D1095" s="1">
        <v>45856</v>
      </c>
      <c r="E1095">
        <v>7700</v>
      </c>
      <c r="F1095" t="s">
        <v>1556</v>
      </c>
      <c r="G1095">
        <v>1018</v>
      </c>
    </row>
    <row r="1096" spans="1:7" x14ac:dyDescent="0.3">
      <c r="A1096" t="s">
        <v>1039</v>
      </c>
      <c r="B1096" t="s">
        <v>310</v>
      </c>
      <c r="C1096">
        <v>24</v>
      </c>
      <c r="D1096" s="1">
        <v>45857</v>
      </c>
      <c r="E1096">
        <v>7700</v>
      </c>
      <c r="F1096" t="s">
        <v>555</v>
      </c>
      <c r="G1096">
        <v>1003</v>
      </c>
    </row>
    <row r="1097" spans="1:7" x14ac:dyDescent="0.3">
      <c r="A1097" t="s">
        <v>1039</v>
      </c>
      <c r="B1097" t="s">
        <v>226</v>
      </c>
      <c r="C1097">
        <v>24</v>
      </c>
      <c r="D1097" s="1">
        <v>45856</v>
      </c>
      <c r="E1097">
        <v>7700</v>
      </c>
      <c r="F1097" t="s">
        <v>1564</v>
      </c>
      <c r="G1097">
        <v>1039</v>
      </c>
    </row>
    <row r="1098" spans="1:7" x14ac:dyDescent="0.3">
      <c r="A1098" t="s">
        <v>1039</v>
      </c>
      <c r="B1098" t="s">
        <v>309</v>
      </c>
      <c r="C1098">
        <v>24</v>
      </c>
      <c r="D1098" s="1">
        <v>45857</v>
      </c>
      <c r="E1098">
        <v>7700</v>
      </c>
      <c r="F1098" t="s">
        <v>521</v>
      </c>
      <c r="G1098">
        <v>1000</v>
      </c>
    </row>
    <row r="1099" spans="1:7" x14ac:dyDescent="0.3">
      <c r="A1099" t="s">
        <v>1039</v>
      </c>
      <c r="B1099" t="s">
        <v>310</v>
      </c>
      <c r="C1099">
        <v>24</v>
      </c>
      <c r="D1099" s="1">
        <v>45856</v>
      </c>
      <c r="E1099">
        <v>7700</v>
      </c>
      <c r="F1099" t="s">
        <v>560</v>
      </c>
      <c r="G1099">
        <v>979</v>
      </c>
    </row>
    <row r="1100" spans="1:7" x14ac:dyDescent="0.3">
      <c r="A1100" t="s">
        <v>1039</v>
      </c>
      <c r="B1100" t="s">
        <v>309</v>
      </c>
      <c r="C1100">
        <v>24</v>
      </c>
      <c r="D1100" s="1">
        <v>45856</v>
      </c>
      <c r="E1100">
        <v>7700</v>
      </c>
      <c r="F1100" t="s">
        <v>1573</v>
      </c>
      <c r="G1100">
        <v>1075</v>
      </c>
    </row>
    <row r="1101" spans="1:7" x14ac:dyDescent="0.3">
      <c r="A1101" t="s">
        <v>1039</v>
      </c>
      <c r="B1101" t="s">
        <v>309</v>
      </c>
      <c r="C1101">
        <v>24</v>
      </c>
      <c r="D1101" s="1">
        <v>45856</v>
      </c>
      <c r="E1101">
        <v>7700</v>
      </c>
      <c r="F1101" t="s">
        <v>479</v>
      </c>
      <c r="G1101">
        <v>968</v>
      </c>
    </row>
    <row r="1102" spans="1:7" x14ac:dyDescent="0.3">
      <c r="A1102" t="s">
        <v>1039</v>
      </c>
      <c r="B1102" t="s">
        <v>309</v>
      </c>
      <c r="C1102">
        <v>24</v>
      </c>
      <c r="D1102" s="1">
        <v>45857</v>
      </c>
      <c r="E1102">
        <v>7700</v>
      </c>
      <c r="F1102" t="s">
        <v>1583</v>
      </c>
      <c r="G1102">
        <v>962</v>
      </c>
    </row>
    <row r="1103" spans="1:7" x14ac:dyDescent="0.3">
      <c r="A1103" t="s">
        <v>1039</v>
      </c>
      <c r="B1103" t="s">
        <v>309</v>
      </c>
      <c r="C1103">
        <v>24</v>
      </c>
      <c r="D1103" s="1">
        <v>45857</v>
      </c>
      <c r="E1103">
        <v>7700</v>
      </c>
      <c r="F1103" t="s">
        <v>542</v>
      </c>
      <c r="G1103">
        <v>934</v>
      </c>
    </row>
    <row r="1104" spans="1:7" x14ac:dyDescent="0.3">
      <c r="A1104" t="s">
        <v>1039</v>
      </c>
      <c r="B1104" t="s">
        <v>311</v>
      </c>
      <c r="C1104">
        <v>24</v>
      </c>
      <c r="D1104" s="1">
        <v>45856</v>
      </c>
      <c r="E1104">
        <v>7700</v>
      </c>
      <c r="F1104" t="s">
        <v>480</v>
      </c>
      <c r="G1104">
        <v>906</v>
      </c>
    </row>
    <row r="1105" spans="1:7" x14ac:dyDescent="0.3">
      <c r="A1105" t="s">
        <v>1039</v>
      </c>
      <c r="B1105" t="s">
        <v>310</v>
      </c>
      <c r="C1105">
        <v>24</v>
      </c>
      <c r="D1105" s="1">
        <v>45857</v>
      </c>
      <c r="E1105">
        <v>7700</v>
      </c>
      <c r="F1105" t="s">
        <v>459</v>
      </c>
      <c r="G1105">
        <v>887</v>
      </c>
    </row>
    <row r="1106" spans="1:7" x14ac:dyDescent="0.3">
      <c r="A1106" t="s">
        <v>1039</v>
      </c>
      <c r="B1106" t="s">
        <v>231</v>
      </c>
      <c r="C1106">
        <v>24</v>
      </c>
      <c r="D1106" s="1">
        <v>45856</v>
      </c>
      <c r="E1106">
        <v>7700</v>
      </c>
      <c r="F1106" t="s">
        <v>487</v>
      </c>
      <c r="G1106">
        <v>887</v>
      </c>
    </row>
    <row r="1107" spans="1:7" x14ac:dyDescent="0.3">
      <c r="A1107" t="s">
        <v>1039</v>
      </c>
      <c r="B1107" t="s">
        <v>309</v>
      </c>
      <c r="C1107">
        <v>24</v>
      </c>
      <c r="D1107" s="1">
        <v>45857</v>
      </c>
      <c r="E1107">
        <v>7700</v>
      </c>
      <c r="F1107" t="s">
        <v>1618</v>
      </c>
      <c r="G1107">
        <v>918</v>
      </c>
    </row>
    <row r="1108" spans="1:7" x14ac:dyDescent="0.3">
      <c r="A1108" t="s">
        <v>1039</v>
      </c>
      <c r="B1108" t="s">
        <v>231</v>
      </c>
      <c r="C1108">
        <v>24</v>
      </c>
      <c r="D1108" s="1">
        <v>45856</v>
      </c>
      <c r="E1108">
        <v>7700</v>
      </c>
      <c r="F1108" t="s">
        <v>1620</v>
      </c>
      <c r="G1108">
        <v>945</v>
      </c>
    </row>
    <row r="1109" spans="1:7" x14ac:dyDescent="0.3">
      <c r="A1109" t="s">
        <v>1039</v>
      </c>
      <c r="B1109" t="s">
        <v>310</v>
      </c>
      <c r="C1109">
        <v>24</v>
      </c>
      <c r="D1109" s="1">
        <v>45857</v>
      </c>
      <c r="E1109">
        <v>7700</v>
      </c>
      <c r="F1109" t="s">
        <v>1621</v>
      </c>
      <c r="G1109">
        <v>895</v>
      </c>
    </row>
    <row r="1110" spans="1:7" x14ac:dyDescent="0.3">
      <c r="A1110" t="s">
        <v>1039</v>
      </c>
      <c r="B1110" t="s">
        <v>233</v>
      </c>
      <c r="C1110">
        <v>24</v>
      </c>
      <c r="D1110" s="1">
        <v>45856</v>
      </c>
      <c r="E1110">
        <v>7700</v>
      </c>
      <c r="F1110" t="s">
        <v>1625</v>
      </c>
      <c r="G1110">
        <v>878</v>
      </c>
    </row>
    <row r="1111" spans="1:7" x14ac:dyDescent="0.3">
      <c r="A1111" t="s">
        <v>1039</v>
      </c>
      <c r="B1111" t="s">
        <v>309</v>
      </c>
      <c r="C1111">
        <v>24</v>
      </c>
      <c r="D1111" s="1">
        <v>45856</v>
      </c>
      <c r="E1111">
        <v>7700</v>
      </c>
      <c r="F1111" t="s">
        <v>1640</v>
      </c>
      <c r="G1111">
        <v>856</v>
      </c>
    </row>
    <row r="1112" spans="1:7" x14ac:dyDescent="0.3">
      <c r="A1112" t="s">
        <v>1039</v>
      </c>
      <c r="B1112" t="s">
        <v>235</v>
      </c>
      <c r="C1112">
        <v>24</v>
      </c>
      <c r="D1112" s="1">
        <v>45856</v>
      </c>
      <c r="E1112">
        <v>7700</v>
      </c>
      <c r="F1112" t="s">
        <v>506</v>
      </c>
      <c r="G1112">
        <v>1011</v>
      </c>
    </row>
    <row r="1113" spans="1:7" x14ac:dyDescent="0.3">
      <c r="A1113" t="s">
        <v>1039</v>
      </c>
      <c r="B1113" t="s">
        <v>310</v>
      </c>
      <c r="C1113">
        <v>24</v>
      </c>
      <c r="D1113" s="1">
        <v>45855</v>
      </c>
      <c r="E1113">
        <v>7700</v>
      </c>
      <c r="F1113" t="s">
        <v>467</v>
      </c>
      <c r="G1113">
        <v>832</v>
      </c>
    </row>
    <row r="1114" spans="1:7" x14ac:dyDescent="0.3">
      <c r="A1114" t="s">
        <v>1039</v>
      </c>
      <c r="B1114" t="s">
        <v>233</v>
      </c>
      <c r="C1114">
        <v>24</v>
      </c>
      <c r="D1114" s="1">
        <v>45855</v>
      </c>
      <c r="E1114">
        <v>7700</v>
      </c>
      <c r="F1114" t="s">
        <v>583</v>
      </c>
      <c r="G1114">
        <v>842</v>
      </c>
    </row>
    <row r="1115" spans="1:7" x14ac:dyDescent="0.3">
      <c r="A1115" t="s">
        <v>1039</v>
      </c>
      <c r="B1115" t="s">
        <v>233</v>
      </c>
      <c r="C1115">
        <v>24</v>
      </c>
      <c r="D1115" s="1">
        <v>45856</v>
      </c>
      <c r="E1115">
        <v>7700</v>
      </c>
      <c r="F1115" t="s">
        <v>497</v>
      </c>
      <c r="G1115">
        <v>817</v>
      </c>
    </row>
    <row r="1116" spans="1:7" x14ac:dyDescent="0.3">
      <c r="A1116" t="s">
        <v>1039</v>
      </c>
      <c r="B1116" t="s">
        <v>232</v>
      </c>
      <c r="C1116">
        <v>24</v>
      </c>
      <c r="D1116" s="1">
        <v>45854</v>
      </c>
      <c r="E1116">
        <v>7700</v>
      </c>
      <c r="F1116" t="s">
        <v>1679</v>
      </c>
      <c r="G1116">
        <v>713</v>
      </c>
    </row>
    <row r="1117" spans="1:7" x14ac:dyDescent="0.3">
      <c r="A1117" t="s">
        <v>1039</v>
      </c>
      <c r="B1117" t="s">
        <v>226</v>
      </c>
      <c r="C1117">
        <v>24</v>
      </c>
      <c r="D1117" s="1">
        <v>45854</v>
      </c>
      <c r="E1117">
        <v>7700</v>
      </c>
      <c r="F1117" t="s">
        <v>735</v>
      </c>
      <c r="G1117">
        <v>725</v>
      </c>
    </row>
    <row r="1118" spans="1:7" x14ac:dyDescent="0.3">
      <c r="A1118" t="s">
        <v>1039</v>
      </c>
      <c r="B1118" t="s">
        <v>309</v>
      </c>
      <c r="C1118">
        <v>24</v>
      </c>
      <c r="D1118" s="1">
        <v>45854</v>
      </c>
      <c r="E1118">
        <v>7700</v>
      </c>
      <c r="F1118" t="s">
        <v>1698</v>
      </c>
      <c r="G1118">
        <v>687</v>
      </c>
    </row>
    <row r="1119" spans="1:7" x14ac:dyDescent="0.3">
      <c r="A1119" t="s">
        <v>1039</v>
      </c>
      <c r="B1119" t="s">
        <v>309</v>
      </c>
      <c r="C1119">
        <v>24</v>
      </c>
      <c r="D1119" s="1">
        <v>45863</v>
      </c>
      <c r="E1119">
        <v>0</v>
      </c>
      <c r="F1119" t="s">
        <v>1104</v>
      </c>
      <c r="G1119">
        <v>1951</v>
      </c>
    </row>
    <row r="1120" spans="1:7" x14ac:dyDescent="0.3">
      <c r="A1120" t="s">
        <v>1039</v>
      </c>
      <c r="B1120" t="s">
        <v>310</v>
      </c>
      <c r="C1120">
        <v>24</v>
      </c>
      <c r="D1120" s="1">
        <v>45854</v>
      </c>
      <c r="E1120">
        <v>0</v>
      </c>
      <c r="F1120" t="s">
        <v>1674</v>
      </c>
      <c r="G1120">
        <v>740</v>
      </c>
    </row>
    <row r="1121" spans="1:7" x14ac:dyDescent="0.3">
      <c r="A1121" t="s">
        <v>1039</v>
      </c>
      <c r="B1121" t="s">
        <v>229</v>
      </c>
      <c r="C1121">
        <v>24</v>
      </c>
      <c r="D1121" s="1">
        <v>45854</v>
      </c>
      <c r="E1121">
        <v>0</v>
      </c>
      <c r="F1121" t="s">
        <v>1703</v>
      </c>
      <c r="G1121">
        <v>629</v>
      </c>
    </row>
    <row r="1122" spans="1:7" x14ac:dyDescent="0.3">
      <c r="A1122" t="s">
        <v>1039</v>
      </c>
      <c r="B1122" t="s">
        <v>310</v>
      </c>
      <c r="C1122">
        <v>25</v>
      </c>
      <c r="D1122" s="1">
        <v>45854</v>
      </c>
      <c r="E1122">
        <v>124300</v>
      </c>
      <c r="F1122" t="s">
        <v>1332</v>
      </c>
      <c r="G1122">
        <v>1325</v>
      </c>
    </row>
    <row r="1123" spans="1:7" x14ac:dyDescent="0.3">
      <c r="A1123" t="s">
        <v>1039</v>
      </c>
      <c r="B1123" t="s">
        <v>225</v>
      </c>
      <c r="C1123">
        <v>25</v>
      </c>
      <c r="D1123" s="1">
        <v>45854</v>
      </c>
      <c r="E1123">
        <v>77000</v>
      </c>
      <c r="F1123" t="s">
        <v>602</v>
      </c>
      <c r="G1123">
        <v>803</v>
      </c>
    </row>
    <row r="1124" spans="1:7" x14ac:dyDescent="0.3">
      <c r="A1124" t="s">
        <v>1039</v>
      </c>
      <c r="B1124" t="s">
        <v>314</v>
      </c>
      <c r="C1124">
        <v>25</v>
      </c>
      <c r="D1124" s="1">
        <v>45855</v>
      </c>
      <c r="E1124">
        <v>44000</v>
      </c>
      <c r="F1124">
        <v>5456486</v>
      </c>
      <c r="G1124">
        <v>985</v>
      </c>
    </row>
    <row r="1125" spans="1:7" x14ac:dyDescent="0.3">
      <c r="A1125" t="s">
        <v>1039</v>
      </c>
      <c r="B1125" t="s">
        <v>309</v>
      </c>
      <c r="C1125">
        <v>25</v>
      </c>
      <c r="D1125" s="1">
        <v>45858</v>
      </c>
      <c r="E1125">
        <v>31900</v>
      </c>
      <c r="F1125" t="s">
        <v>1425</v>
      </c>
      <c r="G1125">
        <v>1221</v>
      </c>
    </row>
    <row r="1126" spans="1:7" x14ac:dyDescent="0.3">
      <c r="A1126" t="s">
        <v>1039</v>
      </c>
      <c r="B1126" t="s">
        <v>231</v>
      </c>
      <c r="C1126">
        <v>25</v>
      </c>
      <c r="D1126" s="1">
        <v>45857</v>
      </c>
      <c r="E1126">
        <v>29700</v>
      </c>
      <c r="F1126" t="s">
        <v>1505</v>
      </c>
      <c r="G1126">
        <v>1063</v>
      </c>
    </row>
    <row r="1127" spans="1:7" x14ac:dyDescent="0.3">
      <c r="A1127" t="s">
        <v>1039</v>
      </c>
      <c r="B1127" t="s">
        <v>309</v>
      </c>
      <c r="C1127">
        <v>25</v>
      </c>
      <c r="D1127" s="1">
        <v>45856</v>
      </c>
      <c r="E1127">
        <v>29700</v>
      </c>
      <c r="F1127" t="s">
        <v>1569</v>
      </c>
      <c r="G1127">
        <v>977</v>
      </c>
    </row>
    <row r="1128" spans="1:7" x14ac:dyDescent="0.3">
      <c r="A1128" t="s">
        <v>1039</v>
      </c>
      <c r="B1128" t="s">
        <v>233</v>
      </c>
      <c r="C1128">
        <v>25</v>
      </c>
      <c r="D1128" s="1">
        <v>45857</v>
      </c>
      <c r="E1128">
        <v>20900</v>
      </c>
      <c r="F1128" t="s">
        <v>1540</v>
      </c>
      <c r="G1128">
        <v>1018</v>
      </c>
    </row>
    <row r="1129" spans="1:7" x14ac:dyDescent="0.3">
      <c r="A1129" t="s">
        <v>1039</v>
      </c>
      <c r="B1129" t="s">
        <v>233</v>
      </c>
      <c r="C1129">
        <v>25</v>
      </c>
      <c r="D1129" s="1">
        <v>45854</v>
      </c>
      <c r="E1129">
        <v>18700</v>
      </c>
      <c r="F1129" t="s">
        <v>519</v>
      </c>
      <c r="G1129">
        <v>793</v>
      </c>
    </row>
    <row r="1130" spans="1:7" x14ac:dyDescent="0.3">
      <c r="A1130" t="s">
        <v>1039</v>
      </c>
      <c r="B1130" t="s">
        <v>309</v>
      </c>
      <c r="C1130">
        <v>25</v>
      </c>
      <c r="D1130" s="1">
        <v>45860</v>
      </c>
      <c r="E1130">
        <v>14300</v>
      </c>
      <c r="F1130" t="s">
        <v>1051</v>
      </c>
      <c r="G1130">
        <v>1566</v>
      </c>
    </row>
    <row r="1131" spans="1:7" x14ac:dyDescent="0.3">
      <c r="A1131" t="s">
        <v>1039</v>
      </c>
      <c r="B1131" t="s">
        <v>235</v>
      </c>
      <c r="C1131">
        <v>25</v>
      </c>
      <c r="D1131" s="1">
        <v>45858</v>
      </c>
      <c r="E1131">
        <v>11000</v>
      </c>
      <c r="F1131" t="s">
        <v>1447</v>
      </c>
      <c r="G1131">
        <v>1137</v>
      </c>
    </row>
    <row r="1132" spans="1:7" x14ac:dyDescent="0.3">
      <c r="A1132" t="s">
        <v>1039</v>
      </c>
      <c r="B1132" t="s">
        <v>233</v>
      </c>
      <c r="C1132">
        <v>25</v>
      </c>
      <c r="D1132" s="1">
        <v>45856</v>
      </c>
      <c r="E1132">
        <v>11000</v>
      </c>
      <c r="F1132" t="s">
        <v>1521</v>
      </c>
      <c r="G1132">
        <v>1058</v>
      </c>
    </row>
    <row r="1133" spans="1:7" x14ac:dyDescent="0.3">
      <c r="A1133" t="s">
        <v>1039</v>
      </c>
      <c r="B1133" t="s">
        <v>226</v>
      </c>
      <c r="C1133">
        <v>25</v>
      </c>
      <c r="D1133" s="1">
        <v>45858</v>
      </c>
      <c r="E1133">
        <v>7700</v>
      </c>
      <c r="F1133" t="s">
        <v>1083</v>
      </c>
      <c r="G1133">
        <v>1664</v>
      </c>
    </row>
    <row r="1134" spans="1:7" x14ac:dyDescent="0.3">
      <c r="A1134" t="s">
        <v>1039</v>
      </c>
      <c r="B1134" t="s">
        <v>310</v>
      </c>
      <c r="C1134">
        <v>25</v>
      </c>
      <c r="D1134" s="1">
        <v>45862</v>
      </c>
      <c r="E1134">
        <v>7700</v>
      </c>
      <c r="F1134" t="s">
        <v>1093</v>
      </c>
      <c r="G1134">
        <v>1501</v>
      </c>
    </row>
    <row r="1135" spans="1:7" x14ac:dyDescent="0.3">
      <c r="A1135" t="s">
        <v>1039</v>
      </c>
      <c r="B1135" t="s">
        <v>309</v>
      </c>
      <c r="C1135">
        <v>25</v>
      </c>
      <c r="D1135" s="1">
        <v>45860</v>
      </c>
      <c r="E1135">
        <v>7700</v>
      </c>
      <c r="F1135" t="s">
        <v>1107</v>
      </c>
      <c r="G1135">
        <v>1501</v>
      </c>
    </row>
    <row r="1136" spans="1:7" x14ac:dyDescent="0.3">
      <c r="A1136" t="s">
        <v>1039</v>
      </c>
      <c r="B1136" t="s">
        <v>226</v>
      </c>
      <c r="C1136">
        <v>25</v>
      </c>
      <c r="D1136" s="1">
        <v>45861</v>
      </c>
      <c r="E1136">
        <v>7700</v>
      </c>
      <c r="F1136" t="s">
        <v>1151</v>
      </c>
      <c r="G1136">
        <v>1498</v>
      </c>
    </row>
    <row r="1137" spans="1:7" x14ac:dyDescent="0.3">
      <c r="A1137" t="s">
        <v>1039</v>
      </c>
      <c r="B1137" t="s">
        <v>309</v>
      </c>
      <c r="C1137">
        <v>25</v>
      </c>
      <c r="D1137" s="1">
        <v>45859</v>
      </c>
      <c r="E1137">
        <v>7700</v>
      </c>
      <c r="F1137" t="s">
        <v>1210</v>
      </c>
      <c r="G1137">
        <v>1368</v>
      </c>
    </row>
    <row r="1138" spans="1:7" x14ac:dyDescent="0.3">
      <c r="A1138" t="s">
        <v>1039</v>
      </c>
      <c r="B1138" t="s">
        <v>309</v>
      </c>
      <c r="C1138">
        <v>25</v>
      </c>
      <c r="D1138" s="1">
        <v>45857</v>
      </c>
      <c r="E1138">
        <v>7700</v>
      </c>
      <c r="F1138" t="s">
        <v>1269</v>
      </c>
      <c r="G1138">
        <v>1318</v>
      </c>
    </row>
    <row r="1139" spans="1:7" x14ac:dyDescent="0.3">
      <c r="A1139" t="s">
        <v>1039</v>
      </c>
      <c r="B1139" t="s">
        <v>231</v>
      </c>
      <c r="C1139">
        <v>25</v>
      </c>
      <c r="D1139" s="1">
        <v>45860</v>
      </c>
      <c r="E1139">
        <v>7700</v>
      </c>
      <c r="F1139" t="s">
        <v>1295</v>
      </c>
      <c r="G1139">
        <v>1298</v>
      </c>
    </row>
    <row r="1140" spans="1:7" x14ac:dyDescent="0.3">
      <c r="A1140" t="s">
        <v>1039</v>
      </c>
      <c r="B1140" t="s">
        <v>309</v>
      </c>
      <c r="C1140">
        <v>25</v>
      </c>
      <c r="D1140" s="1">
        <v>45857</v>
      </c>
      <c r="E1140">
        <v>7700</v>
      </c>
      <c r="F1140" t="s">
        <v>1322</v>
      </c>
      <c r="G1140">
        <v>1256</v>
      </c>
    </row>
    <row r="1141" spans="1:7" x14ac:dyDescent="0.3">
      <c r="A1141" t="s">
        <v>1039</v>
      </c>
      <c r="B1141" t="s">
        <v>226</v>
      </c>
      <c r="C1141">
        <v>25</v>
      </c>
      <c r="D1141" s="1">
        <v>45856</v>
      </c>
      <c r="E1141">
        <v>7700</v>
      </c>
      <c r="F1141" t="s">
        <v>1330</v>
      </c>
      <c r="G1141">
        <v>1457</v>
      </c>
    </row>
    <row r="1142" spans="1:7" x14ac:dyDescent="0.3">
      <c r="A1142" t="s">
        <v>1039</v>
      </c>
      <c r="B1142" t="s">
        <v>309</v>
      </c>
      <c r="C1142">
        <v>25</v>
      </c>
      <c r="D1142" s="1">
        <v>45859</v>
      </c>
      <c r="E1142">
        <v>7700</v>
      </c>
      <c r="F1142" t="s">
        <v>1352</v>
      </c>
      <c r="G1142">
        <v>1404</v>
      </c>
    </row>
    <row r="1143" spans="1:7" x14ac:dyDescent="0.3">
      <c r="A1143" t="s">
        <v>1039</v>
      </c>
      <c r="B1143" t="s">
        <v>309</v>
      </c>
      <c r="C1143">
        <v>25</v>
      </c>
      <c r="D1143" s="1">
        <v>45859</v>
      </c>
      <c r="E1143">
        <v>7700</v>
      </c>
      <c r="F1143" t="s">
        <v>1384</v>
      </c>
      <c r="G1143">
        <v>1382</v>
      </c>
    </row>
    <row r="1144" spans="1:7" x14ac:dyDescent="0.3">
      <c r="A1144" t="s">
        <v>1039</v>
      </c>
      <c r="B1144" t="s">
        <v>231</v>
      </c>
      <c r="C1144">
        <v>25</v>
      </c>
      <c r="D1144" s="1">
        <v>45858</v>
      </c>
      <c r="E1144">
        <v>7700</v>
      </c>
      <c r="F1144" t="s">
        <v>1405</v>
      </c>
      <c r="G1144">
        <v>1177</v>
      </c>
    </row>
    <row r="1145" spans="1:7" x14ac:dyDescent="0.3">
      <c r="A1145" t="s">
        <v>1039</v>
      </c>
      <c r="B1145" t="s">
        <v>309</v>
      </c>
      <c r="C1145">
        <v>25</v>
      </c>
      <c r="D1145" s="1">
        <v>45857</v>
      </c>
      <c r="E1145">
        <v>7700</v>
      </c>
      <c r="F1145" t="s">
        <v>1411</v>
      </c>
      <c r="G1145">
        <v>1162</v>
      </c>
    </row>
    <row r="1146" spans="1:7" x14ac:dyDescent="0.3">
      <c r="A1146" t="s">
        <v>1039</v>
      </c>
      <c r="B1146" t="s">
        <v>309</v>
      </c>
      <c r="C1146">
        <v>25</v>
      </c>
      <c r="D1146" s="1">
        <v>45858</v>
      </c>
      <c r="E1146">
        <v>7700</v>
      </c>
      <c r="F1146" t="s">
        <v>1430</v>
      </c>
      <c r="G1146">
        <v>1722</v>
      </c>
    </row>
    <row r="1147" spans="1:7" x14ac:dyDescent="0.3">
      <c r="A1147" t="s">
        <v>1039</v>
      </c>
      <c r="B1147" t="s">
        <v>231</v>
      </c>
      <c r="C1147">
        <v>25</v>
      </c>
      <c r="D1147" s="1">
        <v>45858</v>
      </c>
      <c r="E1147">
        <v>7700</v>
      </c>
      <c r="F1147" t="s">
        <v>1443</v>
      </c>
      <c r="G1147">
        <v>1154</v>
      </c>
    </row>
    <row r="1148" spans="1:7" x14ac:dyDescent="0.3">
      <c r="A1148" t="s">
        <v>1039</v>
      </c>
      <c r="B1148" t="s">
        <v>231</v>
      </c>
      <c r="C1148">
        <v>25</v>
      </c>
      <c r="D1148" s="1">
        <v>45857</v>
      </c>
      <c r="E1148">
        <v>7700</v>
      </c>
      <c r="F1148" t="s">
        <v>1466</v>
      </c>
      <c r="G1148">
        <v>1107</v>
      </c>
    </row>
    <row r="1149" spans="1:7" x14ac:dyDescent="0.3">
      <c r="A1149" t="s">
        <v>1039</v>
      </c>
      <c r="B1149" t="s">
        <v>311</v>
      </c>
      <c r="C1149">
        <v>25</v>
      </c>
      <c r="D1149" s="1">
        <v>45858</v>
      </c>
      <c r="E1149">
        <v>7700</v>
      </c>
      <c r="F1149" t="s">
        <v>1479</v>
      </c>
      <c r="G1149">
        <v>1098</v>
      </c>
    </row>
    <row r="1150" spans="1:7" x14ac:dyDescent="0.3">
      <c r="A1150" t="s">
        <v>1039</v>
      </c>
      <c r="B1150" t="s">
        <v>233</v>
      </c>
      <c r="C1150">
        <v>25</v>
      </c>
      <c r="D1150" s="1">
        <v>45857</v>
      </c>
      <c r="E1150">
        <v>7700</v>
      </c>
      <c r="F1150" t="s">
        <v>508</v>
      </c>
      <c r="G1150">
        <v>1075</v>
      </c>
    </row>
    <row r="1151" spans="1:7" x14ac:dyDescent="0.3">
      <c r="A1151" t="s">
        <v>1039</v>
      </c>
      <c r="B1151" t="s">
        <v>309</v>
      </c>
      <c r="C1151">
        <v>25</v>
      </c>
      <c r="D1151" s="1">
        <v>45857</v>
      </c>
      <c r="E1151">
        <v>7700</v>
      </c>
      <c r="F1151" t="s">
        <v>1496</v>
      </c>
      <c r="G1151">
        <v>1068</v>
      </c>
    </row>
    <row r="1152" spans="1:7" x14ac:dyDescent="0.3">
      <c r="A1152" t="s">
        <v>1039</v>
      </c>
      <c r="B1152" t="s">
        <v>224</v>
      </c>
      <c r="C1152">
        <v>25</v>
      </c>
      <c r="D1152" s="1">
        <v>45857</v>
      </c>
      <c r="E1152">
        <v>7700</v>
      </c>
      <c r="F1152" t="s">
        <v>463</v>
      </c>
      <c r="G1152">
        <v>1086</v>
      </c>
    </row>
    <row r="1153" spans="1:7" x14ac:dyDescent="0.3">
      <c r="A1153" t="s">
        <v>1039</v>
      </c>
      <c r="B1153" t="s">
        <v>235</v>
      </c>
      <c r="C1153">
        <v>25</v>
      </c>
      <c r="D1153" s="1">
        <v>45856</v>
      </c>
      <c r="E1153">
        <v>7700</v>
      </c>
      <c r="F1153" t="s">
        <v>1514</v>
      </c>
      <c r="G1153">
        <v>1528</v>
      </c>
    </row>
    <row r="1154" spans="1:7" x14ac:dyDescent="0.3">
      <c r="A1154" t="s">
        <v>1039</v>
      </c>
      <c r="B1154" t="s">
        <v>231</v>
      </c>
      <c r="C1154">
        <v>25</v>
      </c>
      <c r="D1154" s="1">
        <v>45857</v>
      </c>
      <c r="E1154">
        <v>7700</v>
      </c>
      <c r="F1154" t="s">
        <v>1534</v>
      </c>
      <c r="G1154">
        <v>1047</v>
      </c>
    </row>
    <row r="1155" spans="1:7" x14ac:dyDescent="0.3">
      <c r="A1155" t="s">
        <v>1039</v>
      </c>
      <c r="B1155" t="s">
        <v>310</v>
      </c>
      <c r="C1155">
        <v>25</v>
      </c>
      <c r="D1155" s="1">
        <v>45856</v>
      </c>
      <c r="E1155">
        <v>7700</v>
      </c>
      <c r="F1155" t="s">
        <v>1544</v>
      </c>
      <c r="G1155">
        <v>1006</v>
      </c>
    </row>
    <row r="1156" spans="1:7" x14ac:dyDescent="0.3">
      <c r="A1156" t="s">
        <v>1039</v>
      </c>
      <c r="B1156" t="s">
        <v>224</v>
      </c>
      <c r="C1156">
        <v>25</v>
      </c>
      <c r="D1156" s="1">
        <v>45856</v>
      </c>
      <c r="E1156">
        <v>7700</v>
      </c>
      <c r="F1156" t="s">
        <v>1545</v>
      </c>
      <c r="G1156">
        <v>1069</v>
      </c>
    </row>
    <row r="1157" spans="1:7" x14ac:dyDescent="0.3">
      <c r="A1157" t="s">
        <v>1039</v>
      </c>
      <c r="B1157" t="s">
        <v>309</v>
      </c>
      <c r="C1157">
        <v>25</v>
      </c>
      <c r="D1157" s="1">
        <v>45856</v>
      </c>
      <c r="E1157">
        <v>7700</v>
      </c>
      <c r="F1157" t="s">
        <v>563</v>
      </c>
      <c r="G1157">
        <v>1053</v>
      </c>
    </row>
    <row r="1158" spans="1:7" x14ac:dyDescent="0.3">
      <c r="A1158" t="s">
        <v>1039</v>
      </c>
      <c r="B1158" t="s">
        <v>226</v>
      </c>
      <c r="C1158">
        <v>25</v>
      </c>
      <c r="D1158" s="1">
        <v>45856</v>
      </c>
      <c r="E1158">
        <v>7700</v>
      </c>
      <c r="F1158" t="s">
        <v>1565</v>
      </c>
      <c r="G1158">
        <v>990</v>
      </c>
    </row>
    <row r="1159" spans="1:7" x14ac:dyDescent="0.3">
      <c r="A1159" t="s">
        <v>1039</v>
      </c>
      <c r="B1159" t="s">
        <v>310</v>
      </c>
      <c r="C1159">
        <v>25</v>
      </c>
      <c r="D1159" s="1">
        <v>45856</v>
      </c>
      <c r="E1159">
        <v>7700</v>
      </c>
      <c r="F1159" t="s">
        <v>1571</v>
      </c>
      <c r="G1159">
        <v>954</v>
      </c>
    </row>
    <row r="1160" spans="1:7" x14ac:dyDescent="0.3">
      <c r="A1160" t="s">
        <v>1039</v>
      </c>
      <c r="B1160" t="s">
        <v>310</v>
      </c>
      <c r="C1160">
        <v>25</v>
      </c>
      <c r="D1160" s="1">
        <v>45856</v>
      </c>
      <c r="E1160">
        <v>7700</v>
      </c>
      <c r="F1160" t="s">
        <v>1579</v>
      </c>
      <c r="G1160">
        <v>941</v>
      </c>
    </row>
    <row r="1161" spans="1:7" x14ac:dyDescent="0.3">
      <c r="A1161" t="s">
        <v>1039</v>
      </c>
      <c r="B1161" t="s">
        <v>226</v>
      </c>
      <c r="C1161">
        <v>25</v>
      </c>
      <c r="D1161" s="1">
        <v>45856</v>
      </c>
      <c r="E1161">
        <v>7700</v>
      </c>
      <c r="F1161" t="s">
        <v>1584</v>
      </c>
      <c r="G1161">
        <v>988</v>
      </c>
    </row>
    <row r="1162" spans="1:7" x14ac:dyDescent="0.3">
      <c r="A1162" t="s">
        <v>1039</v>
      </c>
      <c r="B1162" t="s">
        <v>224</v>
      </c>
      <c r="C1162">
        <v>25</v>
      </c>
      <c r="D1162" s="1">
        <v>45856</v>
      </c>
      <c r="E1162">
        <v>7700</v>
      </c>
      <c r="F1162" t="s">
        <v>1591</v>
      </c>
      <c r="G1162">
        <v>1025</v>
      </c>
    </row>
    <row r="1163" spans="1:7" x14ac:dyDescent="0.3">
      <c r="A1163" t="s">
        <v>1039</v>
      </c>
      <c r="B1163" t="s">
        <v>233</v>
      </c>
      <c r="C1163">
        <v>25</v>
      </c>
      <c r="D1163" s="1">
        <v>45856</v>
      </c>
      <c r="E1163">
        <v>7700</v>
      </c>
      <c r="F1163" t="s">
        <v>1597</v>
      </c>
      <c r="G1163">
        <v>924</v>
      </c>
    </row>
    <row r="1164" spans="1:7" x14ac:dyDescent="0.3">
      <c r="A1164" t="s">
        <v>1039</v>
      </c>
      <c r="B1164" t="s">
        <v>226</v>
      </c>
      <c r="C1164">
        <v>25</v>
      </c>
      <c r="D1164" s="1">
        <v>45856</v>
      </c>
      <c r="E1164">
        <v>7700</v>
      </c>
      <c r="F1164" t="s">
        <v>523</v>
      </c>
      <c r="G1164">
        <v>906</v>
      </c>
    </row>
    <row r="1165" spans="1:7" x14ac:dyDescent="0.3">
      <c r="A1165" t="s">
        <v>1039</v>
      </c>
      <c r="B1165" t="s">
        <v>231</v>
      </c>
      <c r="C1165">
        <v>25</v>
      </c>
      <c r="D1165" s="1">
        <v>45856</v>
      </c>
      <c r="E1165">
        <v>7700</v>
      </c>
      <c r="F1165" t="s">
        <v>444</v>
      </c>
      <c r="G1165">
        <v>1011</v>
      </c>
    </row>
    <row r="1166" spans="1:7" x14ac:dyDescent="0.3">
      <c r="A1166" t="s">
        <v>1039</v>
      </c>
      <c r="B1166" t="s">
        <v>309</v>
      </c>
      <c r="C1166">
        <v>25</v>
      </c>
      <c r="D1166" s="1">
        <v>45856</v>
      </c>
      <c r="E1166">
        <v>7700</v>
      </c>
      <c r="F1166" t="s">
        <v>1617</v>
      </c>
      <c r="G1166">
        <v>1259</v>
      </c>
    </row>
    <row r="1167" spans="1:7" x14ac:dyDescent="0.3">
      <c r="A1167" t="s">
        <v>1039</v>
      </c>
      <c r="B1167" t="s">
        <v>309</v>
      </c>
      <c r="C1167">
        <v>25</v>
      </c>
      <c r="D1167" s="1">
        <v>45855</v>
      </c>
      <c r="E1167">
        <v>7700</v>
      </c>
      <c r="F1167" t="s">
        <v>1631</v>
      </c>
      <c r="G1167">
        <v>895</v>
      </c>
    </row>
    <row r="1168" spans="1:7" x14ac:dyDescent="0.3">
      <c r="A1168" t="s">
        <v>1039</v>
      </c>
      <c r="B1168" t="s">
        <v>311</v>
      </c>
      <c r="C1168">
        <v>25</v>
      </c>
      <c r="D1168" s="1">
        <v>45855</v>
      </c>
      <c r="E1168">
        <v>7700</v>
      </c>
      <c r="F1168" t="s">
        <v>1639</v>
      </c>
      <c r="G1168">
        <v>911</v>
      </c>
    </row>
    <row r="1169" spans="1:7" x14ac:dyDescent="0.3">
      <c r="A1169" t="s">
        <v>1039</v>
      </c>
      <c r="B1169" t="s">
        <v>310</v>
      </c>
      <c r="C1169">
        <v>25</v>
      </c>
      <c r="D1169" s="1">
        <v>45854</v>
      </c>
      <c r="E1169">
        <v>7700</v>
      </c>
      <c r="F1169" t="s">
        <v>1644</v>
      </c>
      <c r="G1169">
        <v>831</v>
      </c>
    </row>
    <row r="1170" spans="1:7" x14ac:dyDescent="0.3">
      <c r="A1170" t="s">
        <v>1039</v>
      </c>
      <c r="B1170" t="s">
        <v>310</v>
      </c>
      <c r="C1170">
        <v>25</v>
      </c>
      <c r="D1170" s="1">
        <v>45855</v>
      </c>
      <c r="E1170">
        <v>7700</v>
      </c>
      <c r="F1170" t="s">
        <v>706</v>
      </c>
      <c r="G1170">
        <v>902</v>
      </c>
    </row>
    <row r="1171" spans="1:7" x14ac:dyDescent="0.3">
      <c r="A1171" t="s">
        <v>1039</v>
      </c>
      <c r="B1171" t="s">
        <v>310</v>
      </c>
      <c r="C1171">
        <v>25</v>
      </c>
      <c r="D1171" s="1">
        <v>45855</v>
      </c>
      <c r="E1171">
        <v>7700</v>
      </c>
      <c r="F1171" t="s">
        <v>1649</v>
      </c>
      <c r="G1171">
        <v>816</v>
      </c>
    </row>
    <row r="1172" spans="1:7" x14ac:dyDescent="0.3">
      <c r="A1172" t="s">
        <v>1039</v>
      </c>
      <c r="B1172" t="s">
        <v>224</v>
      </c>
      <c r="C1172">
        <v>25</v>
      </c>
      <c r="D1172" s="1">
        <v>45854</v>
      </c>
      <c r="E1172">
        <v>7700</v>
      </c>
      <c r="F1172" t="s">
        <v>1654</v>
      </c>
      <c r="G1172">
        <v>810</v>
      </c>
    </row>
    <row r="1173" spans="1:7" x14ac:dyDescent="0.3">
      <c r="A1173" t="s">
        <v>1039</v>
      </c>
      <c r="B1173" t="s">
        <v>311</v>
      </c>
      <c r="C1173">
        <v>25</v>
      </c>
      <c r="D1173" s="1">
        <v>45855</v>
      </c>
      <c r="E1173">
        <v>7700</v>
      </c>
      <c r="F1173" t="s">
        <v>580</v>
      </c>
      <c r="G1173">
        <v>829</v>
      </c>
    </row>
    <row r="1174" spans="1:7" x14ac:dyDescent="0.3">
      <c r="A1174" t="s">
        <v>1039</v>
      </c>
      <c r="B1174" t="s">
        <v>311</v>
      </c>
      <c r="C1174">
        <v>25</v>
      </c>
      <c r="D1174" s="1">
        <v>45854</v>
      </c>
      <c r="E1174">
        <v>7700</v>
      </c>
      <c r="F1174" t="s">
        <v>685</v>
      </c>
      <c r="G1174">
        <v>841</v>
      </c>
    </row>
    <row r="1175" spans="1:7" x14ac:dyDescent="0.3">
      <c r="A1175" t="s">
        <v>1039</v>
      </c>
      <c r="B1175" t="s">
        <v>229</v>
      </c>
      <c r="C1175">
        <v>25</v>
      </c>
      <c r="D1175" s="1">
        <v>45857</v>
      </c>
      <c r="E1175">
        <v>0</v>
      </c>
      <c r="F1175" t="s">
        <v>1406</v>
      </c>
      <c r="G1175">
        <v>1171</v>
      </c>
    </row>
    <row r="1176" spans="1:7" x14ac:dyDescent="0.3">
      <c r="A1176" t="s">
        <v>1039</v>
      </c>
      <c r="B1176" t="s">
        <v>310</v>
      </c>
      <c r="C1176">
        <v>25</v>
      </c>
      <c r="D1176" s="1">
        <v>45856</v>
      </c>
      <c r="E1176">
        <v>0</v>
      </c>
      <c r="F1176" t="s">
        <v>470</v>
      </c>
      <c r="G1176">
        <v>915</v>
      </c>
    </row>
    <row r="1177" spans="1:7" x14ac:dyDescent="0.3">
      <c r="A1177" t="s">
        <v>1039</v>
      </c>
      <c r="B1177" t="s">
        <v>236</v>
      </c>
      <c r="C1177">
        <v>26</v>
      </c>
      <c r="D1177" s="1">
        <v>45855</v>
      </c>
      <c r="E1177">
        <v>190300</v>
      </c>
      <c r="F1177" t="s">
        <v>1572</v>
      </c>
      <c r="G1177">
        <v>954</v>
      </c>
    </row>
    <row r="1178" spans="1:7" x14ac:dyDescent="0.3">
      <c r="A1178" t="s">
        <v>1039</v>
      </c>
      <c r="B1178" t="s">
        <v>228</v>
      </c>
      <c r="C1178">
        <v>26</v>
      </c>
      <c r="D1178" s="1">
        <v>45855</v>
      </c>
      <c r="E1178">
        <v>118800</v>
      </c>
      <c r="F1178" t="s">
        <v>1547</v>
      </c>
      <c r="G1178">
        <v>1032</v>
      </c>
    </row>
    <row r="1179" spans="1:7" x14ac:dyDescent="0.3">
      <c r="A1179" t="s">
        <v>1039</v>
      </c>
      <c r="B1179" t="s">
        <v>224</v>
      </c>
      <c r="C1179">
        <v>26</v>
      </c>
      <c r="D1179" s="1">
        <v>45856</v>
      </c>
      <c r="E1179">
        <v>62700</v>
      </c>
      <c r="F1179" t="s">
        <v>1485</v>
      </c>
      <c r="G1179">
        <v>1086</v>
      </c>
    </row>
    <row r="1180" spans="1:7" x14ac:dyDescent="0.3">
      <c r="A1180" t="s">
        <v>1039</v>
      </c>
      <c r="B1180" t="s">
        <v>309</v>
      </c>
      <c r="C1180">
        <v>26</v>
      </c>
      <c r="D1180" s="1">
        <v>45854</v>
      </c>
      <c r="E1180">
        <v>58300</v>
      </c>
      <c r="F1180" t="s">
        <v>1613</v>
      </c>
      <c r="G1180">
        <v>923</v>
      </c>
    </row>
    <row r="1181" spans="1:7" x14ac:dyDescent="0.3">
      <c r="A1181" t="s">
        <v>1039</v>
      </c>
      <c r="B1181" t="s">
        <v>231</v>
      </c>
      <c r="C1181">
        <v>26</v>
      </c>
      <c r="D1181" s="1">
        <v>45859</v>
      </c>
      <c r="E1181">
        <v>47300</v>
      </c>
      <c r="F1181" t="s">
        <v>1255</v>
      </c>
      <c r="G1181">
        <v>1347</v>
      </c>
    </row>
    <row r="1182" spans="1:7" x14ac:dyDescent="0.3">
      <c r="A1182" t="s">
        <v>1039</v>
      </c>
      <c r="B1182" t="s">
        <v>309</v>
      </c>
      <c r="C1182">
        <v>26</v>
      </c>
      <c r="D1182" s="1">
        <v>45855</v>
      </c>
      <c r="E1182">
        <v>47300</v>
      </c>
      <c r="F1182" t="s">
        <v>447</v>
      </c>
      <c r="G1182">
        <v>989</v>
      </c>
    </row>
    <row r="1183" spans="1:7" x14ac:dyDescent="0.3">
      <c r="A1183" t="s">
        <v>1039</v>
      </c>
      <c r="B1183" t="s">
        <v>233</v>
      </c>
      <c r="C1183">
        <v>26</v>
      </c>
      <c r="D1183" s="1">
        <v>45860</v>
      </c>
      <c r="E1183">
        <v>40700</v>
      </c>
      <c r="F1183" t="s">
        <v>1214</v>
      </c>
      <c r="G1183">
        <v>1365</v>
      </c>
    </row>
    <row r="1184" spans="1:7" x14ac:dyDescent="0.3">
      <c r="A1184" t="s">
        <v>1039</v>
      </c>
      <c r="B1184" t="s">
        <v>231</v>
      </c>
      <c r="C1184">
        <v>26</v>
      </c>
      <c r="D1184" s="1">
        <v>45856</v>
      </c>
      <c r="E1184">
        <v>40700</v>
      </c>
      <c r="F1184" t="s">
        <v>1484</v>
      </c>
      <c r="G1184">
        <v>1089</v>
      </c>
    </row>
    <row r="1185" spans="1:7" x14ac:dyDescent="0.3">
      <c r="A1185" t="s">
        <v>1039</v>
      </c>
      <c r="B1185" t="s">
        <v>226</v>
      </c>
      <c r="C1185">
        <v>26</v>
      </c>
      <c r="D1185" s="1">
        <v>45854</v>
      </c>
      <c r="E1185">
        <v>27500</v>
      </c>
      <c r="F1185" t="s">
        <v>1531</v>
      </c>
      <c r="G1185">
        <v>1108</v>
      </c>
    </row>
    <row r="1186" spans="1:7" x14ac:dyDescent="0.3">
      <c r="A1186" t="s">
        <v>1039</v>
      </c>
      <c r="B1186" t="s">
        <v>226</v>
      </c>
      <c r="C1186">
        <v>26</v>
      </c>
      <c r="D1186" s="1">
        <v>45862</v>
      </c>
      <c r="E1186">
        <v>22000</v>
      </c>
      <c r="F1186" t="s">
        <v>1057</v>
      </c>
      <c r="G1186">
        <v>1571</v>
      </c>
    </row>
    <row r="1187" spans="1:7" x14ac:dyDescent="0.3">
      <c r="A1187" t="s">
        <v>1039</v>
      </c>
      <c r="B1187" t="s">
        <v>233</v>
      </c>
      <c r="C1187">
        <v>26</v>
      </c>
      <c r="D1187" s="1">
        <v>45854</v>
      </c>
      <c r="E1187">
        <v>22000</v>
      </c>
      <c r="F1187" t="s">
        <v>1653</v>
      </c>
      <c r="G1187">
        <v>887</v>
      </c>
    </row>
    <row r="1188" spans="1:7" x14ac:dyDescent="0.3">
      <c r="A1188" t="s">
        <v>1039</v>
      </c>
      <c r="B1188" t="s">
        <v>234</v>
      </c>
      <c r="C1188">
        <v>26</v>
      </c>
      <c r="D1188" s="1">
        <v>45858</v>
      </c>
      <c r="E1188">
        <v>15400</v>
      </c>
      <c r="F1188" t="s">
        <v>1065</v>
      </c>
      <c r="G1188">
        <v>1632</v>
      </c>
    </row>
    <row r="1189" spans="1:7" x14ac:dyDescent="0.3">
      <c r="A1189" t="s">
        <v>1039</v>
      </c>
      <c r="B1189" t="s">
        <v>228</v>
      </c>
      <c r="C1189">
        <v>26</v>
      </c>
      <c r="D1189" s="1">
        <v>45858</v>
      </c>
      <c r="E1189">
        <v>11000</v>
      </c>
      <c r="F1189" t="s">
        <v>1387</v>
      </c>
      <c r="G1189">
        <v>1214</v>
      </c>
    </row>
    <row r="1190" spans="1:7" x14ac:dyDescent="0.3">
      <c r="A1190" t="s">
        <v>1039</v>
      </c>
      <c r="B1190" t="s">
        <v>309</v>
      </c>
      <c r="C1190">
        <v>26</v>
      </c>
      <c r="D1190" s="1">
        <v>45855</v>
      </c>
      <c r="E1190">
        <v>11000</v>
      </c>
      <c r="F1190" t="s">
        <v>1587</v>
      </c>
      <c r="G1190">
        <v>960</v>
      </c>
    </row>
    <row r="1191" spans="1:7" x14ac:dyDescent="0.3">
      <c r="A1191" t="s">
        <v>1039</v>
      </c>
      <c r="B1191" t="s">
        <v>309</v>
      </c>
      <c r="C1191">
        <v>26</v>
      </c>
      <c r="D1191" s="1">
        <v>45855</v>
      </c>
      <c r="E1191">
        <v>9900</v>
      </c>
      <c r="F1191" t="s">
        <v>1427</v>
      </c>
      <c r="G1191">
        <v>1348</v>
      </c>
    </row>
    <row r="1192" spans="1:7" x14ac:dyDescent="0.3">
      <c r="A1192" t="s">
        <v>1039</v>
      </c>
      <c r="B1192" t="s">
        <v>309</v>
      </c>
      <c r="C1192">
        <v>26</v>
      </c>
      <c r="D1192" s="1">
        <v>45856</v>
      </c>
      <c r="E1192">
        <v>7700</v>
      </c>
      <c r="F1192" t="s">
        <v>1052</v>
      </c>
      <c r="G1192">
        <v>1613</v>
      </c>
    </row>
    <row r="1193" spans="1:7" x14ac:dyDescent="0.3">
      <c r="A1193" t="s">
        <v>1039</v>
      </c>
      <c r="B1193" t="s">
        <v>231</v>
      </c>
      <c r="C1193">
        <v>26</v>
      </c>
      <c r="D1193" s="1">
        <v>45860</v>
      </c>
      <c r="E1193">
        <v>7700</v>
      </c>
      <c r="F1193" t="s">
        <v>1121</v>
      </c>
      <c r="G1193">
        <v>1463</v>
      </c>
    </row>
    <row r="1194" spans="1:7" x14ac:dyDescent="0.3">
      <c r="A1194" t="s">
        <v>1039</v>
      </c>
      <c r="B1194" t="s">
        <v>231</v>
      </c>
      <c r="C1194">
        <v>26</v>
      </c>
      <c r="D1194" s="1">
        <v>45860</v>
      </c>
      <c r="E1194">
        <v>7700</v>
      </c>
      <c r="F1194" t="s">
        <v>1122</v>
      </c>
      <c r="G1194">
        <v>1495</v>
      </c>
    </row>
    <row r="1195" spans="1:7" x14ac:dyDescent="0.3">
      <c r="A1195" t="s">
        <v>1039</v>
      </c>
      <c r="B1195" t="s">
        <v>231</v>
      </c>
      <c r="C1195">
        <v>26</v>
      </c>
      <c r="D1195" s="1">
        <v>45861</v>
      </c>
      <c r="E1195">
        <v>7700</v>
      </c>
      <c r="F1195" t="s">
        <v>1126</v>
      </c>
      <c r="G1195">
        <v>1458</v>
      </c>
    </row>
    <row r="1196" spans="1:7" x14ac:dyDescent="0.3">
      <c r="A1196" t="s">
        <v>1039</v>
      </c>
      <c r="B1196" t="s">
        <v>310</v>
      </c>
      <c r="C1196">
        <v>26</v>
      </c>
      <c r="D1196" s="1">
        <v>45856</v>
      </c>
      <c r="E1196">
        <v>7700</v>
      </c>
      <c r="F1196" t="s">
        <v>1129</v>
      </c>
      <c r="G1196">
        <v>1504</v>
      </c>
    </row>
    <row r="1197" spans="1:7" x14ac:dyDescent="0.3">
      <c r="A1197" t="s">
        <v>1039</v>
      </c>
      <c r="B1197" t="s">
        <v>235</v>
      </c>
      <c r="C1197">
        <v>26</v>
      </c>
      <c r="D1197" s="1">
        <v>45861</v>
      </c>
      <c r="E1197">
        <v>7700</v>
      </c>
      <c r="F1197" t="s">
        <v>1156</v>
      </c>
      <c r="G1197">
        <v>1442</v>
      </c>
    </row>
    <row r="1198" spans="1:7" x14ac:dyDescent="0.3">
      <c r="A1198" t="s">
        <v>1039</v>
      </c>
      <c r="B1198" t="s">
        <v>233</v>
      </c>
      <c r="C1198">
        <v>26</v>
      </c>
      <c r="D1198" s="1">
        <v>45856</v>
      </c>
      <c r="E1198">
        <v>7700</v>
      </c>
      <c r="F1198" t="s">
        <v>1173</v>
      </c>
      <c r="G1198">
        <v>1456</v>
      </c>
    </row>
    <row r="1199" spans="1:7" x14ac:dyDescent="0.3">
      <c r="A1199" t="s">
        <v>1039</v>
      </c>
      <c r="B1199" t="s">
        <v>224</v>
      </c>
      <c r="C1199">
        <v>26</v>
      </c>
      <c r="D1199" s="1">
        <v>45857</v>
      </c>
      <c r="E1199">
        <v>7700</v>
      </c>
      <c r="F1199" t="s">
        <v>1195</v>
      </c>
      <c r="G1199">
        <v>1436</v>
      </c>
    </row>
    <row r="1200" spans="1:7" x14ac:dyDescent="0.3">
      <c r="A1200" t="s">
        <v>1039</v>
      </c>
      <c r="B1200" t="s">
        <v>232</v>
      </c>
      <c r="C1200">
        <v>26</v>
      </c>
      <c r="D1200" s="1">
        <v>45857</v>
      </c>
      <c r="E1200">
        <v>7700</v>
      </c>
      <c r="F1200" t="s">
        <v>1211</v>
      </c>
      <c r="G1200">
        <v>1396</v>
      </c>
    </row>
    <row r="1201" spans="1:7" x14ac:dyDescent="0.3">
      <c r="A1201" t="s">
        <v>1039</v>
      </c>
      <c r="B1201" t="s">
        <v>231</v>
      </c>
      <c r="C1201">
        <v>26</v>
      </c>
      <c r="D1201" s="1">
        <v>45860</v>
      </c>
      <c r="E1201">
        <v>7700</v>
      </c>
      <c r="F1201" t="s">
        <v>1216</v>
      </c>
      <c r="G1201">
        <v>1361</v>
      </c>
    </row>
    <row r="1202" spans="1:7" x14ac:dyDescent="0.3">
      <c r="A1202" t="s">
        <v>1039</v>
      </c>
      <c r="B1202" t="s">
        <v>231</v>
      </c>
      <c r="C1202">
        <v>26</v>
      </c>
      <c r="D1202" s="1">
        <v>45564</v>
      </c>
      <c r="E1202">
        <v>7700</v>
      </c>
      <c r="F1202" t="s">
        <v>1219</v>
      </c>
      <c r="G1202">
        <v>1856</v>
      </c>
    </row>
    <row r="1203" spans="1:7" x14ac:dyDescent="0.3">
      <c r="A1203" t="s">
        <v>1039</v>
      </c>
      <c r="B1203" t="s">
        <v>314</v>
      </c>
      <c r="C1203">
        <v>26</v>
      </c>
      <c r="D1203" s="1">
        <v>45859</v>
      </c>
      <c r="E1203">
        <v>7700</v>
      </c>
      <c r="F1203" t="s">
        <v>1290</v>
      </c>
      <c r="G1203">
        <v>1342</v>
      </c>
    </row>
    <row r="1204" spans="1:7" x14ac:dyDescent="0.3">
      <c r="A1204" t="s">
        <v>1039</v>
      </c>
      <c r="B1204" t="s">
        <v>309</v>
      </c>
      <c r="C1204">
        <v>26</v>
      </c>
      <c r="D1204" s="1">
        <v>45857</v>
      </c>
      <c r="E1204">
        <v>7700</v>
      </c>
      <c r="F1204" t="s">
        <v>1306</v>
      </c>
      <c r="G1204">
        <v>1299</v>
      </c>
    </row>
    <row r="1205" spans="1:7" x14ac:dyDescent="0.3">
      <c r="A1205" t="s">
        <v>1039</v>
      </c>
      <c r="B1205" t="s">
        <v>234</v>
      </c>
      <c r="C1205">
        <v>26</v>
      </c>
      <c r="D1205" s="1">
        <v>45859</v>
      </c>
      <c r="E1205">
        <v>7700</v>
      </c>
      <c r="F1205" t="s">
        <v>1311</v>
      </c>
      <c r="G1205">
        <v>1393</v>
      </c>
    </row>
    <row r="1206" spans="1:7" x14ac:dyDescent="0.3">
      <c r="A1206" t="s">
        <v>1039</v>
      </c>
      <c r="B1206" t="s">
        <v>233</v>
      </c>
      <c r="C1206">
        <v>26</v>
      </c>
      <c r="D1206" s="1">
        <v>45857</v>
      </c>
      <c r="E1206">
        <v>7700</v>
      </c>
      <c r="F1206" t="s">
        <v>1319</v>
      </c>
      <c r="G1206">
        <v>1266</v>
      </c>
    </row>
    <row r="1207" spans="1:7" x14ac:dyDescent="0.3">
      <c r="A1207" t="s">
        <v>1039</v>
      </c>
      <c r="B1207" t="s">
        <v>231</v>
      </c>
      <c r="C1207">
        <v>26</v>
      </c>
      <c r="D1207" s="1">
        <v>45858</v>
      </c>
      <c r="E1207">
        <v>7700</v>
      </c>
      <c r="F1207" t="s">
        <v>1345</v>
      </c>
      <c r="G1207">
        <v>1246</v>
      </c>
    </row>
    <row r="1208" spans="1:7" x14ac:dyDescent="0.3">
      <c r="A1208" t="s">
        <v>1039</v>
      </c>
      <c r="B1208" t="s">
        <v>231</v>
      </c>
      <c r="C1208">
        <v>26</v>
      </c>
      <c r="D1208" s="1">
        <v>45857</v>
      </c>
      <c r="E1208">
        <v>7700</v>
      </c>
      <c r="F1208" t="s">
        <v>1355</v>
      </c>
      <c r="G1208">
        <v>1233</v>
      </c>
    </row>
    <row r="1209" spans="1:7" x14ac:dyDescent="0.3">
      <c r="A1209" t="s">
        <v>1039</v>
      </c>
      <c r="B1209" t="s">
        <v>310</v>
      </c>
      <c r="C1209">
        <v>26</v>
      </c>
      <c r="D1209" s="1">
        <v>45857</v>
      </c>
      <c r="E1209">
        <v>7700</v>
      </c>
      <c r="F1209" t="s">
        <v>1361</v>
      </c>
      <c r="G1209">
        <v>1313</v>
      </c>
    </row>
    <row r="1210" spans="1:7" x14ac:dyDescent="0.3">
      <c r="A1210" t="s">
        <v>1039</v>
      </c>
      <c r="B1210" t="s">
        <v>309</v>
      </c>
      <c r="C1210">
        <v>26</v>
      </c>
      <c r="D1210" s="1">
        <v>45859</v>
      </c>
      <c r="E1210">
        <v>7700</v>
      </c>
      <c r="F1210" t="s">
        <v>1362</v>
      </c>
      <c r="G1210">
        <v>1217</v>
      </c>
    </row>
    <row r="1211" spans="1:7" x14ac:dyDescent="0.3">
      <c r="A1211" t="s">
        <v>1039</v>
      </c>
      <c r="B1211" t="s">
        <v>309</v>
      </c>
      <c r="C1211">
        <v>26</v>
      </c>
      <c r="D1211" s="1">
        <v>45857</v>
      </c>
      <c r="E1211">
        <v>7700</v>
      </c>
      <c r="F1211" t="s">
        <v>1370</v>
      </c>
      <c r="G1211">
        <v>1369</v>
      </c>
    </row>
    <row r="1212" spans="1:7" x14ac:dyDescent="0.3">
      <c r="A1212" t="s">
        <v>1039</v>
      </c>
      <c r="B1212" t="s">
        <v>309</v>
      </c>
      <c r="C1212">
        <v>26</v>
      </c>
      <c r="D1212" s="1">
        <v>45858</v>
      </c>
      <c r="E1212">
        <v>7700</v>
      </c>
      <c r="F1212" t="s">
        <v>1378</v>
      </c>
      <c r="G1212">
        <v>1211</v>
      </c>
    </row>
    <row r="1213" spans="1:7" x14ac:dyDescent="0.3">
      <c r="A1213" t="s">
        <v>1039</v>
      </c>
      <c r="B1213" t="s">
        <v>231</v>
      </c>
      <c r="C1213">
        <v>26</v>
      </c>
      <c r="D1213" s="1">
        <v>45858</v>
      </c>
      <c r="E1213">
        <v>7700</v>
      </c>
      <c r="F1213" t="s">
        <v>1379</v>
      </c>
      <c r="G1213">
        <v>1204</v>
      </c>
    </row>
    <row r="1214" spans="1:7" x14ac:dyDescent="0.3">
      <c r="A1214" t="s">
        <v>1039</v>
      </c>
      <c r="B1214" t="s">
        <v>232</v>
      </c>
      <c r="C1214">
        <v>26</v>
      </c>
      <c r="D1214" s="1">
        <v>45856</v>
      </c>
      <c r="E1214">
        <v>7700</v>
      </c>
      <c r="F1214" t="s">
        <v>1420</v>
      </c>
      <c r="G1214">
        <v>1159</v>
      </c>
    </row>
    <row r="1215" spans="1:7" x14ac:dyDescent="0.3">
      <c r="A1215" t="s">
        <v>1039</v>
      </c>
      <c r="B1215" t="s">
        <v>229</v>
      </c>
      <c r="C1215">
        <v>26</v>
      </c>
      <c r="D1215" s="1">
        <v>45857</v>
      </c>
      <c r="E1215">
        <v>7700</v>
      </c>
      <c r="F1215" t="s">
        <v>1422</v>
      </c>
      <c r="G1215">
        <v>1369</v>
      </c>
    </row>
    <row r="1216" spans="1:7" x14ac:dyDescent="0.3">
      <c r="A1216" t="s">
        <v>1039</v>
      </c>
      <c r="B1216" t="s">
        <v>231</v>
      </c>
      <c r="C1216">
        <v>26</v>
      </c>
      <c r="D1216" s="1">
        <v>45856</v>
      </c>
      <c r="E1216">
        <v>7700</v>
      </c>
      <c r="F1216" t="s">
        <v>1437</v>
      </c>
      <c r="G1216">
        <v>1131</v>
      </c>
    </row>
    <row r="1217" spans="1:7" x14ac:dyDescent="0.3">
      <c r="A1217" t="s">
        <v>1039</v>
      </c>
      <c r="B1217" t="s">
        <v>310</v>
      </c>
      <c r="C1217">
        <v>26</v>
      </c>
      <c r="D1217" s="1">
        <v>45857</v>
      </c>
      <c r="E1217">
        <v>7700</v>
      </c>
      <c r="F1217" t="s">
        <v>1439</v>
      </c>
      <c r="G1217">
        <v>1228</v>
      </c>
    </row>
    <row r="1218" spans="1:7" x14ac:dyDescent="0.3">
      <c r="A1218" t="s">
        <v>1039</v>
      </c>
      <c r="B1218" t="s">
        <v>310</v>
      </c>
      <c r="C1218">
        <v>26</v>
      </c>
      <c r="D1218" s="1">
        <v>45857</v>
      </c>
      <c r="E1218">
        <v>7700</v>
      </c>
      <c r="F1218" t="s">
        <v>1451</v>
      </c>
      <c r="G1218">
        <v>1135</v>
      </c>
    </row>
    <row r="1219" spans="1:7" x14ac:dyDescent="0.3">
      <c r="A1219" t="s">
        <v>1039</v>
      </c>
      <c r="B1219" t="s">
        <v>230</v>
      </c>
      <c r="C1219">
        <v>26</v>
      </c>
      <c r="D1219" s="1">
        <v>45856</v>
      </c>
      <c r="E1219">
        <v>7700</v>
      </c>
      <c r="F1219" t="s">
        <v>453</v>
      </c>
      <c r="G1219">
        <v>1045</v>
      </c>
    </row>
    <row r="1220" spans="1:7" x14ac:dyDescent="0.3">
      <c r="A1220" t="s">
        <v>1039</v>
      </c>
      <c r="B1220" t="s">
        <v>309</v>
      </c>
      <c r="C1220">
        <v>26</v>
      </c>
      <c r="D1220" s="1">
        <v>45855</v>
      </c>
      <c r="E1220">
        <v>7700</v>
      </c>
      <c r="F1220" t="s">
        <v>1525</v>
      </c>
      <c r="G1220">
        <v>1148</v>
      </c>
    </row>
    <row r="1221" spans="1:7" x14ac:dyDescent="0.3">
      <c r="A1221" t="s">
        <v>1039</v>
      </c>
      <c r="B1221" t="s">
        <v>226</v>
      </c>
      <c r="C1221">
        <v>26</v>
      </c>
      <c r="D1221" s="1">
        <v>45856</v>
      </c>
      <c r="E1221">
        <v>7700</v>
      </c>
      <c r="F1221" t="s">
        <v>1533</v>
      </c>
      <c r="G1221">
        <v>1029</v>
      </c>
    </row>
    <row r="1222" spans="1:7" x14ac:dyDescent="0.3">
      <c r="A1222" t="s">
        <v>1039</v>
      </c>
      <c r="B1222" t="s">
        <v>310</v>
      </c>
      <c r="C1222">
        <v>26</v>
      </c>
      <c r="D1222" s="1">
        <v>45855</v>
      </c>
      <c r="E1222">
        <v>7700</v>
      </c>
      <c r="F1222" t="s">
        <v>1578</v>
      </c>
      <c r="G1222">
        <v>940</v>
      </c>
    </row>
    <row r="1223" spans="1:7" x14ac:dyDescent="0.3">
      <c r="A1223" t="s">
        <v>1039</v>
      </c>
      <c r="B1223" t="s">
        <v>309</v>
      </c>
      <c r="C1223">
        <v>26</v>
      </c>
      <c r="D1223" s="1">
        <v>45855</v>
      </c>
      <c r="E1223">
        <v>7700</v>
      </c>
      <c r="F1223" t="s">
        <v>1588</v>
      </c>
      <c r="G1223">
        <v>959</v>
      </c>
    </row>
    <row r="1224" spans="1:7" x14ac:dyDescent="0.3">
      <c r="A1224" t="s">
        <v>1039</v>
      </c>
      <c r="B1224" t="s">
        <v>309</v>
      </c>
      <c r="C1224">
        <v>26</v>
      </c>
      <c r="D1224" s="1">
        <v>45855</v>
      </c>
      <c r="E1224">
        <v>7700</v>
      </c>
      <c r="F1224" t="s">
        <v>1601</v>
      </c>
      <c r="G1224">
        <v>1004</v>
      </c>
    </row>
    <row r="1225" spans="1:7" x14ac:dyDescent="0.3">
      <c r="A1225" t="s">
        <v>1039</v>
      </c>
      <c r="B1225" t="s">
        <v>231</v>
      </c>
      <c r="C1225">
        <v>26</v>
      </c>
      <c r="D1225" s="1">
        <v>45861</v>
      </c>
      <c r="E1225">
        <v>2200</v>
      </c>
      <c r="F1225" t="s">
        <v>1150</v>
      </c>
      <c r="G1225">
        <v>1446</v>
      </c>
    </row>
    <row r="1226" spans="1:7" x14ac:dyDescent="0.3">
      <c r="A1226" t="s">
        <v>1039</v>
      </c>
      <c r="B1226" t="s">
        <v>310</v>
      </c>
      <c r="C1226">
        <v>26</v>
      </c>
      <c r="D1226" s="1">
        <v>45857</v>
      </c>
      <c r="E1226">
        <v>0</v>
      </c>
      <c r="F1226" t="s">
        <v>1394</v>
      </c>
      <c r="G1226">
        <v>1174</v>
      </c>
    </row>
    <row r="1227" spans="1:7" x14ac:dyDescent="0.3">
      <c r="A1227" t="s">
        <v>1039</v>
      </c>
      <c r="B1227" t="s">
        <v>310</v>
      </c>
      <c r="C1227">
        <v>26</v>
      </c>
      <c r="D1227" s="1">
        <v>45857</v>
      </c>
      <c r="E1227">
        <v>0</v>
      </c>
      <c r="F1227" t="s">
        <v>1416</v>
      </c>
      <c r="G1227">
        <v>1183</v>
      </c>
    </row>
    <row r="1228" spans="1:7" x14ac:dyDescent="0.3">
      <c r="A1228" t="s">
        <v>1039</v>
      </c>
      <c r="B1228" t="s">
        <v>236</v>
      </c>
      <c r="C1228">
        <v>26</v>
      </c>
      <c r="D1228" s="1">
        <v>45857</v>
      </c>
      <c r="E1228">
        <v>0</v>
      </c>
      <c r="F1228" t="s">
        <v>1450</v>
      </c>
      <c r="G1228">
        <v>1123</v>
      </c>
    </row>
    <row r="1229" spans="1:7" x14ac:dyDescent="0.3">
      <c r="A1229" t="s">
        <v>1039</v>
      </c>
      <c r="B1229" t="s">
        <v>309</v>
      </c>
      <c r="C1229">
        <v>26</v>
      </c>
      <c r="D1229" s="1">
        <v>45857</v>
      </c>
      <c r="E1229">
        <v>0</v>
      </c>
      <c r="F1229" t="s">
        <v>1491</v>
      </c>
      <c r="G1229">
        <v>1064</v>
      </c>
    </row>
    <row r="1230" spans="1:7" x14ac:dyDescent="0.3">
      <c r="A1230" t="s">
        <v>1039</v>
      </c>
      <c r="B1230" t="s">
        <v>225</v>
      </c>
      <c r="C1230">
        <v>27</v>
      </c>
      <c r="D1230" s="1">
        <v>45856</v>
      </c>
      <c r="E1230">
        <v>117700</v>
      </c>
      <c r="F1230" t="s">
        <v>1223</v>
      </c>
      <c r="G1230">
        <v>1464</v>
      </c>
    </row>
    <row r="1231" spans="1:7" x14ac:dyDescent="0.3">
      <c r="A1231" t="s">
        <v>1039</v>
      </c>
      <c r="B1231" t="s">
        <v>224</v>
      </c>
      <c r="C1231">
        <v>27</v>
      </c>
      <c r="D1231" s="1">
        <v>45858</v>
      </c>
      <c r="E1231">
        <v>106700</v>
      </c>
      <c r="F1231" t="s">
        <v>1266</v>
      </c>
      <c r="G1231">
        <v>1341</v>
      </c>
    </row>
    <row r="1232" spans="1:7" x14ac:dyDescent="0.3">
      <c r="A1232" t="s">
        <v>1039</v>
      </c>
      <c r="B1232" t="s">
        <v>231</v>
      </c>
      <c r="C1232">
        <v>27</v>
      </c>
      <c r="D1232" s="1">
        <v>45858</v>
      </c>
      <c r="E1232">
        <v>47300</v>
      </c>
      <c r="F1232" t="s">
        <v>1259</v>
      </c>
      <c r="G1232">
        <v>1349</v>
      </c>
    </row>
    <row r="1233" spans="1:7" x14ac:dyDescent="0.3">
      <c r="A1233" t="s">
        <v>1039</v>
      </c>
      <c r="B1233" t="s">
        <v>309</v>
      </c>
      <c r="C1233">
        <v>27</v>
      </c>
      <c r="D1233" s="1">
        <v>45854</v>
      </c>
      <c r="E1233">
        <v>27500</v>
      </c>
      <c r="F1233" t="s">
        <v>1598</v>
      </c>
      <c r="G1233">
        <v>988</v>
      </c>
    </row>
    <row r="1234" spans="1:7" x14ac:dyDescent="0.3">
      <c r="A1234" t="s">
        <v>1039</v>
      </c>
      <c r="B1234" t="s">
        <v>236</v>
      </c>
      <c r="C1234">
        <v>27</v>
      </c>
      <c r="D1234" s="1">
        <v>45853</v>
      </c>
      <c r="E1234">
        <v>13200</v>
      </c>
      <c r="F1234" t="s">
        <v>1509</v>
      </c>
      <c r="G1234">
        <v>1059</v>
      </c>
    </row>
    <row r="1235" spans="1:7" x14ac:dyDescent="0.3">
      <c r="A1235" t="s">
        <v>1039</v>
      </c>
      <c r="B1235" t="s">
        <v>231</v>
      </c>
      <c r="C1235">
        <v>27</v>
      </c>
      <c r="D1235" s="1">
        <v>45856</v>
      </c>
      <c r="E1235">
        <v>9900</v>
      </c>
      <c r="F1235" t="s">
        <v>1453</v>
      </c>
      <c r="G1235">
        <v>1163</v>
      </c>
    </row>
    <row r="1236" spans="1:7" x14ac:dyDescent="0.3">
      <c r="A1236" t="s">
        <v>1039</v>
      </c>
      <c r="B1236" t="s">
        <v>310</v>
      </c>
      <c r="C1236">
        <v>27</v>
      </c>
      <c r="D1236" s="1">
        <v>45857</v>
      </c>
      <c r="E1236">
        <v>8800</v>
      </c>
      <c r="F1236" t="s">
        <v>1303</v>
      </c>
      <c r="G1236">
        <v>1351</v>
      </c>
    </row>
    <row r="1237" spans="1:7" x14ac:dyDescent="0.3">
      <c r="A1237" t="s">
        <v>1039</v>
      </c>
      <c r="B1237" t="s">
        <v>309</v>
      </c>
      <c r="C1237">
        <v>27</v>
      </c>
      <c r="D1237" s="1">
        <v>45859</v>
      </c>
      <c r="E1237">
        <v>7700</v>
      </c>
      <c r="F1237" t="s">
        <v>1128</v>
      </c>
      <c r="G1237">
        <v>1464</v>
      </c>
    </row>
    <row r="1238" spans="1:7" x14ac:dyDescent="0.3">
      <c r="A1238" t="s">
        <v>1039</v>
      </c>
      <c r="B1238" t="s">
        <v>224</v>
      </c>
      <c r="C1238">
        <v>27</v>
      </c>
      <c r="D1238" s="1">
        <v>45858</v>
      </c>
      <c r="E1238">
        <v>7700</v>
      </c>
      <c r="F1238" t="s">
        <v>1164</v>
      </c>
      <c r="G1238">
        <v>1392</v>
      </c>
    </row>
    <row r="1239" spans="1:7" x14ac:dyDescent="0.3">
      <c r="A1239" t="s">
        <v>1039</v>
      </c>
      <c r="B1239" t="s">
        <v>309</v>
      </c>
      <c r="C1239">
        <v>27</v>
      </c>
      <c r="D1239" s="1">
        <v>45856</v>
      </c>
      <c r="E1239">
        <v>7700</v>
      </c>
      <c r="F1239" t="s">
        <v>1187</v>
      </c>
      <c r="G1239">
        <v>1491</v>
      </c>
    </row>
    <row r="1240" spans="1:7" x14ac:dyDescent="0.3">
      <c r="A1240" t="s">
        <v>1039</v>
      </c>
      <c r="B1240" t="s">
        <v>233</v>
      </c>
      <c r="C1240">
        <v>27</v>
      </c>
      <c r="D1240" s="1">
        <v>45857</v>
      </c>
      <c r="E1240">
        <v>7700</v>
      </c>
      <c r="F1240" t="s">
        <v>1204</v>
      </c>
      <c r="G1240">
        <v>1382</v>
      </c>
    </row>
    <row r="1241" spans="1:7" x14ac:dyDescent="0.3">
      <c r="A1241" t="s">
        <v>1039</v>
      </c>
      <c r="B1241" t="s">
        <v>231</v>
      </c>
      <c r="C1241">
        <v>27</v>
      </c>
      <c r="D1241" s="1">
        <v>45859</v>
      </c>
      <c r="E1241">
        <v>7700</v>
      </c>
      <c r="F1241" t="s">
        <v>1207</v>
      </c>
      <c r="G1241">
        <v>1390</v>
      </c>
    </row>
    <row r="1242" spans="1:7" x14ac:dyDescent="0.3">
      <c r="A1242" t="s">
        <v>1039</v>
      </c>
      <c r="B1242" t="s">
        <v>226</v>
      </c>
      <c r="C1242">
        <v>27</v>
      </c>
      <c r="D1242" s="1">
        <v>45857</v>
      </c>
      <c r="E1242">
        <v>7700</v>
      </c>
      <c r="F1242" t="s">
        <v>1221</v>
      </c>
      <c r="G1242">
        <v>1389</v>
      </c>
    </row>
    <row r="1243" spans="1:7" x14ac:dyDescent="0.3">
      <c r="A1243" t="s">
        <v>1039</v>
      </c>
      <c r="B1243" t="s">
        <v>309</v>
      </c>
      <c r="C1243">
        <v>27</v>
      </c>
      <c r="D1243" s="1">
        <v>45858</v>
      </c>
      <c r="E1243">
        <v>7700</v>
      </c>
      <c r="F1243" t="s">
        <v>1246</v>
      </c>
      <c r="G1243">
        <v>1380</v>
      </c>
    </row>
    <row r="1244" spans="1:7" x14ac:dyDescent="0.3">
      <c r="A1244" t="s">
        <v>1039</v>
      </c>
      <c r="B1244" t="s">
        <v>309</v>
      </c>
      <c r="C1244">
        <v>27</v>
      </c>
      <c r="D1244" s="1">
        <v>45858</v>
      </c>
      <c r="E1244">
        <v>7700</v>
      </c>
      <c r="F1244" t="s">
        <v>1247</v>
      </c>
      <c r="G1244">
        <v>1339</v>
      </c>
    </row>
    <row r="1245" spans="1:7" x14ac:dyDescent="0.3">
      <c r="A1245" t="s">
        <v>1039</v>
      </c>
      <c r="B1245" t="s">
        <v>309</v>
      </c>
      <c r="C1245">
        <v>27</v>
      </c>
      <c r="D1245" s="1">
        <v>45856</v>
      </c>
      <c r="E1245">
        <v>7700</v>
      </c>
      <c r="F1245" t="s">
        <v>1252</v>
      </c>
      <c r="G1245">
        <v>1598</v>
      </c>
    </row>
    <row r="1246" spans="1:7" x14ac:dyDescent="0.3">
      <c r="A1246" t="s">
        <v>1039</v>
      </c>
      <c r="B1246" t="s">
        <v>310</v>
      </c>
      <c r="C1246">
        <v>27</v>
      </c>
      <c r="D1246" s="1">
        <v>45858</v>
      </c>
      <c r="E1246">
        <v>7700</v>
      </c>
      <c r="F1246" t="s">
        <v>1285</v>
      </c>
      <c r="G1246">
        <v>1352</v>
      </c>
    </row>
    <row r="1247" spans="1:7" x14ac:dyDescent="0.3">
      <c r="A1247" t="s">
        <v>1039</v>
      </c>
      <c r="B1247" t="s">
        <v>310</v>
      </c>
      <c r="C1247">
        <v>27</v>
      </c>
      <c r="D1247" s="1">
        <v>45857</v>
      </c>
      <c r="E1247">
        <v>7700</v>
      </c>
      <c r="F1247" t="s">
        <v>1287</v>
      </c>
      <c r="G1247">
        <v>1316</v>
      </c>
    </row>
    <row r="1248" spans="1:7" x14ac:dyDescent="0.3">
      <c r="A1248" t="s">
        <v>1039</v>
      </c>
      <c r="B1248" t="s">
        <v>230</v>
      </c>
      <c r="C1248">
        <v>27</v>
      </c>
      <c r="D1248" s="1">
        <v>45858</v>
      </c>
      <c r="E1248">
        <v>7700</v>
      </c>
      <c r="F1248" t="s">
        <v>1297</v>
      </c>
      <c r="G1248">
        <v>1282</v>
      </c>
    </row>
    <row r="1249" spans="1:7" x14ac:dyDescent="0.3">
      <c r="A1249" t="s">
        <v>1039</v>
      </c>
      <c r="B1249" t="s">
        <v>226</v>
      </c>
      <c r="C1249">
        <v>27</v>
      </c>
      <c r="D1249" s="1">
        <v>45857</v>
      </c>
      <c r="E1249">
        <v>7700</v>
      </c>
      <c r="F1249" t="s">
        <v>1299</v>
      </c>
      <c r="G1249">
        <v>1372</v>
      </c>
    </row>
    <row r="1250" spans="1:7" x14ac:dyDescent="0.3">
      <c r="A1250" t="s">
        <v>1039</v>
      </c>
      <c r="B1250" t="s">
        <v>234</v>
      </c>
      <c r="C1250">
        <v>27</v>
      </c>
      <c r="D1250" s="1">
        <v>45857</v>
      </c>
      <c r="E1250">
        <v>7700</v>
      </c>
      <c r="F1250" t="s">
        <v>1359</v>
      </c>
      <c r="G1250">
        <v>1271</v>
      </c>
    </row>
    <row r="1251" spans="1:7" x14ac:dyDescent="0.3">
      <c r="A1251" t="s">
        <v>1039</v>
      </c>
      <c r="B1251" t="s">
        <v>309</v>
      </c>
      <c r="C1251">
        <v>27</v>
      </c>
      <c r="D1251" s="1">
        <v>45857</v>
      </c>
      <c r="E1251">
        <v>7700</v>
      </c>
      <c r="F1251" t="s">
        <v>1375</v>
      </c>
      <c r="G1251">
        <v>1225</v>
      </c>
    </row>
    <row r="1252" spans="1:7" x14ac:dyDescent="0.3">
      <c r="A1252" t="s">
        <v>1039</v>
      </c>
      <c r="B1252" t="s">
        <v>234</v>
      </c>
      <c r="C1252">
        <v>27</v>
      </c>
      <c r="D1252" s="1">
        <v>45856</v>
      </c>
      <c r="E1252">
        <v>7700</v>
      </c>
      <c r="F1252" t="s">
        <v>1381</v>
      </c>
      <c r="G1252">
        <v>1204</v>
      </c>
    </row>
    <row r="1253" spans="1:7" x14ac:dyDescent="0.3">
      <c r="A1253" t="s">
        <v>1039</v>
      </c>
      <c r="B1253" t="s">
        <v>233</v>
      </c>
      <c r="C1253">
        <v>27</v>
      </c>
      <c r="D1253" s="1">
        <v>45856</v>
      </c>
      <c r="E1253">
        <v>7700</v>
      </c>
      <c r="F1253" t="s">
        <v>1393</v>
      </c>
      <c r="G1253">
        <v>1218</v>
      </c>
    </row>
    <row r="1254" spans="1:7" x14ac:dyDescent="0.3">
      <c r="A1254" t="s">
        <v>1039</v>
      </c>
      <c r="B1254" t="s">
        <v>233</v>
      </c>
      <c r="C1254">
        <v>27</v>
      </c>
      <c r="D1254" s="1">
        <v>45854</v>
      </c>
      <c r="E1254">
        <v>7700</v>
      </c>
      <c r="F1254" t="s">
        <v>1467</v>
      </c>
      <c r="G1254">
        <v>1101</v>
      </c>
    </row>
    <row r="1255" spans="1:7" x14ac:dyDescent="0.3">
      <c r="A1255" t="s">
        <v>1039</v>
      </c>
      <c r="B1255" t="s">
        <v>311</v>
      </c>
      <c r="C1255">
        <v>27</v>
      </c>
      <c r="D1255" s="1">
        <v>45855</v>
      </c>
      <c r="E1255">
        <v>7700</v>
      </c>
      <c r="F1255" t="s">
        <v>1489</v>
      </c>
      <c r="G1255">
        <v>1102</v>
      </c>
    </row>
    <row r="1256" spans="1:7" x14ac:dyDescent="0.3">
      <c r="A1256" t="s">
        <v>1039</v>
      </c>
      <c r="B1256" t="s">
        <v>309</v>
      </c>
      <c r="C1256">
        <v>27</v>
      </c>
      <c r="D1256" s="1">
        <v>45855</v>
      </c>
      <c r="E1256">
        <v>7700</v>
      </c>
      <c r="F1256" t="s">
        <v>1492</v>
      </c>
      <c r="G1256">
        <v>1150</v>
      </c>
    </row>
    <row r="1257" spans="1:7" x14ac:dyDescent="0.3">
      <c r="A1257" t="s">
        <v>1039</v>
      </c>
      <c r="B1257" t="s">
        <v>233</v>
      </c>
      <c r="C1257">
        <v>27</v>
      </c>
      <c r="D1257" s="1">
        <v>45853</v>
      </c>
      <c r="E1257">
        <v>7700</v>
      </c>
      <c r="F1257" t="s">
        <v>1502</v>
      </c>
      <c r="G1257">
        <v>1877</v>
      </c>
    </row>
    <row r="1258" spans="1:7" x14ac:dyDescent="0.3">
      <c r="A1258" t="s">
        <v>1039</v>
      </c>
      <c r="B1258" t="s">
        <v>309</v>
      </c>
      <c r="C1258">
        <v>27</v>
      </c>
      <c r="D1258" s="1">
        <v>45855</v>
      </c>
      <c r="E1258">
        <v>7700</v>
      </c>
      <c r="F1258" t="s">
        <v>1527</v>
      </c>
      <c r="G1258">
        <v>1115</v>
      </c>
    </row>
    <row r="1259" spans="1:7" x14ac:dyDescent="0.3">
      <c r="A1259" t="s">
        <v>1039</v>
      </c>
      <c r="B1259" t="s">
        <v>309</v>
      </c>
      <c r="C1259">
        <v>27</v>
      </c>
      <c r="D1259" s="1">
        <v>45854</v>
      </c>
      <c r="E1259">
        <v>7700</v>
      </c>
      <c r="F1259" t="s">
        <v>1555</v>
      </c>
      <c r="G1259">
        <v>988</v>
      </c>
    </row>
    <row r="1260" spans="1:7" x14ac:dyDescent="0.3">
      <c r="A1260" t="s">
        <v>1039</v>
      </c>
      <c r="B1260" t="s">
        <v>310</v>
      </c>
      <c r="C1260">
        <v>27</v>
      </c>
      <c r="D1260" s="1">
        <v>45854</v>
      </c>
      <c r="E1260">
        <v>7700</v>
      </c>
      <c r="F1260" t="s">
        <v>1604</v>
      </c>
      <c r="G1260">
        <v>912</v>
      </c>
    </row>
    <row r="1261" spans="1:7" x14ac:dyDescent="0.3">
      <c r="A1261" t="s">
        <v>1039</v>
      </c>
      <c r="B1261" t="s">
        <v>309</v>
      </c>
      <c r="C1261">
        <v>27</v>
      </c>
      <c r="D1261" s="1">
        <v>45854</v>
      </c>
      <c r="E1261">
        <v>7700</v>
      </c>
      <c r="F1261" t="s">
        <v>1616</v>
      </c>
      <c r="G1261">
        <v>963</v>
      </c>
    </row>
    <row r="1262" spans="1:7" x14ac:dyDescent="0.3">
      <c r="A1262" t="s">
        <v>1039</v>
      </c>
      <c r="B1262" t="s">
        <v>309</v>
      </c>
      <c r="C1262">
        <v>27</v>
      </c>
      <c r="D1262" s="1">
        <v>45857</v>
      </c>
      <c r="E1262">
        <v>0</v>
      </c>
      <c r="F1262" t="s">
        <v>1326</v>
      </c>
      <c r="G1262">
        <v>1365</v>
      </c>
    </row>
    <row r="1263" spans="1:7" x14ac:dyDescent="0.3">
      <c r="A1263" t="s">
        <v>1039</v>
      </c>
      <c r="B1263" t="s">
        <v>231</v>
      </c>
      <c r="C1263">
        <v>27</v>
      </c>
      <c r="D1263" s="1">
        <v>45856</v>
      </c>
      <c r="E1263">
        <v>0</v>
      </c>
      <c r="F1263" t="s">
        <v>1340</v>
      </c>
      <c r="G1263">
        <v>1262</v>
      </c>
    </row>
    <row r="1264" spans="1:7" x14ac:dyDescent="0.3">
      <c r="A1264" t="s">
        <v>1039</v>
      </c>
      <c r="B1264" t="s">
        <v>226</v>
      </c>
      <c r="C1264">
        <v>28</v>
      </c>
      <c r="D1264" s="1">
        <v>45856</v>
      </c>
      <c r="E1264">
        <v>172700</v>
      </c>
      <c r="F1264" t="s">
        <v>1396</v>
      </c>
      <c r="G1264">
        <v>1180</v>
      </c>
    </row>
    <row r="1265" spans="1:7" x14ac:dyDescent="0.3">
      <c r="A1265" t="s">
        <v>1039</v>
      </c>
      <c r="B1265" t="s">
        <v>234</v>
      </c>
      <c r="C1265">
        <v>28</v>
      </c>
      <c r="D1265" s="1">
        <v>45855</v>
      </c>
      <c r="E1265">
        <v>51700</v>
      </c>
      <c r="F1265" t="s">
        <v>1402</v>
      </c>
      <c r="G1265">
        <v>1194</v>
      </c>
    </row>
    <row r="1266" spans="1:7" x14ac:dyDescent="0.3">
      <c r="A1266" t="s">
        <v>1039</v>
      </c>
      <c r="B1266" t="s">
        <v>234</v>
      </c>
      <c r="C1266">
        <v>28</v>
      </c>
      <c r="D1266" s="1">
        <v>45858</v>
      </c>
      <c r="E1266">
        <v>40700</v>
      </c>
      <c r="F1266" t="s">
        <v>1109</v>
      </c>
      <c r="G1266">
        <v>1473</v>
      </c>
    </row>
    <row r="1267" spans="1:7" x14ac:dyDescent="0.3">
      <c r="A1267" t="s">
        <v>1039</v>
      </c>
      <c r="B1267" t="s">
        <v>311</v>
      </c>
      <c r="C1267">
        <v>28</v>
      </c>
      <c r="D1267" s="1">
        <v>45857</v>
      </c>
      <c r="E1267">
        <v>40700</v>
      </c>
      <c r="F1267" t="s">
        <v>1291</v>
      </c>
      <c r="G1267">
        <v>1341</v>
      </c>
    </row>
    <row r="1268" spans="1:7" x14ac:dyDescent="0.3">
      <c r="A1268" t="s">
        <v>1039</v>
      </c>
      <c r="B1268" t="s">
        <v>314</v>
      </c>
      <c r="C1268">
        <v>28</v>
      </c>
      <c r="D1268" s="1">
        <v>45856</v>
      </c>
      <c r="E1268">
        <v>36300</v>
      </c>
      <c r="F1268" t="s">
        <v>1344</v>
      </c>
      <c r="G1268">
        <v>1240</v>
      </c>
    </row>
    <row r="1269" spans="1:7" x14ac:dyDescent="0.3">
      <c r="A1269" t="s">
        <v>1039</v>
      </c>
      <c r="B1269" t="s">
        <v>434</v>
      </c>
      <c r="C1269">
        <v>28</v>
      </c>
      <c r="D1269" s="1">
        <v>45857</v>
      </c>
      <c r="E1269">
        <v>29700</v>
      </c>
      <c r="F1269" t="s">
        <v>1273</v>
      </c>
      <c r="G1269">
        <v>1323</v>
      </c>
    </row>
    <row r="1270" spans="1:7" x14ac:dyDescent="0.3">
      <c r="A1270" t="s">
        <v>1039</v>
      </c>
      <c r="B1270" t="s">
        <v>310</v>
      </c>
      <c r="C1270">
        <v>28</v>
      </c>
      <c r="D1270" s="1">
        <v>45855</v>
      </c>
      <c r="E1270">
        <v>19800</v>
      </c>
      <c r="F1270" t="s">
        <v>1337</v>
      </c>
      <c r="G1270">
        <v>1292</v>
      </c>
    </row>
    <row r="1271" spans="1:7" x14ac:dyDescent="0.3">
      <c r="A1271" t="s">
        <v>1039</v>
      </c>
      <c r="B1271" t="s">
        <v>235</v>
      </c>
      <c r="C1271">
        <v>28</v>
      </c>
      <c r="D1271" s="1">
        <v>45859</v>
      </c>
      <c r="E1271">
        <v>14300</v>
      </c>
      <c r="F1271" t="s">
        <v>1144</v>
      </c>
      <c r="G1271">
        <v>1437</v>
      </c>
    </row>
    <row r="1272" spans="1:7" x14ac:dyDescent="0.3">
      <c r="A1272" t="s">
        <v>1039</v>
      </c>
      <c r="B1272" t="s">
        <v>310</v>
      </c>
      <c r="C1272">
        <v>28</v>
      </c>
      <c r="D1272" s="1">
        <v>45857</v>
      </c>
      <c r="E1272">
        <v>14300</v>
      </c>
      <c r="F1272" t="s">
        <v>1251</v>
      </c>
      <c r="G1272">
        <v>1401</v>
      </c>
    </row>
    <row r="1273" spans="1:7" x14ac:dyDescent="0.3">
      <c r="A1273" t="s">
        <v>1039</v>
      </c>
      <c r="B1273" t="s">
        <v>309</v>
      </c>
      <c r="C1273">
        <v>28</v>
      </c>
      <c r="D1273" s="1">
        <v>45853</v>
      </c>
      <c r="E1273">
        <v>11000</v>
      </c>
      <c r="F1273" t="s">
        <v>1594</v>
      </c>
      <c r="G1273">
        <v>1919</v>
      </c>
    </row>
    <row r="1274" spans="1:7" x14ac:dyDescent="0.3">
      <c r="A1274" t="s">
        <v>1039</v>
      </c>
      <c r="B1274" t="s">
        <v>231</v>
      </c>
      <c r="C1274">
        <v>28</v>
      </c>
      <c r="D1274" s="1">
        <v>45859</v>
      </c>
      <c r="E1274">
        <v>7700</v>
      </c>
      <c r="F1274" t="s">
        <v>1055</v>
      </c>
      <c r="G1274">
        <v>1645</v>
      </c>
    </row>
    <row r="1275" spans="1:7" x14ac:dyDescent="0.3">
      <c r="A1275" t="s">
        <v>1039</v>
      </c>
      <c r="B1275" t="s">
        <v>309</v>
      </c>
      <c r="C1275">
        <v>28</v>
      </c>
      <c r="D1275" s="1">
        <v>45860</v>
      </c>
      <c r="E1275">
        <v>7700</v>
      </c>
      <c r="F1275" t="s">
        <v>1064</v>
      </c>
      <c r="G1275">
        <v>1520</v>
      </c>
    </row>
    <row r="1276" spans="1:7" x14ac:dyDescent="0.3">
      <c r="A1276" t="s">
        <v>1039</v>
      </c>
      <c r="B1276" t="s">
        <v>309</v>
      </c>
      <c r="C1276">
        <v>28</v>
      </c>
      <c r="D1276" s="1">
        <v>45860</v>
      </c>
      <c r="E1276">
        <v>7700</v>
      </c>
      <c r="F1276" t="s">
        <v>1071</v>
      </c>
      <c r="G1276">
        <v>1521</v>
      </c>
    </row>
    <row r="1277" spans="1:7" x14ac:dyDescent="0.3">
      <c r="A1277" t="s">
        <v>1039</v>
      </c>
      <c r="B1277" t="s">
        <v>309</v>
      </c>
      <c r="C1277">
        <v>28</v>
      </c>
      <c r="D1277" s="1">
        <v>45856</v>
      </c>
      <c r="E1277">
        <v>7700</v>
      </c>
      <c r="F1277" t="s">
        <v>1106</v>
      </c>
      <c r="G1277">
        <v>1527</v>
      </c>
    </row>
    <row r="1278" spans="1:7" x14ac:dyDescent="0.3">
      <c r="A1278" t="s">
        <v>1039</v>
      </c>
      <c r="B1278" t="s">
        <v>309</v>
      </c>
      <c r="C1278">
        <v>28</v>
      </c>
      <c r="D1278" s="1">
        <v>45859</v>
      </c>
      <c r="E1278">
        <v>7700</v>
      </c>
      <c r="F1278" t="s">
        <v>1162</v>
      </c>
      <c r="G1278">
        <v>1436</v>
      </c>
    </row>
    <row r="1279" spans="1:7" x14ac:dyDescent="0.3">
      <c r="A1279" t="s">
        <v>1039</v>
      </c>
      <c r="B1279" t="s">
        <v>309</v>
      </c>
      <c r="C1279">
        <v>28</v>
      </c>
      <c r="D1279" s="1">
        <v>45858</v>
      </c>
      <c r="E1279">
        <v>7700</v>
      </c>
      <c r="F1279" t="s">
        <v>1177</v>
      </c>
      <c r="G1279">
        <v>1468</v>
      </c>
    </row>
    <row r="1280" spans="1:7" x14ac:dyDescent="0.3">
      <c r="A1280" t="s">
        <v>1039</v>
      </c>
      <c r="B1280" t="s">
        <v>310</v>
      </c>
      <c r="C1280">
        <v>28</v>
      </c>
      <c r="D1280" s="1">
        <v>45858</v>
      </c>
      <c r="E1280">
        <v>7700</v>
      </c>
      <c r="F1280" t="s">
        <v>1192</v>
      </c>
      <c r="G1280">
        <v>1393</v>
      </c>
    </row>
    <row r="1281" spans="1:7" x14ac:dyDescent="0.3">
      <c r="A1281" t="s">
        <v>1039</v>
      </c>
      <c r="B1281" t="s">
        <v>309</v>
      </c>
      <c r="C1281">
        <v>28</v>
      </c>
      <c r="D1281" s="1">
        <v>45858</v>
      </c>
      <c r="E1281">
        <v>7700</v>
      </c>
      <c r="F1281" t="s">
        <v>1212</v>
      </c>
      <c r="G1281">
        <v>1371</v>
      </c>
    </row>
    <row r="1282" spans="1:7" x14ac:dyDescent="0.3">
      <c r="A1282" t="s">
        <v>1039</v>
      </c>
      <c r="B1282" t="s">
        <v>309</v>
      </c>
      <c r="C1282">
        <v>28</v>
      </c>
      <c r="D1282" s="1">
        <v>45857</v>
      </c>
      <c r="E1282">
        <v>7700</v>
      </c>
      <c r="F1282" t="s">
        <v>1227</v>
      </c>
      <c r="G1282">
        <v>1352</v>
      </c>
    </row>
    <row r="1283" spans="1:7" x14ac:dyDescent="0.3">
      <c r="A1283" t="s">
        <v>1039</v>
      </c>
      <c r="B1283" t="s">
        <v>230</v>
      </c>
      <c r="C1283">
        <v>28</v>
      </c>
      <c r="D1283" s="1">
        <v>45857</v>
      </c>
      <c r="E1283">
        <v>7700</v>
      </c>
      <c r="F1283" t="s">
        <v>1263</v>
      </c>
      <c r="G1283">
        <v>1315</v>
      </c>
    </row>
    <row r="1284" spans="1:7" x14ac:dyDescent="0.3">
      <c r="A1284" t="s">
        <v>1039</v>
      </c>
      <c r="B1284" t="s">
        <v>228</v>
      </c>
      <c r="C1284">
        <v>28</v>
      </c>
      <c r="D1284" s="1">
        <v>45855</v>
      </c>
      <c r="E1284">
        <v>7700</v>
      </c>
      <c r="F1284" t="s">
        <v>1268</v>
      </c>
      <c r="G1284">
        <v>1353</v>
      </c>
    </row>
    <row r="1285" spans="1:7" x14ac:dyDescent="0.3">
      <c r="A1285" t="s">
        <v>1039</v>
      </c>
      <c r="B1285" t="s">
        <v>235</v>
      </c>
      <c r="C1285">
        <v>28</v>
      </c>
      <c r="D1285" s="1">
        <v>45856</v>
      </c>
      <c r="E1285">
        <v>7700</v>
      </c>
      <c r="F1285" t="s">
        <v>1336</v>
      </c>
      <c r="G1285">
        <v>1361</v>
      </c>
    </row>
    <row r="1286" spans="1:7" x14ac:dyDescent="0.3">
      <c r="A1286" t="s">
        <v>1039</v>
      </c>
      <c r="B1286" t="s">
        <v>309</v>
      </c>
      <c r="C1286">
        <v>28</v>
      </c>
      <c r="D1286" s="1">
        <v>45855</v>
      </c>
      <c r="E1286">
        <v>7700</v>
      </c>
      <c r="F1286" t="s">
        <v>1382</v>
      </c>
      <c r="G1286">
        <v>1322</v>
      </c>
    </row>
    <row r="1287" spans="1:7" x14ac:dyDescent="0.3">
      <c r="A1287" t="s">
        <v>1039</v>
      </c>
      <c r="B1287" t="s">
        <v>313</v>
      </c>
      <c r="C1287">
        <v>28</v>
      </c>
      <c r="D1287" s="1">
        <v>45855</v>
      </c>
      <c r="E1287">
        <v>7700</v>
      </c>
      <c r="F1287" t="s">
        <v>1388</v>
      </c>
      <c r="G1287">
        <v>1213</v>
      </c>
    </row>
    <row r="1288" spans="1:7" x14ac:dyDescent="0.3">
      <c r="A1288" t="s">
        <v>1039</v>
      </c>
      <c r="B1288" t="s">
        <v>229</v>
      </c>
      <c r="C1288">
        <v>28</v>
      </c>
      <c r="D1288" s="1">
        <v>45854</v>
      </c>
      <c r="E1288">
        <v>7700</v>
      </c>
      <c r="F1288" t="s">
        <v>1413</v>
      </c>
      <c r="G1288">
        <v>1289</v>
      </c>
    </row>
    <row r="1289" spans="1:7" x14ac:dyDescent="0.3">
      <c r="A1289" t="s">
        <v>1039</v>
      </c>
      <c r="B1289" t="s">
        <v>231</v>
      </c>
      <c r="C1289">
        <v>28</v>
      </c>
      <c r="D1289" s="1">
        <v>45854</v>
      </c>
      <c r="E1289">
        <v>7700</v>
      </c>
      <c r="F1289" t="s">
        <v>1433</v>
      </c>
      <c r="G1289">
        <v>1193</v>
      </c>
    </row>
    <row r="1290" spans="1:7" x14ac:dyDescent="0.3">
      <c r="A1290" t="s">
        <v>1039</v>
      </c>
      <c r="B1290" t="s">
        <v>234</v>
      </c>
      <c r="C1290">
        <v>28</v>
      </c>
      <c r="D1290" s="1">
        <v>45853</v>
      </c>
      <c r="E1290">
        <v>7700</v>
      </c>
      <c r="F1290" t="s">
        <v>1602</v>
      </c>
      <c r="G1290">
        <v>1842</v>
      </c>
    </row>
    <row r="1291" spans="1:7" x14ac:dyDescent="0.3">
      <c r="A1291" t="s">
        <v>1039</v>
      </c>
      <c r="B1291" t="s">
        <v>310</v>
      </c>
      <c r="C1291">
        <v>28</v>
      </c>
      <c r="D1291" s="1">
        <v>45857</v>
      </c>
      <c r="E1291">
        <v>0</v>
      </c>
      <c r="F1291" t="s">
        <v>1180</v>
      </c>
      <c r="G1291">
        <v>1402</v>
      </c>
    </row>
    <row r="1292" spans="1:7" x14ac:dyDescent="0.3">
      <c r="A1292" t="s">
        <v>1039</v>
      </c>
      <c r="B1292" t="s">
        <v>231</v>
      </c>
      <c r="C1292">
        <v>28</v>
      </c>
      <c r="D1292" s="1">
        <v>45856</v>
      </c>
      <c r="E1292">
        <v>0</v>
      </c>
      <c r="F1292" t="s">
        <v>1327</v>
      </c>
      <c r="G1292">
        <v>1339</v>
      </c>
    </row>
    <row r="1293" spans="1:7" x14ac:dyDescent="0.3">
      <c r="A1293" t="s">
        <v>1039</v>
      </c>
      <c r="B1293" t="s">
        <v>226</v>
      </c>
      <c r="C1293">
        <v>28</v>
      </c>
      <c r="D1293" s="1">
        <v>45855</v>
      </c>
      <c r="E1293">
        <v>0</v>
      </c>
      <c r="F1293" t="s">
        <v>1477</v>
      </c>
      <c r="G1293">
        <v>1238</v>
      </c>
    </row>
    <row r="1294" spans="1:7" x14ac:dyDescent="0.3">
      <c r="A1294" t="s">
        <v>1039</v>
      </c>
      <c r="B1294" t="s">
        <v>224</v>
      </c>
      <c r="C1294">
        <v>29</v>
      </c>
      <c r="D1294" s="1">
        <v>45854</v>
      </c>
      <c r="E1294">
        <v>480700</v>
      </c>
      <c r="F1294" t="s">
        <v>1454</v>
      </c>
      <c r="G1294">
        <v>1130</v>
      </c>
    </row>
    <row r="1295" spans="1:7" x14ac:dyDescent="0.3">
      <c r="A1295" t="s">
        <v>1039</v>
      </c>
      <c r="B1295" t="s">
        <v>231</v>
      </c>
      <c r="C1295">
        <v>29</v>
      </c>
      <c r="D1295" s="1">
        <v>45857</v>
      </c>
      <c r="E1295">
        <v>95700</v>
      </c>
      <c r="F1295" t="s">
        <v>1125</v>
      </c>
      <c r="G1295">
        <v>1467</v>
      </c>
    </row>
    <row r="1296" spans="1:7" x14ac:dyDescent="0.3">
      <c r="A1296" t="s">
        <v>1039</v>
      </c>
      <c r="B1296" t="s">
        <v>236</v>
      </c>
      <c r="C1296">
        <v>29</v>
      </c>
      <c r="D1296" s="1">
        <v>45856</v>
      </c>
      <c r="E1296">
        <v>29700</v>
      </c>
      <c r="F1296" t="s">
        <v>1284</v>
      </c>
      <c r="G1296">
        <v>1301</v>
      </c>
    </row>
    <row r="1297" spans="1:7" x14ac:dyDescent="0.3">
      <c r="A1297" t="s">
        <v>1039</v>
      </c>
      <c r="B1297" t="s">
        <v>231</v>
      </c>
      <c r="C1297">
        <v>29</v>
      </c>
      <c r="D1297" s="1">
        <v>45857</v>
      </c>
      <c r="E1297">
        <v>11000</v>
      </c>
      <c r="F1297" t="s">
        <v>1134</v>
      </c>
      <c r="G1297">
        <v>1547</v>
      </c>
    </row>
    <row r="1298" spans="1:7" x14ac:dyDescent="0.3">
      <c r="A1298" t="s">
        <v>1039</v>
      </c>
      <c r="B1298" t="s">
        <v>226</v>
      </c>
      <c r="C1298">
        <v>29</v>
      </c>
      <c r="D1298" s="1">
        <v>45856</v>
      </c>
      <c r="E1298">
        <v>7700</v>
      </c>
      <c r="F1298" t="s">
        <v>1044</v>
      </c>
      <c r="G1298">
        <v>1572</v>
      </c>
    </row>
    <row r="1299" spans="1:7" x14ac:dyDescent="0.3">
      <c r="A1299" t="s">
        <v>1039</v>
      </c>
      <c r="B1299" t="s">
        <v>226</v>
      </c>
      <c r="C1299">
        <v>29</v>
      </c>
      <c r="D1299" s="1">
        <v>45858</v>
      </c>
      <c r="E1299">
        <v>7700</v>
      </c>
      <c r="F1299" t="s">
        <v>1130</v>
      </c>
      <c r="G1299">
        <v>1551</v>
      </c>
    </row>
    <row r="1300" spans="1:7" x14ac:dyDescent="0.3">
      <c r="A1300" t="s">
        <v>1039</v>
      </c>
      <c r="B1300" t="s">
        <v>309</v>
      </c>
      <c r="C1300">
        <v>29</v>
      </c>
      <c r="D1300" s="1">
        <v>45858</v>
      </c>
      <c r="E1300">
        <v>7700</v>
      </c>
      <c r="F1300" t="s">
        <v>1157</v>
      </c>
      <c r="G1300">
        <v>1450</v>
      </c>
    </row>
    <row r="1301" spans="1:7" x14ac:dyDescent="0.3">
      <c r="A1301" t="s">
        <v>1039</v>
      </c>
      <c r="B1301" t="s">
        <v>310</v>
      </c>
      <c r="C1301">
        <v>29</v>
      </c>
      <c r="D1301" s="1">
        <v>45857</v>
      </c>
      <c r="E1301">
        <v>7700</v>
      </c>
      <c r="F1301" t="s">
        <v>1163</v>
      </c>
      <c r="G1301">
        <v>1442</v>
      </c>
    </row>
    <row r="1302" spans="1:7" x14ac:dyDescent="0.3">
      <c r="A1302" t="s">
        <v>1039</v>
      </c>
      <c r="B1302" t="s">
        <v>224</v>
      </c>
      <c r="C1302">
        <v>29</v>
      </c>
      <c r="D1302" s="1">
        <v>45856</v>
      </c>
      <c r="E1302">
        <v>7700</v>
      </c>
      <c r="F1302" t="s">
        <v>1185</v>
      </c>
      <c r="G1302">
        <v>1492</v>
      </c>
    </row>
    <row r="1303" spans="1:7" x14ac:dyDescent="0.3">
      <c r="A1303" t="s">
        <v>1039</v>
      </c>
      <c r="B1303" t="s">
        <v>309</v>
      </c>
      <c r="C1303">
        <v>29</v>
      </c>
      <c r="D1303" s="1">
        <v>45856</v>
      </c>
      <c r="E1303">
        <v>7700</v>
      </c>
      <c r="F1303" t="s">
        <v>1317</v>
      </c>
      <c r="G1303">
        <v>1266</v>
      </c>
    </row>
    <row r="1304" spans="1:7" x14ac:dyDescent="0.3">
      <c r="A1304" t="s">
        <v>1039</v>
      </c>
      <c r="B1304" t="s">
        <v>310</v>
      </c>
      <c r="C1304">
        <v>29</v>
      </c>
      <c r="D1304" s="1">
        <v>45855</v>
      </c>
      <c r="E1304">
        <v>7700</v>
      </c>
      <c r="F1304" t="s">
        <v>1328</v>
      </c>
      <c r="G1304">
        <v>1280</v>
      </c>
    </row>
    <row r="1305" spans="1:7" x14ac:dyDescent="0.3">
      <c r="A1305" t="s">
        <v>1039</v>
      </c>
      <c r="B1305" t="s">
        <v>229</v>
      </c>
      <c r="C1305">
        <v>29</v>
      </c>
      <c r="D1305" s="1">
        <v>45855</v>
      </c>
      <c r="E1305">
        <v>7700</v>
      </c>
      <c r="F1305" t="s">
        <v>1366</v>
      </c>
      <c r="G1305">
        <v>1229</v>
      </c>
    </row>
    <row r="1306" spans="1:7" x14ac:dyDescent="0.3">
      <c r="A1306" t="s">
        <v>1039</v>
      </c>
      <c r="B1306" t="s">
        <v>234</v>
      </c>
      <c r="C1306">
        <v>29</v>
      </c>
      <c r="D1306" s="1">
        <v>45854</v>
      </c>
      <c r="E1306">
        <v>7700</v>
      </c>
      <c r="F1306" t="s">
        <v>1438</v>
      </c>
      <c r="G1306">
        <v>1137</v>
      </c>
    </row>
    <row r="1307" spans="1:7" x14ac:dyDescent="0.3">
      <c r="A1307" t="s">
        <v>1039</v>
      </c>
      <c r="B1307" t="s">
        <v>231</v>
      </c>
      <c r="C1307">
        <v>29</v>
      </c>
      <c r="D1307" s="1">
        <v>45854</v>
      </c>
      <c r="E1307">
        <v>7700</v>
      </c>
      <c r="F1307" t="s">
        <v>1448</v>
      </c>
      <c r="G1307">
        <v>1137</v>
      </c>
    </row>
    <row r="1308" spans="1:7" x14ac:dyDescent="0.3">
      <c r="A1308" t="s">
        <v>1039</v>
      </c>
      <c r="B1308" t="s">
        <v>310</v>
      </c>
      <c r="C1308">
        <v>29</v>
      </c>
      <c r="D1308" s="1">
        <v>45856</v>
      </c>
      <c r="E1308">
        <v>0</v>
      </c>
      <c r="F1308" t="s">
        <v>1217</v>
      </c>
      <c r="G1308">
        <v>1360</v>
      </c>
    </row>
    <row r="1309" spans="1:7" x14ac:dyDescent="0.3">
      <c r="A1309" t="s">
        <v>1039</v>
      </c>
      <c r="B1309" t="s">
        <v>229</v>
      </c>
      <c r="C1309">
        <v>29</v>
      </c>
      <c r="D1309" s="1">
        <v>45857</v>
      </c>
      <c r="E1309">
        <v>0</v>
      </c>
      <c r="F1309" t="s">
        <v>1238</v>
      </c>
      <c r="G1309">
        <v>1369</v>
      </c>
    </row>
    <row r="1310" spans="1:7" x14ac:dyDescent="0.3">
      <c r="A1310" t="s">
        <v>1039</v>
      </c>
      <c r="B1310" t="s">
        <v>226</v>
      </c>
      <c r="C1310">
        <v>30</v>
      </c>
      <c r="D1310" s="1">
        <v>45857</v>
      </c>
      <c r="E1310">
        <v>7700</v>
      </c>
      <c r="F1310" t="s">
        <v>1072</v>
      </c>
      <c r="G1310">
        <v>1529</v>
      </c>
    </row>
    <row r="1311" spans="1:7" x14ac:dyDescent="0.3">
      <c r="A1311" t="s">
        <v>1039</v>
      </c>
      <c r="B1311" t="s">
        <v>226</v>
      </c>
      <c r="C1311">
        <v>30</v>
      </c>
      <c r="D1311" s="1">
        <v>45857</v>
      </c>
      <c r="E1311">
        <v>7700</v>
      </c>
      <c r="F1311" t="s">
        <v>1146</v>
      </c>
      <c r="G1311">
        <v>1540</v>
      </c>
    </row>
    <row r="1312" spans="1:7" x14ac:dyDescent="0.3">
      <c r="A1312" t="s">
        <v>1039</v>
      </c>
      <c r="B1312" t="s">
        <v>226</v>
      </c>
      <c r="C1312">
        <v>30</v>
      </c>
      <c r="D1312" s="1">
        <v>45853</v>
      </c>
      <c r="E1312">
        <v>7700</v>
      </c>
      <c r="F1312" t="s">
        <v>1155</v>
      </c>
      <c r="G1312">
        <v>1847</v>
      </c>
    </row>
    <row r="1313" spans="1:7" x14ac:dyDescent="0.3">
      <c r="A1313" t="s">
        <v>1039</v>
      </c>
      <c r="B1313" t="s">
        <v>309</v>
      </c>
      <c r="C1313">
        <v>30</v>
      </c>
      <c r="D1313" s="1">
        <v>45854</v>
      </c>
      <c r="E1313">
        <v>7700</v>
      </c>
      <c r="F1313" t="s">
        <v>1158</v>
      </c>
      <c r="G1313">
        <v>1462</v>
      </c>
    </row>
    <row r="1314" spans="1:7" x14ac:dyDescent="0.3">
      <c r="A1314" t="s">
        <v>1039</v>
      </c>
      <c r="B1314" t="s">
        <v>224</v>
      </c>
      <c r="C1314">
        <v>30</v>
      </c>
      <c r="D1314" s="1">
        <v>45855</v>
      </c>
      <c r="E1314">
        <v>7700</v>
      </c>
      <c r="F1314" t="s">
        <v>1205</v>
      </c>
      <c r="G1314">
        <v>1391</v>
      </c>
    </row>
    <row r="1315" spans="1:7" x14ac:dyDescent="0.3">
      <c r="A1315" t="s">
        <v>1039</v>
      </c>
      <c r="B1315" t="s">
        <v>311</v>
      </c>
      <c r="C1315">
        <v>30</v>
      </c>
      <c r="D1315" s="1">
        <v>45855</v>
      </c>
      <c r="E1315">
        <v>7700</v>
      </c>
      <c r="F1315" t="s">
        <v>1235</v>
      </c>
      <c r="G1315">
        <v>1520</v>
      </c>
    </row>
    <row r="1316" spans="1:7" x14ac:dyDescent="0.3">
      <c r="A1316" t="s">
        <v>1039</v>
      </c>
      <c r="B1316" t="s">
        <v>224</v>
      </c>
      <c r="C1316">
        <v>30</v>
      </c>
      <c r="D1316" s="1">
        <v>45855</v>
      </c>
      <c r="E1316">
        <v>7700</v>
      </c>
      <c r="F1316" t="s">
        <v>1265</v>
      </c>
      <c r="G1316">
        <v>1408</v>
      </c>
    </row>
    <row r="1317" spans="1:7" x14ac:dyDescent="0.3">
      <c r="A1317" t="s">
        <v>1039</v>
      </c>
      <c r="B1317" t="s">
        <v>231</v>
      </c>
      <c r="C1317">
        <v>30</v>
      </c>
      <c r="D1317" s="1">
        <v>45858</v>
      </c>
      <c r="E1317">
        <v>0</v>
      </c>
      <c r="F1317">
        <v>6005</v>
      </c>
      <c r="G1317">
        <v>1530</v>
      </c>
    </row>
    <row r="1318" spans="1:7" x14ac:dyDescent="0.3">
      <c r="A1318" t="s">
        <v>1039</v>
      </c>
      <c r="B1318" t="s">
        <v>309</v>
      </c>
      <c r="C1318">
        <v>30</v>
      </c>
      <c r="D1318" s="1">
        <v>45858</v>
      </c>
      <c r="E1318">
        <v>0</v>
      </c>
      <c r="F1318" t="s">
        <v>1091</v>
      </c>
      <c r="G1318">
        <v>1517</v>
      </c>
    </row>
    <row r="1319" spans="1:7" x14ac:dyDescent="0.3">
      <c r="A1319" t="s">
        <v>1039</v>
      </c>
      <c r="B1319" t="s">
        <v>224</v>
      </c>
      <c r="C1319">
        <v>30</v>
      </c>
      <c r="D1319" s="1">
        <v>45857</v>
      </c>
      <c r="E1319">
        <v>0</v>
      </c>
      <c r="F1319" t="s">
        <v>1117</v>
      </c>
      <c r="G1319">
        <v>1467</v>
      </c>
    </row>
    <row r="1320" spans="1:7" x14ac:dyDescent="0.3">
      <c r="A1320" t="s">
        <v>1039</v>
      </c>
      <c r="B1320" t="s">
        <v>224</v>
      </c>
      <c r="C1320">
        <v>30</v>
      </c>
      <c r="D1320" s="1">
        <v>45854</v>
      </c>
      <c r="E1320">
        <v>0</v>
      </c>
      <c r="F1320" t="s">
        <v>1367</v>
      </c>
      <c r="G1320">
        <v>1241</v>
      </c>
    </row>
    <row r="1321" spans="1:7" x14ac:dyDescent="0.3">
      <c r="A1321" t="s">
        <v>1039</v>
      </c>
      <c r="B1321" t="s">
        <v>231</v>
      </c>
      <c r="C1321">
        <v>31</v>
      </c>
      <c r="D1321" s="1">
        <v>45856</v>
      </c>
      <c r="E1321">
        <v>117700</v>
      </c>
      <c r="F1321" t="s">
        <v>1145</v>
      </c>
      <c r="G1321">
        <v>2121</v>
      </c>
    </row>
    <row r="1322" spans="1:7" x14ac:dyDescent="0.3">
      <c r="A1322" t="s">
        <v>1039</v>
      </c>
      <c r="B1322" t="s">
        <v>226</v>
      </c>
      <c r="C1322">
        <v>31</v>
      </c>
      <c r="D1322" s="1">
        <v>45854</v>
      </c>
      <c r="E1322">
        <v>8800</v>
      </c>
      <c r="F1322" t="s">
        <v>1139</v>
      </c>
      <c r="G1322">
        <v>1453</v>
      </c>
    </row>
    <row r="1323" spans="1:7" x14ac:dyDescent="0.3">
      <c r="A1323" t="s">
        <v>1039</v>
      </c>
      <c r="B1323" t="s">
        <v>224</v>
      </c>
      <c r="C1323">
        <v>31</v>
      </c>
      <c r="D1323" s="1">
        <v>45857</v>
      </c>
      <c r="E1323">
        <v>7700</v>
      </c>
      <c r="F1323" t="s">
        <v>1053</v>
      </c>
      <c r="G1323">
        <v>1562</v>
      </c>
    </row>
    <row r="1324" spans="1:7" x14ac:dyDescent="0.3">
      <c r="A1324" t="s">
        <v>1039</v>
      </c>
      <c r="B1324" t="s">
        <v>229</v>
      </c>
      <c r="C1324">
        <v>31</v>
      </c>
      <c r="D1324" s="1">
        <v>45857</v>
      </c>
      <c r="E1324">
        <v>7700</v>
      </c>
      <c r="F1324" t="s">
        <v>1060</v>
      </c>
      <c r="G1324">
        <v>1565</v>
      </c>
    </row>
    <row r="1325" spans="1:7" x14ac:dyDescent="0.3">
      <c r="A1325" t="s">
        <v>1039</v>
      </c>
      <c r="B1325" t="s">
        <v>309</v>
      </c>
      <c r="C1325">
        <v>31</v>
      </c>
      <c r="D1325" s="1">
        <v>45855</v>
      </c>
      <c r="E1325">
        <v>7700</v>
      </c>
      <c r="F1325" t="s">
        <v>1124</v>
      </c>
      <c r="G1325">
        <v>1459</v>
      </c>
    </row>
    <row r="1326" spans="1:7" x14ac:dyDescent="0.3">
      <c r="A1326" t="s">
        <v>1039</v>
      </c>
      <c r="B1326" t="s">
        <v>231</v>
      </c>
      <c r="C1326">
        <v>31</v>
      </c>
      <c r="D1326" s="1">
        <v>45855</v>
      </c>
      <c r="E1326">
        <v>7700</v>
      </c>
      <c r="F1326" t="s">
        <v>1193</v>
      </c>
      <c r="G1326">
        <v>1717</v>
      </c>
    </row>
    <row r="1327" spans="1:7" x14ac:dyDescent="0.3">
      <c r="A1327" t="s">
        <v>1039</v>
      </c>
      <c r="B1327" t="s">
        <v>309</v>
      </c>
      <c r="C1327">
        <v>31</v>
      </c>
      <c r="D1327" s="1">
        <v>45854</v>
      </c>
      <c r="E1327">
        <v>0</v>
      </c>
      <c r="F1327" t="s">
        <v>1168</v>
      </c>
      <c r="G1327">
        <v>1440</v>
      </c>
    </row>
    <row r="1328" spans="1:7" x14ac:dyDescent="0.3">
      <c r="A1328" t="s">
        <v>1039</v>
      </c>
      <c r="B1328" t="s">
        <v>229</v>
      </c>
      <c r="C1328">
        <v>31</v>
      </c>
      <c r="D1328" s="1">
        <v>45853</v>
      </c>
      <c r="E1328">
        <v>0</v>
      </c>
      <c r="F1328" t="s">
        <v>1313</v>
      </c>
      <c r="G1328">
        <v>1847</v>
      </c>
    </row>
    <row r="1329" spans="1:7" x14ac:dyDescent="0.3">
      <c r="A1329" t="s">
        <v>1039</v>
      </c>
      <c r="B1329" t="s">
        <v>312</v>
      </c>
      <c r="C1329">
        <v>32</v>
      </c>
      <c r="D1329" s="1">
        <v>45856</v>
      </c>
      <c r="E1329">
        <v>7700</v>
      </c>
      <c r="F1329" t="s">
        <v>1047</v>
      </c>
      <c r="G1329">
        <v>1544</v>
      </c>
    </row>
    <row r="1330" spans="1:7" x14ac:dyDescent="0.3">
      <c r="A1330" t="s">
        <v>1039</v>
      </c>
      <c r="B1330" t="s">
        <v>231</v>
      </c>
      <c r="C1330">
        <v>32</v>
      </c>
      <c r="D1330" s="1">
        <v>45855</v>
      </c>
      <c r="E1330">
        <v>7700</v>
      </c>
      <c r="F1330" t="s">
        <v>1143</v>
      </c>
      <c r="G1330">
        <v>1450</v>
      </c>
    </row>
    <row r="1331" spans="1:7" x14ac:dyDescent="0.3">
      <c r="A1331" t="s">
        <v>1039</v>
      </c>
      <c r="B1331" t="s">
        <v>231</v>
      </c>
      <c r="C1331">
        <v>32</v>
      </c>
      <c r="D1331" s="1">
        <v>45854</v>
      </c>
      <c r="E1331">
        <v>7700</v>
      </c>
      <c r="F1331" t="s">
        <v>1200</v>
      </c>
      <c r="G1331">
        <v>1561</v>
      </c>
    </row>
    <row r="1332" spans="1:7" x14ac:dyDescent="0.3">
      <c r="A1332" t="s">
        <v>1039</v>
      </c>
      <c r="B1332" t="s">
        <v>226</v>
      </c>
      <c r="C1332">
        <v>32</v>
      </c>
      <c r="D1332" s="1">
        <v>45853</v>
      </c>
      <c r="E1332">
        <v>7700</v>
      </c>
      <c r="F1332" t="s">
        <v>1301</v>
      </c>
      <c r="G1332">
        <v>1881</v>
      </c>
    </row>
    <row r="1333" spans="1:7" x14ac:dyDescent="0.3">
      <c r="A1333" t="s">
        <v>1039</v>
      </c>
      <c r="B1333" t="s">
        <v>310</v>
      </c>
      <c r="C1333">
        <v>33</v>
      </c>
      <c r="D1333" s="1">
        <v>45673</v>
      </c>
      <c r="E1333">
        <v>8800</v>
      </c>
      <c r="F1333" t="s">
        <v>1194</v>
      </c>
      <c r="G1333">
        <v>1918</v>
      </c>
    </row>
    <row r="1334" spans="1:7" x14ac:dyDescent="0.3">
      <c r="A1334" t="s">
        <v>1039</v>
      </c>
      <c r="B1334" t="s">
        <v>231</v>
      </c>
      <c r="C1334">
        <v>33</v>
      </c>
      <c r="D1334" s="1">
        <v>45854</v>
      </c>
      <c r="E1334">
        <v>7700</v>
      </c>
      <c r="F1334" t="s">
        <v>1075</v>
      </c>
      <c r="G1334">
        <v>1555</v>
      </c>
    </row>
    <row r="1335" spans="1:7" x14ac:dyDescent="0.3">
      <c r="A1335" t="s">
        <v>1039</v>
      </c>
      <c r="B1335" t="s">
        <v>314</v>
      </c>
      <c r="C1335">
        <v>33</v>
      </c>
      <c r="D1335" s="1">
        <v>45567</v>
      </c>
      <c r="E1335">
        <v>7700</v>
      </c>
      <c r="F1335" t="s">
        <v>1769</v>
      </c>
      <c r="G1335">
        <v>1846</v>
      </c>
    </row>
    <row r="1336" spans="1:7" x14ac:dyDescent="0.3">
      <c r="A1336" t="s">
        <v>1039</v>
      </c>
      <c r="B1336" t="s">
        <v>310</v>
      </c>
      <c r="C1336">
        <v>40</v>
      </c>
      <c r="D1336" s="1">
        <v>45564</v>
      </c>
      <c r="E1336">
        <v>7700</v>
      </c>
      <c r="F1336" t="s">
        <v>1662</v>
      </c>
      <c r="G1336">
        <v>1840</v>
      </c>
    </row>
    <row r="1337" spans="1:7" x14ac:dyDescent="0.3">
      <c r="A1337" t="s">
        <v>1039</v>
      </c>
      <c r="B1337" t="s">
        <v>310</v>
      </c>
      <c r="C1337">
        <v>42</v>
      </c>
      <c r="D1337" s="1">
        <v>45837</v>
      </c>
      <c r="E1337">
        <v>22000</v>
      </c>
      <c r="F1337" t="s">
        <v>1667</v>
      </c>
      <c r="G1337">
        <v>1873</v>
      </c>
    </row>
    <row r="1338" spans="1:7" x14ac:dyDescent="0.3">
      <c r="A1338" t="s">
        <v>1039</v>
      </c>
      <c r="B1338" t="s">
        <v>229</v>
      </c>
      <c r="C1338">
        <v>44</v>
      </c>
      <c r="D1338" s="1">
        <v>45830</v>
      </c>
      <c r="E1338">
        <v>7700</v>
      </c>
      <c r="F1338" t="s">
        <v>1744</v>
      </c>
      <c r="G1338">
        <v>1903</v>
      </c>
    </row>
  </sheetData>
  <sortState xmlns:xlrd2="http://schemas.microsoft.com/office/spreadsheetml/2017/richdata2" ref="A2:G1338">
    <sortCondition ref="C2:C1338"/>
  </sortState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B3760-F44D-4E73-8B0C-3FB28B0FB269}">
  <dimension ref="A1:T717"/>
  <sheetViews>
    <sheetView workbookViewId="0">
      <selection activeCell="P28" sqref="P28:T28"/>
    </sheetView>
  </sheetViews>
  <sheetFormatPr defaultRowHeight="16.5" x14ac:dyDescent="0.3"/>
  <cols>
    <col min="1" max="1" width="24" bestFit="1" customWidth="1"/>
    <col min="4" max="4" width="11.125" bestFit="1" customWidth="1"/>
    <col min="10" max="10" width="11.875" bestFit="1" customWidth="1"/>
    <col min="11" max="11" width="10.875" bestFit="1" customWidth="1"/>
    <col min="13" max="13" width="13" bestFit="1" customWidth="1"/>
    <col min="14" max="14" width="14.375" bestFit="1" customWidth="1"/>
    <col min="15" max="15" width="14.5" bestFit="1" customWidth="1"/>
    <col min="16" max="16" width="13" bestFit="1" customWidth="1"/>
    <col min="17" max="17" width="16.5" bestFit="1" customWidth="1"/>
    <col min="18" max="18" width="14.5" bestFit="1" customWidth="1"/>
    <col min="19" max="19" width="14.375" bestFit="1" customWidth="1"/>
    <col min="20" max="20" width="14.5" bestFit="1" customWidth="1"/>
    <col min="21" max="21" width="14.375" bestFit="1" customWidth="1"/>
    <col min="22" max="22" width="16.5" bestFit="1" customWidth="1"/>
  </cols>
  <sheetData>
    <row r="1" spans="1:20" x14ac:dyDescent="0.3">
      <c r="A1" t="s">
        <v>433</v>
      </c>
      <c r="B1" t="s">
        <v>226</v>
      </c>
      <c r="C1">
        <v>3</v>
      </c>
      <c r="D1" s="1">
        <v>45875</v>
      </c>
      <c r="E1">
        <v>770000</v>
      </c>
      <c r="F1" t="s">
        <v>337</v>
      </c>
      <c r="G1">
        <v>245</v>
      </c>
      <c r="I1" t="s">
        <v>1772</v>
      </c>
      <c r="J1" t="s">
        <v>1773</v>
      </c>
    </row>
    <row r="2" spans="1:20" x14ac:dyDescent="0.3">
      <c r="A2" t="s">
        <v>433</v>
      </c>
      <c r="B2" t="s">
        <v>224</v>
      </c>
      <c r="C2">
        <v>4</v>
      </c>
      <c r="D2" s="1">
        <v>45882</v>
      </c>
      <c r="E2">
        <v>895400</v>
      </c>
      <c r="F2" t="s">
        <v>322</v>
      </c>
      <c r="G2">
        <v>638</v>
      </c>
      <c r="I2">
        <f>COUNTA(A:A)</f>
        <v>717</v>
      </c>
      <c r="J2" s="9">
        <f>SUM(E:E)</f>
        <v>79344100</v>
      </c>
      <c r="K2" s="9">
        <v>10000</v>
      </c>
      <c r="L2" cm="1">
        <f t="array" ref="L2:L18">FREQUENCY(E:E, K2:K29)</f>
        <v>252</v>
      </c>
      <c r="M2" s="9">
        <f>J$2*N2</f>
        <v>27886629.288702928</v>
      </c>
      <c r="N2" s="11">
        <f>L2/I$2</f>
        <v>0.35146443514644349</v>
      </c>
      <c r="P2" s="15" t="s">
        <v>1804</v>
      </c>
      <c r="Q2" t="s">
        <v>1814</v>
      </c>
      <c r="R2" t="s">
        <v>1811</v>
      </c>
      <c r="S2" t="s">
        <v>1810</v>
      </c>
      <c r="T2" t="s">
        <v>1834</v>
      </c>
    </row>
    <row r="3" spans="1:20" x14ac:dyDescent="0.3">
      <c r="A3" t="s">
        <v>433</v>
      </c>
      <c r="B3" t="s">
        <v>226</v>
      </c>
      <c r="C3">
        <v>4</v>
      </c>
      <c r="D3" s="1">
        <v>45873</v>
      </c>
      <c r="E3">
        <v>667700</v>
      </c>
      <c r="F3" t="s">
        <v>406</v>
      </c>
      <c r="G3">
        <v>328</v>
      </c>
      <c r="K3" s="9">
        <v>50000</v>
      </c>
      <c r="L3">
        <v>148</v>
      </c>
      <c r="M3" s="9">
        <f t="shared" ref="M3:M18" si="0">L3*K3</f>
        <v>7400000</v>
      </c>
      <c r="N3" s="11">
        <f t="shared" ref="N3:N18" si="1">L3/I$2</f>
        <v>0.20641562064156208</v>
      </c>
      <c r="P3" s="16" t="s">
        <v>439</v>
      </c>
      <c r="Q3" s="17">
        <v>866800</v>
      </c>
      <c r="R3" s="17">
        <v>866800</v>
      </c>
      <c r="S3" s="17">
        <v>1</v>
      </c>
      <c r="T3" s="17">
        <v>14</v>
      </c>
    </row>
    <row r="4" spans="1:20" x14ac:dyDescent="0.3">
      <c r="A4" t="s">
        <v>433</v>
      </c>
      <c r="B4" t="s">
        <v>224</v>
      </c>
      <c r="C4">
        <v>4</v>
      </c>
      <c r="D4" s="1">
        <v>45873</v>
      </c>
      <c r="E4">
        <v>817300</v>
      </c>
      <c r="F4" t="s">
        <v>241</v>
      </c>
      <c r="G4">
        <v>238</v>
      </c>
      <c r="K4" s="9">
        <v>100000</v>
      </c>
      <c r="L4">
        <v>97</v>
      </c>
      <c r="M4" s="9">
        <f t="shared" si="0"/>
        <v>9700000</v>
      </c>
      <c r="N4" s="11">
        <f t="shared" si="1"/>
        <v>0.13528591352859135</v>
      </c>
      <c r="P4" s="16" t="s">
        <v>438</v>
      </c>
      <c r="Q4" s="17">
        <v>425700</v>
      </c>
      <c r="R4" s="17">
        <v>425700</v>
      </c>
      <c r="S4" s="17">
        <v>1</v>
      </c>
      <c r="T4" s="17">
        <v>8</v>
      </c>
    </row>
    <row r="5" spans="1:20" x14ac:dyDescent="0.3">
      <c r="A5" t="s">
        <v>433</v>
      </c>
      <c r="B5" t="s">
        <v>228</v>
      </c>
      <c r="C5">
        <v>4</v>
      </c>
      <c r="D5" s="1">
        <v>45872</v>
      </c>
      <c r="E5">
        <v>856900</v>
      </c>
      <c r="F5" t="s">
        <v>279</v>
      </c>
      <c r="G5">
        <v>223</v>
      </c>
      <c r="K5" s="9">
        <v>200000</v>
      </c>
      <c r="L5">
        <v>84</v>
      </c>
      <c r="M5" s="9">
        <f t="shared" si="0"/>
        <v>16800000</v>
      </c>
      <c r="N5" s="11">
        <f t="shared" si="1"/>
        <v>0.11715481171548117</v>
      </c>
      <c r="P5" s="16" t="s">
        <v>310</v>
      </c>
      <c r="Q5" s="17">
        <v>8830800</v>
      </c>
      <c r="R5" s="8">
        <v>70085.71428571429</v>
      </c>
      <c r="S5" s="17">
        <v>126</v>
      </c>
      <c r="T5" s="17">
        <v>23.761904761904763</v>
      </c>
    </row>
    <row r="6" spans="1:20" x14ac:dyDescent="0.3">
      <c r="A6" t="s">
        <v>433</v>
      </c>
      <c r="B6" t="s">
        <v>228</v>
      </c>
      <c r="C6">
        <v>5</v>
      </c>
      <c r="D6" s="1">
        <v>45870</v>
      </c>
      <c r="E6">
        <v>990000</v>
      </c>
      <c r="F6" t="s">
        <v>287</v>
      </c>
      <c r="G6">
        <v>212</v>
      </c>
      <c r="K6" s="9">
        <v>300000</v>
      </c>
      <c r="L6">
        <v>55</v>
      </c>
      <c r="M6" s="9">
        <f t="shared" si="0"/>
        <v>16500000</v>
      </c>
      <c r="N6" s="11">
        <f t="shared" si="1"/>
        <v>7.6708507670850773E-2</v>
      </c>
      <c r="P6" s="16" t="s">
        <v>311</v>
      </c>
      <c r="Q6" s="17">
        <v>2230800</v>
      </c>
      <c r="R6" s="8">
        <v>96991.304347826081</v>
      </c>
      <c r="S6" s="17">
        <v>23</v>
      </c>
      <c r="T6" s="17">
        <v>23.304347826086957</v>
      </c>
    </row>
    <row r="7" spans="1:20" x14ac:dyDescent="0.3">
      <c r="A7" t="s">
        <v>433</v>
      </c>
      <c r="B7" t="s">
        <v>228</v>
      </c>
      <c r="C7">
        <v>5</v>
      </c>
      <c r="D7" s="1">
        <v>45869</v>
      </c>
      <c r="E7">
        <v>631400</v>
      </c>
      <c r="F7" t="s">
        <v>361</v>
      </c>
      <c r="G7">
        <v>188</v>
      </c>
      <c r="K7" s="9">
        <v>400000</v>
      </c>
      <c r="L7">
        <v>33</v>
      </c>
      <c r="M7" s="9">
        <f t="shared" si="0"/>
        <v>13200000</v>
      </c>
      <c r="N7" s="11">
        <f t="shared" si="1"/>
        <v>4.6025104602510462E-2</v>
      </c>
      <c r="P7" s="16" t="s">
        <v>312</v>
      </c>
      <c r="Q7" s="17">
        <v>833800</v>
      </c>
      <c r="R7" s="8">
        <v>166760</v>
      </c>
      <c r="S7" s="17">
        <v>5</v>
      </c>
      <c r="T7" s="17">
        <v>20.2</v>
      </c>
    </row>
    <row r="8" spans="1:20" x14ac:dyDescent="0.3">
      <c r="A8" t="s">
        <v>433</v>
      </c>
      <c r="B8" t="s">
        <v>228</v>
      </c>
      <c r="C8">
        <v>5</v>
      </c>
      <c r="D8" s="1">
        <v>45867</v>
      </c>
      <c r="E8">
        <v>414700</v>
      </c>
      <c r="F8" t="s">
        <v>387</v>
      </c>
      <c r="G8">
        <v>217</v>
      </c>
      <c r="K8" s="9">
        <v>500000</v>
      </c>
      <c r="L8">
        <v>14</v>
      </c>
      <c r="M8" s="9">
        <f t="shared" si="0"/>
        <v>7000000</v>
      </c>
      <c r="N8" s="11">
        <f t="shared" si="1"/>
        <v>1.9525801952580194E-2</v>
      </c>
      <c r="P8" s="16" t="s">
        <v>232</v>
      </c>
      <c r="Q8" s="17">
        <v>7700</v>
      </c>
      <c r="R8" s="8">
        <v>7700</v>
      </c>
      <c r="S8" s="17">
        <v>1</v>
      </c>
      <c r="T8" s="17">
        <v>32</v>
      </c>
    </row>
    <row r="9" spans="1:20" x14ac:dyDescent="0.3">
      <c r="A9" t="s">
        <v>433</v>
      </c>
      <c r="B9" t="s">
        <v>226</v>
      </c>
      <c r="C9">
        <v>6</v>
      </c>
      <c r="D9" s="1">
        <v>45874</v>
      </c>
      <c r="E9">
        <v>605000</v>
      </c>
      <c r="F9" t="s">
        <v>353</v>
      </c>
      <c r="G9">
        <v>314</v>
      </c>
      <c r="K9" s="9">
        <v>600000</v>
      </c>
      <c r="L9">
        <v>11</v>
      </c>
      <c r="M9" s="9">
        <f t="shared" si="0"/>
        <v>6600000</v>
      </c>
      <c r="N9" s="11">
        <f t="shared" si="1"/>
        <v>1.5341701534170154E-2</v>
      </c>
      <c r="P9" s="16" t="s">
        <v>434</v>
      </c>
      <c r="Q9" s="17">
        <v>18700</v>
      </c>
      <c r="R9" s="8">
        <v>18700</v>
      </c>
      <c r="S9" s="17">
        <v>1</v>
      </c>
      <c r="T9" s="17">
        <v>28</v>
      </c>
    </row>
    <row r="10" spans="1:20" x14ac:dyDescent="0.3">
      <c r="A10" t="s">
        <v>433</v>
      </c>
      <c r="B10" t="s">
        <v>226</v>
      </c>
      <c r="C10">
        <v>6</v>
      </c>
      <c r="D10" s="1">
        <v>45872</v>
      </c>
      <c r="E10">
        <v>678700</v>
      </c>
      <c r="F10" t="s">
        <v>383</v>
      </c>
      <c r="G10">
        <v>254</v>
      </c>
      <c r="K10" s="9">
        <v>700000</v>
      </c>
      <c r="L10">
        <v>11</v>
      </c>
      <c r="M10" s="9">
        <f t="shared" si="0"/>
        <v>7700000</v>
      </c>
      <c r="N10" s="11">
        <f t="shared" si="1"/>
        <v>1.5341701534170154E-2</v>
      </c>
      <c r="P10" s="16" t="s">
        <v>437</v>
      </c>
      <c r="Q10" s="17">
        <v>102300</v>
      </c>
      <c r="R10" s="8">
        <v>102300</v>
      </c>
      <c r="S10" s="17">
        <v>1</v>
      </c>
      <c r="T10" s="17">
        <v>23</v>
      </c>
    </row>
    <row r="11" spans="1:20" x14ac:dyDescent="0.3">
      <c r="A11" t="s">
        <v>433</v>
      </c>
      <c r="B11" t="s">
        <v>309</v>
      </c>
      <c r="C11">
        <v>6</v>
      </c>
      <c r="D11" s="1">
        <v>45868</v>
      </c>
      <c r="E11">
        <v>459800</v>
      </c>
      <c r="F11" t="s">
        <v>282</v>
      </c>
      <c r="G11">
        <v>158</v>
      </c>
      <c r="K11" s="9">
        <v>800000</v>
      </c>
      <c r="L11">
        <v>4</v>
      </c>
      <c r="M11" s="9">
        <f t="shared" si="0"/>
        <v>3200000</v>
      </c>
      <c r="N11" s="11">
        <f t="shared" si="1"/>
        <v>5.5788005578800556E-3</v>
      </c>
      <c r="P11" s="16" t="s">
        <v>233</v>
      </c>
      <c r="Q11" s="17">
        <v>3923700</v>
      </c>
      <c r="R11" s="8">
        <v>68836.84210526316</v>
      </c>
      <c r="S11" s="17">
        <v>57</v>
      </c>
      <c r="T11" s="17">
        <v>23.561403508771932</v>
      </c>
    </row>
    <row r="12" spans="1:20" x14ac:dyDescent="0.3">
      <c r="A12" t="s">
        <v>433</v>
      </c>
      <c r="B12" t="s">
        <v>309</v>
      </c>
      <c r="C12">
        <v>6</v>
      </c>
      <c r="D12" s="1">
        <v>45865</v>
      </c>
      <c r="E12">
        <v>333300</v>
      </c>
      <c r="F12" t="s">
        <v>297</v>
      </c>
      <c r="G12">
        <v>110</v>
      </c>
      <c r="K12" s="9">
        <v>900000</v>
      </c>
      <c r="L12">
        <v>6</v>
      </c>
      <c r="M12" s="9">
        <f t="shared" si="0"/>
        <v>5400000</v>
      </c>
      <c r="N12" s="11">
        <f t="shared" si="1"/>
        <v>8.368200836820083E-3</v>
      </c>
      <c r="P12" s="16" t="s">
        <v>236</v>
      </c>
      <c r="Q12" s="17">
        <v>2079000</v>
      </c>
      <c r="R12" s="8">
        <v>90391.304347826081</v>
      </c>
      <c r="S12" s="17">
        <v>23</v>
      </c>
      <c r="T12" s="17">
        <v>23.695652173913043</v>
      </c>
    </row>
    <row r="13" spans="1:20" x14ac:dyDescent="0.3">
      <c r="A13" t="s">
        <v>433</v>
      </c>
      <c r="B13" t="s">
        <v>224</v>
      </c>
      <c r="C13">
        <v>7</v>
      </c>
      <c r="D13" s="1">
        <v>45874</v>
      </c>
      <c r="E13">
        <v>601700</v>
      </c>
      <c r="F13" t="s">
        <v>364</v>
      </c>
      <c r="G13">
        <v>396</v>
      </c>
      <c r="K13" s="9">
        <v>1000000</v>
      </c>
      <c r="L13">
        <v>1</v>
      </c>
      <c r="M13" s="9">
        <f t="shared" si="0"/>
        <v>1000000</v>
      </c>
      <c r="N13" s="11">
        <f t="shared" si="1"/>
        <v>1.3947001394700139E-3</v>
      </c>
      <c r="P13" s="16" t="s">
        <v>314</v>
      </c>
      <c r="Q13" s="17">
        <v>1322200</v>
      </c>
      <c r="R13" s="8">
        <v>264440</v>
      </c>
      <c r="S13" s="17">
        <v>5</v>
      </c>
      <c r="T13" s="17">
        <v>18.600000000000001</v>
      </c>
    </row>
    <row r="14" spans="1:20" x14ac:dyDescent="0.3">
      <c r="A14" t="s">
        <v>433</v>
      </c>
      <c r="B14" t="s">
        <v>231</v>
      </c>
      <c r="C14">
        <v>7</v>
      </c>
      <c r="D14" s="1">
        <v>45873</v>
      </c>
      <c r="E14">
        <v>567600</v>
      </c>
      <c r="F14" t="s">
        <v>272</v>
      </c>
      <c r="G14">
        <v>379</v>
      </c>
      <c r="K14" s="9">
        <v>1100000</v>
      </c>
      <c r="L14">
        <v>0</v>
      </c>
      <c r="M14" s="9">
        <f t="shared" si="0"/>
        <v>0</v>
      </c>
      <c r="N14" s="11">
        <f t="shared" si="1"/>
        <v>0</v>
      </c>
      <c r="P14" s="16" t="s">
        <v>313</v>
      </c>
      <c r="Q14" s="17">
        <v>1210000</v>
      </c>
      <c r="R14" s="8">
        <v>302500</v>
      </c>
      <c r="S14" s="17">
        <v>4</v>
      </c>
      <c r="T14" s="17">
        <v>15.5</v>
      </c>
    </row>
    <row r="15" spans="1:20" x14ac:dyDescent="0.3">
      <c r="A15" t="s">
        <v>433</v>
      </c>
      <c r="B15" t="s">
        <v>225</v>
      </c>
      <c r="C15">
        <v>7</v>
      </c>
      <c r="D15" s="1">
        <v>45867</v>
      </c>
      <c r="E15">
        <v>777700</v>
      </c>
      <c r="F15" t="s">
        <v>417</v>
      </c>
      <c r="G15">
        <v>168</v>
      </c>
      <c r="K15" s="9">
        <v>1200000</v>
      </c>
      <c r="L15">
        <v>0</v>
      </c>
      <c r="M15" s="9">
        <f t="shared" si="0"/>
        <v>0</v>
      </c>
      <c r="N15" s="11">
        <f t="shared" si="1"/>
        <v>0</v>
      </c>
      <c r="P15" s="16" t="s">
        <v>435</v>
      </c>
      <c r="Q15" s="17">
        <v>643500</v>
      </c>
      <c r="R15" s="8">
        <v>321750</v>
      </c>
      <c r="S15" s="17">
        <v>2</v>
      </c>
      <c r="T15" s="17">
        <v>20</v>
      </c>
    </row>
    <row r="16" spans="1:20" x14ac:dyDescent="0.3">
      <c r="A16" t="s">
        <v>433</v>
      </c>
      <c r="B16" t="s">
        <v>230</v>
      </c>
      <c r="C16">
        <v>7</v>
      </c>
      <c r="D16" s="1">
        <v>45865</v>
      </c>
      <c r="E16">
        <v>843700</v>
      </c>
      <c r="F16" t="s">
        <v>292</v>
      </c>
      <c r="G16">
        <v>430</v>
      </c>
      <c r="K16" s="9">
        <v>1300000</v>
      </c>
      <c r="L16">
        <v>0</v>
      </c>
      <c r="M16" s="9">
        <f t="shared" si="0"/>
        <v>0</v>
      </c>
      <c r="N16" s="11">
        <f t="shared" si="1"/>
        <v>0</v>
      </c>
      <c r="P16" s="16" t="s">
        <v>436</v>
      </c>
      <c r="Q16" s="17">
        <v>7700</v>
      </c>
      <c r="R16" s="8">
        <v>7700</v>
      </c>
      <c r="S16" s="17">
        <v>1</v>
      </c>
      <c r="T16" s="17">
        <v>27</v>
      </c>
    </row>
    <row r="17" spans="1:20" x14ac:dyDescent="0.3">
      <c r="A17" t="s">
        <v>433</v>
      </c>
      <c r="B17" t="s">
        <v>231</v>
      </c>
      <c r="C17">
        <v>8</v>
      </c>
      <c r="D17" s="1">
        <v>45874</v>
      </c>
      <c r="E17">
        <v>383900</v>
      </c>
      <c r="F17" t="s">
        <v>315</v>
      </c>
      <c r="G17">
        <v>488</v>
      </c>
      <c r="K17" s="9">
        <v>1400000</v>
      </c>
      <c r="L17">
        <v>1</v>
      </c>
      <c r="M17" s="9">
        <f t="shared" si="0"/>
        <v>1400000</v>
      </c>
      <c r="N17" s="11">
        <f t="shared" si="1"/>
        <v>1.3947001394700139E-3</v>
      </c>
      <c r="P17" s="16" t="s">
        <v>309</v>
      </c>
      <c r="Q17" s="17">
        <v>11066000</v>
      </c>
      <c r="R17" s="8">
        <v>70484.076433121023</v>
      </c>
      <c r="S17" s="17">
        <v>157</v>
      </c>
      <c r="T17" s="17">
        <v>23.681528662420384</v>
      </c>
    </row>
    <row r="18" spans="1:20" x14ac:dyDescent="0.3">
      <c r="A18" t="s">
        <v>433</v>
      </c>
      <c r="B18" t="s">
        <v>228</v>
      </c>
      <c r="C18">
        <v>8</v>
      </c>
      <c r="D18" s="1">
        <v>45873</v>
      </c>
      <c r="E18">
        <v>602800</v>
      </c>
      <c r="F18" t="s">
        <v>873</v>
      </c>
      <c r="G18">
        <v>363</v>
      </c>
      <c r="K18" s="9"/>
      <c r="L18">
        <v>0</v>
      </c>
      <c r="M18" s="9">
        <f t="shared" si="0"/>
        <v>0</v>
      </c>
      <c r="N18" s="11">
        <f t="shared" si="1"/>
        <v>0</v>
      </c>
      <c r="P18" s="16" t="s">
        <v>231</v>
      </c>
      <c r="Q18" s="17">
        <v>9651400</v>
      </c>
      <c r="R18" s="8">
        <v>120642.5</v>
      </c>
      <c r="S18" s="17">
        <v>80</v>
      </c>
      <c r="T18" s="17">
        <v>22.762499999999999</v>
      </c>
    </row>
    <row r="19" spans="1:20" x14ac:dyDescent="0.3">
      <c r="A19" t="s">
        <v>433</v>
      </c>
      <c r="B19" t="s">
        <v>233</v>
      </c>
      <c r="C19">
        <v>8</v>
      </c>
      <c r="D19" s="1">
        <v>45871</v>
      </c>
      <c r="E19">
        <v>557700</v>
      </c>
      <c r="F19" t="s">
        <v>331</v>
      </c>
      <c r="G19">
        <v>275</v>
      </c>
      <c r="K19" s="9"/>
      <c r="M19" s="9">
        <f>SUM(M2:M18)</f>
        <v>123786629.28870293</v>
      </c>
      <c r="P19" s="16" t="s">
        <v>234</v>
      </c>
      <c r="Q19" s="17">
        <v>2574000</v>
      </c>
      <c r="R19" s="8">
        <v>160875</v>
      </c>
      <c r="S19" s="17">
        <v>16</v>
      </c>
      <c r="T19" s="17">
        <v>20.625</v>
      </c>
    </row>
    <row r="20" spans="1:20" x14ac:dyDescent="0.3">
      <c r="A20" t="s">
        <v>433</v>
      </c>
      <c r="B20" t="s">
        <v>313</v>
      </c>
      <c r="C20">
        <v>8</v>
      </c>
      <c r="D20" s="1">
        <v>45869</v>
      </c>
      <c r="E20">
        <v>601700</v>
      </c>
      <c r="F20" t="s">
        <v>252</v>
      </c>
      <c r="G20">
        <v>238</v>
      </c>
      <c r="K20" s="9"/>
      <c r="M20" s="9"/>
      <c r="P20" s="16" t="s">
        <v>226</v>
      </c>
      <c r="Q20" s="17">
        <v>8080600</v>
      </c>
      <c r="R20" s="8">
        <v>164910.20408163266</v>
      </c>
      <c r="S20" s="17">
        <v>49</v>
      </c>
      <c r="T20" s="17">
        <v>21.979591836734695</v>
      </c>
    </row>
    <row r="21" spans="1:20" x14ac:dyDescent="0.3">
      <c r="A21" t="s">
        <v>433</v>
      </c>
      <c r="B21" t="s">
        <v>231</v>
      </c>
      <c r="C21">
        <v>8</v>
      </c>
      <c r="D21" s="1">
        <v>45868</v>
      </c>
      <c r="E21">
        <v>480700</v>
      </c>
      <c r="F21" t="s">
        <v>259</v>
      </c>
      <c r="G21">
        <v>222</v>
      </c>
      <c r="K21" s="9"/>
      <c r="P21" s="16" t="s">
        <v>230</v>
      </c>
      <c r="Q21" s="17">
        <v>1799600</v>
      </c>
      <c r="R21" s="8">
        <v>105858.82352941176</v>
      </c>
      <c r="S21" s="17">
        <v>17</v>
      </c>
      <c r="T21" s="17">
        <v>22.941176470588236</v>
      </c>
    </row>
    <row r="22" spans="1:20" x14ac:dyDescent="0.3">
      <c r="A22" t="s">
        <v>433</v>
      </c>
      <c r="B22" t="s">
        <v>438</v>
      </c>
      <c r="C22">
        <v>8</v>
      </c>
      <c r="D22" s="1">
        <v>45868</v>
      </c>
      <c r="E22">
        <v>425700</v>
      </c>
      <c r="F22" t="s">
        <v>360</v>
      </c>
      <c r="G22">
        <v>242</v>
      </c>
      <c r="K22" s="9"/>
      <c r="P22" s="16" t="s">
        <v>235</v>
      </c>
      <c r="Q22" s="17">
        <v>3584900</v>
      </c>
      <c r="R22" s="8">
        <v>81475</v>
      </c>
      <c r="S22" s="17">
        <v>44</v>
      </c>
      <c r="T22" s="17">
        <v>20.681818181818183</v>
      </c>
    </row>
    <row r="23" spans="1:20" x14ac:dyDescent="0.3">
      <c r="A23" t="s">
        <v>433</v>
      </c>
      <c r="B23" t="s">
        <v>309</v>
      </c>
      <c r="C23">
        <v>8</v>
      </c>
      <c r="D23" s="1">
        <v>45855</v>
      </c>
      <c r="E23">
        <v>738100</v>
      </c>
      <c r="F23" t="s">
        <v>358</v>
      </c>
      <c r="G23">
        <v>158</v>
      </c>
      <c r="K23" s="9"/>
      <c r="P23" s="16" t="s">
        <v>229</v>
      </c>
      <c r="Q23" s="17">
        <v>1835900</v>
      </c>
      <c r="R23" s="8">
        <v>55633.333333333336</v>
      </c>
      <c r="S23" s="17">
        <v>33</v>
      </c>
      <c r="T23" s="17">
        <v>22.484848484848484</v>
      </c>
    </row>
    <row r="24" spans="1:20" x14ac:dyDescent="0.3">
      <c r="A24" t="s">
        <v>433</v>
      </c>
      <c r="B24" t="s">
        <v>224</v>
      </c>
      <c r="C24">
        <v>8</v>
      </c>
      <c r="D24" s="1">
        <v>45865</v>
      </c>
      <c r="E24">
        <v>568700</v>
      </c>
      <c r="F24" t="s">
        <v>321</v>
      </c>
      <c r="G24">
        <v>145</v>
      </c>
      <c r="K24" s="9"/>
      <c r="P24" s="16" t="s">
        <v>228</v>
      </c>
      <c r="Q24" s="17">
        <v>5396600</v>
      </c>
      <c r="R24" s="8">
        <v>256980.95238095237</v>
      </c>
      <c r="S24" s="17">
        <v>21</v>
      </c>
      <c r="T24" s="17">
        <v>16.476190476190474</v>
      </c>
    </row>
    <row r="25" spans="1:20" x14ac:dyDescent="0.3">
      <c r="A25" t="s">
        <v>433</v>
      </c>
      <c r="B25" t="s">
        <v>225</v>
      </c>
      <c r="C25">
        <v>8</v>
      </c>
      <c r="D25" s="1">
        <v>45862</v>
      </c>
      <c r="E25">
        <v>401500</v>
      </c>
      <c r="F25" t="s">
        <v>262</v>
      </c>
      <c r="G25">
        <v>98</v>
      </c>
      <c r="K25" s="9"/>
      <c r="P25" s="16" t="s">
        <v>224</v>
      </c>
      <c r="Q25" s="17">
        <v>8919900</v>
      </c>
      <c r="R25" s="17">
        <v>247775</v>
      </c>
      <c r="S25" s="17">
        <v>36</v>
      </c>
      <c r="T25" s="17">
        <v>18.166666666666668</v>
      </c>
    </row>
    <row r="26" spans="1:20" x14ac:dyDescent="0.3">
      <c r="A26" t="s">
        <v>433</v>
      </c>
      <c r="B26" t="s">
        <v>224</v>
      </c>
      <c r="C26">
        <v>9</v>
      </c>
      <c r="D26" s="1">
        <v>45873</v>
      </c>
      <c r="E26">
        <v>301400</v>
      </c>
      <c r="F26" t="s">
        <v>799</v>
      </c>
      <c r="G26">
        <v>452</v>
      </c>
      <c r="K26" s="9"/>
      <c r="P26" s="16" t="s">
        <v>225</v>
      </c>
      <c r="Q26" s="17">
        <v>3162500</v>
      </c>
      <c r="R26" s="8">
        <v>263541.66666666669</v>
      </c>
      <c r="S26" s="17">
        <v>12</v>
      </c>
      <c r="T26" s="17">
        <v>17.25</v>
      </c>
    </row>
    <row r="27" spans="1:20" x14ac:dyDescent="0.3">
      <c r="A27" t="s">
        <v>433</v>
      </c>
      <c r="B27" t="s">
        <v>225</v>
      </c>
      <c r="C27">
        <v>9</v>
      </c>
      <c r="D27" s="1">
        <v>45868</v>
      </c>
      <c r="E27">
        <v>519200</v>
      </c>
      <c r="F27" t="s">
        <v>966</v>
      </c>
      <c r="G27">
        <v>271</v>
      </c>
      <c r="K27" s="9"/>
      <c r="P27" s="16" t="s">
        <v>1806</v>
      </c>
      <c r="Q27" s="17">
        <v>0</v>
      </c>
      <c r="R27" s="17" t="e">
        <v>#DIV/0!</v>
      </c>
      <c r="S27" s="17">
        <v>1</v>
      </c>
      <c r="T27" s="17" t="e">
        <v>#DIV/0!</v>
      </c>
    </row>
    <row r="28" spans="1:20" x14ac:dyDescent="0.3">
      <c r="A28" t="s">
        <v>433</v>
      </c>
      <c r="B28" t="s">
        <v>226</v>
      </c>
      <c r="C28">
        <v>9</v>
      </c>
      <c r="D28" s="1">
        <v>45860</v>
      </c>
      <c r="E28">
        <v>447700</v>
      </c>
      <c r="F28" t="s">
        <v>245</v>
      </c>
      <c r="G28">
        <v>179</v>
      </c>
      <c r="K28" s="9"/>
      <c r="P28" s="16" t="s">
        <v>1805</v>
      </c>
      <c r="Q28" s="17">
        <v>78574100</v>
      </c>
      <c r="R28" s="17">
        <v>109740.36312849162</v>
      </c>
      <c r="S28" s="17">
        <v>717</v>
      </c>
      <c r="T28" s="17">
        <v>22.403631284916202</v>
      </c>
    </row>
    <row r="29" spans="1:20" x14ac:dyDescent="0.3">
      <c r="A29" t="s">
        <v>433</v>
      </c>
      <c r="B29" t="s">
        <v>225</v>
      </c>
      <c r="C29">
        <v>9</v>
      </c>
      <c r="D29" s="1">
        <v>45865</v>
      </c>
      <c r="E29">
        <v>601700</v>
      </c>
      <c r="F29" t="s">
        <v>1021</v>
      </c>
      <c r="G29">
        <v>162</v>
      </c>
      <c r="K29" s="9"/>
    </row>
    <row r="30" spans="1:20" x14ac:dyDescent="0.3">
      <c r="A30" t="s">
        <v>433</v>
      </c>
      <c r="B30" t="s">
        <v>310</v>
      </c>
      <c r="C30">
        <v>9</v>
      </c>
      <c r="D30" s="1">
        <v>45864</v>
      </c>
      <c r="E30">
        <v>346500</v>
      </c>
      <c r="F30" t="s">
        <v>384</v>
      </c>
      <c r="G30">
        <v>139</v>
      </c>
    </row>
    <row r="31" spans="1:20" x14ac:dyDescent="0.3">
      <c r="A31" t="s">
        <v>433</v>
      </c>
      <c r="B31" t="s">
        <v>229</v>
      </c>
      <c r="C31">
        <v>9</v>
      </c>
      <c r="D31" s="1">
        <v>45863</v>
      </c>
      <c r="E31">
        <v>352000</v>
      </c>
      <c r="F31" t="s">
        <v>418</v>
      </c>
      <c r="G31">
        <v>123</v>
      </c>
      <c r="Q31">
        <v>1</v>
      </c>
    </row>
    <row r="32" spans="1:20" x14ac:dyDescent="0.3">
      <c r="A32" t="s">
        <v>433</v>
      </c>
      <c r="B32" t="s">
        <v>235</v>
      </c>
      <c r="C32">
        <v>9</v>
      </c>
      <c r="D32" s="1">
        <v>45862</v>
      </c>
      <c r="E32">
        <v>1305700</v>
      </c>
      <c r="F32" t="s">
        <v>1035</v>
      </c>
      <c r="G32">
        <v>114</v>
      </c>
      <c r="Q32">
        <v>157</v>
      </c>
    </row>
    <row r="33" spans="1:17" x14ac:dyDescent="0.3">
      <c r="A33" t="s">
        <v>433</v>
      </c>
      <c r="B33" t="s">
        <v>226</v>
      </c>
      <c r="C33">
        <v>10</v>
      </c>
      <c r="D33" s="1">
        <v>45877</v>
      </c>
      <c r="E33">
        <v>427900</v>
      </c>
      <c r="F33" t="s">
        <v>553</v>
      </c>
      <c r="G33">
        <v>704</v>
      </c>
      <c r="Q33">
        <v>80</v>
      </c>
    </row>
    <row r="34" spans="1:17" x14ac:dyDescent="0.3">
      <c r="A34" t="s">
        <v>433</v>
      </c>
      <c r="B34" t="s">
        <v>231</v>
      </c>
      <c r="C34">
        <v>10</v>
      </c>
      <c r="D34" s="1">
        <v>45873</v>
      </c>
      <c r="E34">
        <v>271700</v>
      </c>
      <c r="F34" t="s">
        <v>729</v>
      </c>
      <c r="G34">
        <v>563</v>
      </c>
      <c r="Q34">
        <v>16</v>
      </c>
    </row>
    <row r="35" spans="1:17" x14ac:dyDescent="0.3">
      <c r="A35" t="s">
        <v>433</v>
      </c>
      <c r="B35" t="s">
        <v>226</v>
      </c>
      <c r="C35">
        <v>10</v>
      </c>
      <c r="D35" s="1">
        <v>45873</v>
      </c>
      <c r="E35">
        <v>498300</v>
      </c>
      <c r="F35" t="s">
        <v>754</v>
      </c>
      <c r="G35">
        <v>635</v>
      </c>
      <c r="Q35">
        <v>49</v>
      </c>
    </row>
    <row r="36" spans="1:17" x14ac:dyDescent="0.3">
      <c r="A36" t="s">
        <v>433</v>
      </c>
      <c r="B36" t="s">
        <v>234</v>
      </c>
      <c r="C36">
        <v>10</v>
      </c>
      <c r="D36" s="1">
        <v>45871</v>
      </c>
      <c r="E36">
        <v>524700</v>
      </c>
      <c r="F36" t="s">
        <v>369</v>
      </c>
      <c r="G36">
        <v>412</v>
      </c>
      <c r="Q36">
        <v>17</v>
      </c>
    </row>
    <row r="37" spans="1:17" x14ac:dyDescent="0.3">
      <c r="A37" t="s">
        <v>433</v>
      </c>
      <c r="B37" t="s">
        <v>311</v>
      </c>
      <c r="C37">
        <v>10</v>
      </c>
      <c r="D37" s="1">
        <v>45871</v>
      </c>
      <c r="E37">
        <v>383900</v>
      </c>
      <c r="F37" t="s">
        <v>350</v>
      </c>
      <c r="G37">
        <v>461</v>
      </c>
      <c r="Q37">
        <f>SUM(Q31:Q36)</f>
        <v>320</v>
      </c>
    </row>
    <row r="38" spans="1:17" x14ac:dyDescent="0.3">
      <c r="A38" t="s">
        <v>433</v>
      </c>
      <c r="B38" t="s">
        <v>233</v>
      </c>
      <c r="C38">
        <v>10</v>
      </c>
      <c r="D38" s="1">
        <v>45867</v>
      </c>
      <c r="E38">
        <v>322300</v>
      </c>
      <c r="F38" t="s">
        <v>253</v>
      </c>
      <c r="G38">
        <v>251</v>
      </c>
    </row>
    <row r="39" spans="1:17" x14ac:dyDescent="0.3">
      <c r="A39" t="s">
        <v>433</v>
      </c>
      <c r="B39" t="s">
        <v>226</v>
      </c>
      <c r="C39">
        <v>10</v>
      </c>
      <c r="D39" s="1">
        <v>45867</v>
      </c>
      <c r="E39">
        <v>579700</v>
      </c>
      <c r="F39" t="s">
        <v>359</v>
      </c>
      <c r="G39">
        <v>236</v>
      </c>
    </row>
    <row r="40" spans="1:17" x14ac:dyDescent="0.3">
      <c r="A40" t="s">
        <v>433</v>
      </c>
      <c r="B40" t="s">
        <v>310</v>
      </c>
      <c r="C40">
        <v>10</v>
      </c>
      <c r="D40" s="1">
        <v>45867</v>
      </c>
      <c r="E40">
        <v>341000</v>
      </c>
      <c r="F40" t="s">
        <v>340</v>
      </c>
      <c r="G40">
        <v>220</v>
      </c>
    </row>
    <row r="41" spans="1:17" x14ac:dyDescent="0.3">
      <c r="A41" t="s">
        <v>433</v>
      </c>
      <c r="B41" t="s">
        <v>225</v>
      </c>
      <c r="C41">
        <v>10</v>
      </c>
      <c r="D41" s="1">
        <v>45864</v>
      </c>
      <c r="E41">
        <v>192500</v>
      </c>
      <c r="F41" t="s">
        <v>375</v>
      </c>
      <c r="G41">
        <v>184</v>
      </c>
    </row>
    <row r="42" spans="1:17" x14ac:dyDescent="0.3">
      <c r="A42" t="s">
        <v>433</v>
      </c>
      <c r="B42" t="s">
        <v>224</v>
      </c>
      <c r="C42">
        <v>10</v>
      </c>
      <c r="D42" s="1">
        <v>45864</v>
      </c>
      <c r="E42">
        <v>518100</v>
      </c>
      <c r="F42" t="s">
        <v>341</v>
      </c>
      <c r="G42">
        <v>179</v>
      </c>
    </row>
    <row r="43" spans="1:17" x14ac:dyDescent="0.3">
      <c r="A43" t="s">
        <v>433</v>
      </c>
      <c r="B43" t="s">
        <v>309</v>
      </c>
      <c r="C43">
        <v>10</v>
      </c>
      <c r="D43" s="1">
        <v>45861</v>
      </c>
      <c r="E43">
        <v>447700</v>
      </c>
      <c r="F43" t="s">
        <v>355</v>
      </c>
      <c r="G43">
        <v>106</v>
      </c>
    </row>
    <row r="44" spans="1:17" x14ac:dyDescent="0.3">
      <c r="A44" t="s">
        <v>433</v>
      </c>
      <c r="B44" t="s">
        <v>224</v>
      </c>
      <c r="C44">
        <v>10</v>
      </c>
      <c r="D44" s="1">
        <v>45861</v>
      </c>
      <c r="E44">
        <v>331100</v>
      </c>
      <c r="F44" t="s">
        <v>278</v>
      </c>
      <c r="G44">
        <v>102</v>
      </c>
    </row>
    <row r="45" spans="1:17" x14ac:dyDescent="0.3">
      <c r="A45" t="s">
        <v>433</v>
      </c>
      <c r="B45" t="s">
        <v>228</v>
      </c>
      <c r="C45">
        <v>11</v>
      </c>
      <c r="D45" s="1">
        <v>45870</v>
      </c>
      <c r="E45">
        <v>379500</v>
      </c>
      <c r="F45" t="s">
        <v>824</v>
      </c>
      <c r="G45">
        <v>465</v>
      </c>
    </row>
    <row r="46" spans="1:17" x14ac:dyDescent="0.3">
      <c r="A46" t="s">
        <v>433</v>
      </c>
      <c r="B46" t="s">
        <v>309</v>
      </c>
      <c r="C46">
        <v>11</v>
      </c>
      <c r="D46" s="1">
        <v>45870</v>
      </c>
      <c r="E46">
        <v>300300</v>
      </c>
      <c r="F46" t="s">
        <v>319</v>
      </c>
      <c r="G46">
        <v>346</v>
      </c>
    </row>
    <row r="47" spans="1:17" x14ac:dyDescent="0.3">
      <c r="A47" t="s">
        <v>433</v>
      </c>
      <c r="B47" t="s">
        <v>235</v>
      </c>
      <c r="C47">
        <v>11</v>
      </c>
      <c r="D47" s="1">
        <v>45865</v>
      </c>
      <c r="E47">
        <v>435600</v>
      </c>
      <c r="F47" t="s">
        <v>372</v>
      </c>
      <c r="G47">
        <v>598</v>
      </c>
    </row>
    <row r="48" spans="1:17" x14ac:dyDescent="0.3">
      <c r="A48" t="s">
        <v>433</v>
      </c>
      <c r="B48" t="s">
        <v>311</v>
      </c>
      <c r="C48">
        <v>11</v>
      </c>
      <c r="D48" s="1">
        <v>45864</v>
      </c>
      <c r="E48">
        <v>305800</v>
      </c>
      <c r="F48" t="s">
        <v>1004</v>
      </c>
      <c r="G48">
        <v>218</v>
      </c>
    </row>
    <row r="49" spans="1:7" x14ac:dyDescent="0.3">
      <c r="A49" t="s">
        <v>433</v>
      </c>
      <c r="B49" t="s">
        <v>231</v>
      </c>
      <c r="C49">
        <v>11</v>
      </c>
      <c r="D49" s="1">
        <v>45861</v>
      </c>
      <c r="E49">
        <v>193600</v>
      </c>
      <c r="F49" t="s">
        <v>338</v>
      </c>
      <c r="G49">
        <v>138</v>
      </c>
    </row>
    <row r="50" spans="1:7" x14ac:dyDescent="0.3">
      <c r="A50" t="s">
        <v>433</v>
      </c>
      <c r="B50" t="s">
        <v>224</v>
      </c>
      <c r="C50">
        <v>11</v>
      </c>
      <c r="D50" s="1">
        <v>45859</v>
      </c>
      <c r="E50">
        <v>304700</v>
      </c>
      <c r="F50" t="s">
        <v>247</v>
      </c>
      <c r="G50">
        <v>110</v>
      </c>
    </row>
    <row r="51" spans="1:7" x14ac:dyDescent="0.3">
      <c r="A51" t="s">
        <v>433</v>
      </c>
      <c r="B51" t="s">
        <v>310</v>
      </c>
      <c r="C51">
        <v>11</v>
      </c>
      <c r="D51" s="1">
        <v>45860</v>
      </c>
      <c r="E51">
        <v>341000</v>
      </c>
      <c r="F51" t="s">
        <v>265</v>
      </c>
      <c r="G51">
        <v>102</v>
      </c>
    </row>
    <row r="52" spans="1:7" x14ac:dyDescent="0.3">
      <c r="A52" t="s">
        <v>433</v>
      </c>
      <c r="B52" t="s">
        <v>236</v>
      </c>
      <c r="C52">
        <v>12</v>
      </c>
      <c r="D52" s="1">
        <v>45875</v>
      </c>
      <c r="E52">
        <v>359700</v>
      </c>
      <c r="F52" t="s">
        <v>474</v>
      </c>
      <c r="G52">
        <v>759</v>
      </c>
    </row>
    <row r="53" spans="1:7" x14ac:dyDescent="0.3">
      <c r="A53" t="s">
        <v>433</v>
      </c>
      <c r="B53" t="s">
        <v>235</v>
      </c>
      <c r="C53">
        <v>12</v>
      </c>
      <c r="D53" s="1">
        <v>45874</v>
      </c>
      <c r="E53">
        <v>152900</v>
      </c>
      <c r="F53" t="s">
        <v>507</v>
      </c>
      <c r="G53">
        <v>726</v>
      </c>
    </row>
    <row r="54" spans="1:7" x14ac:dyDescent="0.3">
      <c r="A54" t="s">
        <v>433</v>
      </c>
      <c r="B54" t="s">
        <v>228</v>
      </c>
      <c r="C54">
        <v>12</v>
      </c>
      <c r="D54" s="1">
        <v>45866</v>
      </c>
      <c r="E54">
        <v>557700</v>
      </c>
      <c r="F54" t="s">
        <v>250</v>
      </c>
      <c r="G54">
        <v>262</v>
      </c>
    </row>
    <row r="55" spans="1:7" x14ac:dyDescent="0.3">
      <c r="A55" t="s">
        <v>433</v>
      </c>
      <c r="B55" t="s">
        <v>435</v>
      </c>
      <c r="C55">
        <v>12</v>
      </c>
      <c r="D55" s="1">
        <v>45864</v>
      </c>
      <c r="E55">
        <v>635800</v>
      </c>
      <c r="F55" t="s">
        <v>997</v>
      </c>
      <c r="G55">
        <v>223</v>
      </c>
    </row>
    <row r="56" spans="1:7" x14ac:dyDescent="0.3">
      <c r="A56" t="s">
        <v>433</v>
      </c>
      <c r="B56" t="s">
        <v>310</v>
      </c>
      <c r="C56">
        <v>12</v>
      </c>
      <c r="D56" s="1">
        <v>45854</v>
      </c>
      <c r="E56">
        <v>328900</v>
      </c>
      <c r="F56" t="s">
        <v>1000</v>
      </c>
      <c r="G56">
        <v>209</v>
      </c>
    </row>
    <row r="57" spans="1:7" x14ac:dyDescent="0.3">
      <c r="A57" t="s">
        <v>433</v>
      </c>
      <c r="B57" t="s">
        <v>309</v>
      </c>
      <c r="C57">
        <v>12</v>
      </c>
      <c r="D57" s="1">
        <v>45855</v>
      </c>
      <c r="E57">
        <v>317900</v>
      </c>
      <c r="F57" t="s">
        <v>1036</v>
      </c>
      <c r="G57">
        <v>107</v>
      </c>
    </row>
    <row r="58" spans="1:7" x14ac:dyDescent="0.3">
      <c r="A58" t="s">
        <v>433</v>
      </c>
      <c r="B58" t="s">
        <v>230</v>
      </c>
      <c r="C58">
        <v>12</v>
      </c>
      <c r="D58" s="1">
        <v>45859</v>
      </c>
      <c r="E58">
        <v>271700</v>
      </c>
      <c r="F58" t="s">
        <v>256</v>
      </c>
      <c r="G58">
        <v>101</v>
      </c>
    </row>
    <row r="59" spans="1:7" x14ac:dyDescent="0.3">
      <c r="A59" t="s">
        <v>433</v>
      </c>
      <c r="B59" t="s">
        <v>226</v>
      </c>
      <c r="C59">
        <v>13</v>
      </c>
      <c r="D59" s="1">
        <v>45870</v>
      </c>
      <c r="E59">
        <v>322300</v>
      </c>
      <c r="F59" t="s">
        <v>720</v>
      </c>
      <c r="G59">
        <v>695</v>
      </c>
    </row>
    <row r="60" spans="1:7" x14ac:dyDescent="0.3">
      <c r="A60" t="s">
        <v>433</v>
      </c>
      <c r="B60" t="s">
        <v>224</v>
      </c>
      <c r="C60">
        <v>13</v>
      </c>
      <c r="D60" s="1">
        <v>45869</v>
      </c>
      <c r="E60">
        <v>700700</v>
      </c>
      <c r="F60" t="s">
        <v>742</v>
      </c>
      <c r="G60">
        <v>552</v>
      </c>
    </row>
    <row r="61" spans="1:7" x14ac:dyDescent="0.3">
      <c r="A61" t="s">
        <v>433</v>
      </c>
      <c r="B61" t="s">
        <v>229</v>
      </c>
      <c r="C61">
        <v>13</v>
      </c>
      <c r="D61" s="1">
        <v>45870</v>
      </c>
      <c r="E61">
        <v>113300</v>
      </c>
      <c r="F61" t="s">
        <v>753</v>
      </c>
      <c r="G61">
        <v>499</v>
      </c>
    </row>
    <row r="62" spans="1:7" x14ac:dyDescent="0.3">
      <c r="A62" t="s">
        <v>433</v>
      </c>
      <c r="B62" t="s">
        <v>224</v>
      </c>
      <c r="C62">
        <v>13</v>
      </c>
      <c r="D62" s="1">
        <v>45863</v>
      </c>
      <c r="E62">
        <v>810700</v>
      </c>
      <c r="F62" t="s">
        <v>354</v>
      </c>
      <c r="G62">
        <v>263</v>
      </c>
    </row>
    <row r="63" spans="1:7" x14ac:dyDescent="0.3">
      <c r="A63" t="s">
        <v>433</v>
      </c>
      <c r="B63" t="s">
        <v>233</v>
      </c>
      <c r="C63">
        <v>13</v>
      </c>
      <c r="D63" s="1">
        <v>45860</v>
      </c>
      <c r="E63">
        <v>304700</v>
      </c>
      <c r="F63" t="s">
        <v>370</v>
      </c>
      <c r="G63">
        <v>142</v>
      </c>
    </row>
    <row r="64" spans="1:7" x14ac:dyDescent="0.3">
      <c r="A64" t="s">
        <v>433</v>
      </c>
      <c r="B64" t="s">
        <v>224</v>
      </c>
      <c r="C64">
        <v>13</v>
      </c>
      <c r="D64" s="1">
        <v>45860</v>
      </c>
      <c r="E64">
        <v>308000</v>
      </c>
      <c r="F64" t="s">
        <v>1030</v>
      </c>
      <c r="G64">
        <v>144</v>
      </c>
    </row>
    <row r="65" spans="1:7" x14ac:dyDescent="0.3">
      <c r="A65" t="s">
        <v>433</v>
      </c>
      <c r="B65" t="s">
        <v>309</v>
      </c>
      <c r="C65">
        <v>13</v>
      </c>
      <c r="D65" s="1">
        <v>45859</v>
      </c>
      <c r="E65">
        <v>262900</v>
      </c>
      <c r="F65" t="s">
        <v>263</v>
      </c>
      <c r="G65">
        <v>132</v>
      </c>
    </row>
    <row r="66" spans="1:7" x14ac:dyDescent="0.3">
      <c r="A66" t="s">
        <v>433</v>
      </c>
      <c r="B66" t="s">
        <v>313</v>
      </c>
      <c r="C66">
        <v>14</v>
      </c>
      <c r="D66" s="1">
        <v>45872</v>
      </c>
      <c r="E66">
        <v>317900</v>
      </c>
      <c r="F66" t="s">
        <v>495</v>
      </c>
      <c r="G66">
        <v>758</v>
      </c>
    </row>
    <row r="67" spans="1:7" x14ac:dyDescent="0.3">
      <c r="A67" t="s">
        <v>433</v>
      </c>
      <c r="B67" t="s">
        <v>314</v>
      </c>
      <c r="C67">
        <v>14</v>
      </c>
      <c r="D67" s="1">
        <v>45873</v>
      </c>
      <c r="E67">
        <v>272800</v>
      </c>
      <c r="F67" t="s">
        <v>537</v>
      </c>
      <c r="G67">
        <v>681</v>
      </c>
    </row>
    <row r="68" spans="1:7" x14ac:dyDescent="0.3">
      <c r="A68" t="s">
        <v>433</v>
      </c>
      <c r="B68" t="s">
        <v>309</v>
      </c>
      <c r="C68">
        <v>14</v>
      </c>
      <c r="D68" s="1">
        <v>45873</v>
      </c>
      <c r="E68">
        <v>209000</v>
      </c>
      <c r="F68" t="s">
        <v>545</v>
      </c>
      <c r="G68">
        <v>690</v>
      </c>
    </row>
    <row r="69" spans="1:7" x14ac:dyDescent="0.3">
      <c r="A69" t="s">
        <v>433</v>
      </c>
      <c r="B69" t="s">
        <v>229</v>
      </c>
      <c r="C69">
        <v>14</v>
      </c>
      <c r="D69" s="1">
        <v>45873</v>
      </c>
      <c r="E69">
        <v>92400</v>
      </c>
      <c r="F69" t="s">
        <v>548</v>
      </c>
      <c r="G69">
        <v>707</v>
      </c>
    </row>
    <row r="70" spans="1:7" x14ac:dyDescent="0.3">
      <c r="A70" t="s">
        <v>433</v>
      </c>
      <c r="B70" t="s">
        <v>314</v>
      </c>
      <c r="C70">
        <v>14</v>
      </c>
      <c r="D70" s="1">
        <v>45872</v>
      </c>
      <c r="E70">
        <v>605000</v>
      </c>
      <c r="F70" t="s">
        <v>609</v>
      </c>
      <c r="G70">
        <v>669</v>
      </c>
    </row>
    <row r="71" spans="1:7" x14ac:dyDescent="0.3">
      <c r="A71" t="s">
        <v>433</v>
      </c>
      <c r="B71" t="s">
        <v>309</v>
      </c>
      <c r="C71">
        <v>14</v>
      </c>
      <c r="D71" s="1">
        <v>45865</v>
      </c>
      <c r="E71">
        <v>227700</v>
      </c>
      <c r="F71" t="s">
        <v>907</v>
      </c>
      <c r="G71">
        <v>325</v>
      </c>
    </row>
    <row r="72" spans="1:7" x14ac:dyDescent="0.3">
      <c r="A72" t="s">
        <v>433</v>
      </c>
      <c r="B72" t="s">
        <v>231</v>
      </c>
      <c r="C72">
        <v>14</v>
      </c>
      <c r="D72" s="1">
        <v>45866</v>
      </c>
      <c r="E72">
        <v>594000</v>
      </c>
      <c r="F72" t="s">
        <v>918</v>
      </c>
      <c r="G72">
        <v>324</v>
      </c>
    </row>
    <row r="73" spans="1:7" x14ac:dyDescent="0.3">
      <c r="A73" t="s">
        <v>433</v>
      </c>
      <c r="B73" t="s">
        <v>224</v>
      </c>
      <c r="C73">
        <v>14</v>
      </c>
      <c r="D73" s="1">
        <v>45865</v>
      </c>
      <c r="E73">
        <v>150700</v>
      </c>
      <c r="F73" t="s">
        <v>246</v>
      </c>
      <c r="G73">
        <v>276</v>
      </c>
    </row>
    <row r="74" spans="1:7" x14ac:dyDescent="0.3">
      <c r="A74" t="s">
        <v>433</v>
      </c>
      <c r="B74" t="s">
        <v>234</v>
      </c>
      <c r="C74">
        <v>14</v>
      </c>
      <c r="D74" s="1">
        <v>45864</v>
      </c>
      <c r="E74">
        <v>361900</v>
      </c>
      <c r="F74" t="s">
        <v>270</v>
      </c>
      <c r="G74">
        <v>249</v>
      </c>
    </row>
    <row r="75" spans="1:7" x14ac:dyDescent="0.3">
      <c r="A75" t="s">
        <v>433</v>
      </c>
      <c r="B75" t="s">
        <v>231</v>
      </c>
      <c r="C75">
        <v>14</v>
      </c>
      <c r="D75" s="1">
        <v>45860</v>
      </c>
      <c r="E75">
        <v>554400</v>
      </c>
      <c r="F75" t="s">
        <v>243</v>
      </c>
      <c r="G75">
        <v>190</v>
      </c>
    </row>
    <row r="76" spans="1:7" x14ac:dyDescent="0.3">
      <c r="A76" t="s">
        <v>433</v>
      </c>
      <c r="B76" t="s">
        <v>236</v>
      </c>
      <c r="C76">
        <v>14</v>
      </c>
      <c r="D76" s="1">
        <v>45859</v>
      </c>
      <c r="E76">
        <v>251900</v>
      </c>
      <c r="F76" t="s">
        <v>1022</v>
      </c>
      <c r="G76">
        <v>230</v>
      </c>
    </row>
    <row r="77" spans="1:7" x14ac:dyDescent="0.3">
      <c r="A77" t="s">
        <v>433</v>
      </c>
      <c r="B77" t="s">
        <v>234</v>
      </c>
      <c r="C77">
        <v>14</v>
      </c>
      <c r="D77" s="1">
        <v>45859</v>
      </c>
      <c r="E77">
        <v>190300</v>
      </c>
      <c r="F77" t="s">
        <v>1023</v>
      </c>
      <c r="G77">
        <v>185</v>
      </c>
    </row>
    <row r="78" spans="1:7" x14ac:dyDescent="0.3">
      <c r="A78" t="s">
        <v>433</v>
      </c>
      <c r="B78" t="s">
        <v>224</v>
      </c>
      <c r="C78">
        <v>14</v>
      </c>
      <c r="D78" s="1">
        <v>45859</v>
      </c>
      <c r="E78">
        <v>238700</v>
      </c>
      <c r="F78" t="s">
        <v>1031</v>
      </c>
      <c r="G78">
        <v>140</v>
      </c>
    </row>
    <row r="79" spans="1:7" x14ac:dyDescent="0.3">
      <c r="A79" t="s">
        <v>433</v>
      </c>
      <c r="B79" t="s">
        <v>314</v>
      </c>
      <c r="C79">
        <v>14</v>
      </c>
      <c r="D79" s="1">
        <v>45858</v>
      </c>
      <c r="E79">
        <v>436700</v>
      </c>
      <c r="F79" t="s">
        <v>281</v>
      </c>
      <c r="G79">
        <v>127</v>
      </c>
    </row>
    <row r="80" spans="1:7" x14ac:dyDescent="0.3">
      <c r="A80" t="s">
        <v>433</v>
      </c>
      <c r="B80" t="s">
        <v>439</v>
      </c>
      <c r="C80">
        <v>14</v>
      </c>
      <c r="D80" s="1">
        <v>45857</v>
      </c>
      <c r="E80">
        <v>866800</v>
      </c>
      <c r="F80" t="s">
        <v>426</v>
      </c>
      <c r="G80">
        <v>114</v>
      </c>
    </row>
    <row r="81" spans="1:7" x14ac:dyDescent="0.3">
      <c r="A81" t="s">
        <v>433</v>
      </c>
      <c r="B81" t="s">
        <v>231</v>
      </c>
      <c r="C81">
        <v>14</v>
      </c>
      <c r="D81" s="1">
        <v>45857</v>
      </c>
      <c r="E81">
        <v>480700</v>
      </c>
      <c r="F81" t="s">
        <v>398</v>
      </c>
      <c r="G81">
        <v>112</v>
      </c>
    </row>
    <row r="82" spans="1:7" x14ac:dyDescent="0.3">
      <c r="A82" t="s">
        <v>433</v>
      </c>
      <c r="B82" t="s">
        <v>234</v>
      </c>
      <c r="C82">
        <v>14</v>
      </c>
      <c r="D82" s="1">
        <v>45857</v>
      </c>
      <c r="E82">
        <v>176000</v>
      </c>
      <c r="F82" t="s">
        <v>400</v>
      </c>
      <c r="G82">
        <v>103</v>
      </c>
    </row>
    <row r="83" spans="1:7" x14ac:dyDescent="0.3">
      <c r="A83" t="s">
        <v>433</v>
      </c>
      <c r="B83" t="s">
        <v>234</v>
      </c>
      <c r="C83">
        <v>15</v>
      </c>
      <c r="D83" s="1">
        <v>45872</v>
      </c>
      <c r="E83">
        <v>104500</v>
      </c>
      <c r="F83" t="s">
        <v>510</v>
      </c>
      <c r="G83">
        <v>727</v>
      </c>
    </row>
    <row r="84" spans="1:7" x14ac:dyDescent="0.3">
      <c r="A84" t="s">
        <v>433</v>
      </c>
      <c r="B84" t="s">
        <v>224</v>
      </c>
      <c r="C84">
        <v>15</v>
      </c>
      <c r="D84" s="1">
        <v>45870</v>
      </c>
      <c r="E84">
        <v>112200</v>
      </c>
      <c r="F84" t="s">
        <v>654</v>
      </c>
      <c r="G84">
        <v>565</v>
      </c>
    </row>
    <row r="85" spans="1:7" x14ac:dyDescent="0.3">
      <c r="A85" t="s">
        <v>433</v>
      </c>
      <c r="B85" t="s">
        <v>235</v>
      </c>
      <c r="C85">
        <v>15</v>
      </c>
      <c r="D85" s="1">
        <v>45868</v>
      </c>
      <c r="E85">
        <v>293700</v>
      </c>
      <c r="F85" t="s">
        <v>755</v>
      </c>
      <c r="G85">
        <v>505</v>
      </c>
    </row>
    <row r="86" spans="1:7" x14ac:dyDescent="0.3">
      <c r="A86" t="s">
        <v>433</v>
      </c>
      <c r="B86" t="s">
        <v>231</v>
      </c>
      <c r="C86">
        <v>15</v>
      </c>
      <c r="D86" s="1">
        <v>45865</v>
      </c>
      <c r="E86">
        <v>517000</v>
      </c>
      <c r="F86" t="s">
        <v>867</v>
      </c>
      <c r="G86">
        <v>402</v>
      </c>
    </row>
    <row r="87" spans="1:7" x14ac:dyDescent="0.3">
      <c r="A87" t="s">
        <v>433</v>
      </c>
      <c r="B87" t="s">
        <v>310</v>
      </c>
      <c r="C87">
        <v>15</v>
      </c>
      <c r="D87" s="1">
        <v>45862</v>
      </c>
      <c r="E87">
        <v>292600</v>
      </c>
      <c r="F87" t="s">
        <v>328</v>
      </c>
      <c r="G87">
        <v>243</v>
      </c>
    </row>
    <row r="88" spans="1:7" x14ac:dyDescent="0.3">
      <c r="A88" t="s">
        <v>433</v>
      </c>
      <c r="B88" t="s">
        <v>310</v>
      </c>
      <c r="C88">
        <v>15</v>
      </c>
      <c r="D88" s="1">
        <v>45863</v>
      </c>
      <c r="E88">
        <v>262900</v>
      </c>
      <c r="F88" t="s">
        <v>985</v>
      </c>
      <c r="G88">
        <v>230</v>
      </c>
    </row>
    <row r="89" spans="1:7" x14ac:dyDescent="0.3">
      <c r="A89" t="s">
        <v>433</v>
      </c>
      <c r="B89" t="s">
        <v>310</v>
      </c>
      <c r="C89">
        <v>15</v>
      </c>
      <c r="D89" s="1">
        <v>45860</v>
      </c>
      <c r="E89">
        <v>264000</v>
      </c>
      <c r="F89" t="s">
        <v>381</v>
      </c>
      <c r="G89">
        <v>247</v>
      </c>
    </row>
    <row r="90" spans="1:7" x14ac:dyDescent="0.3">
      <c r="A90" t="s">
        <v>433</v>
      </c>
      <c r="B90" t="s">
        <v>228</v>
      </c>
      <c r="C90">
        <v>15</v>
      </c>
      <c r="D90" s="1">
        <v>45858</v>
      </c>
      <c r="E90">
        <v>73700</v>
      </c>
      <c r="F90" t="s">
        <v>1019</v>
      </c>
      <c r="G90">
        <v>164</v>
      </c>
    </row>
    <row r="91" spans="1:7" x14ac:dyDescent="0.3">
      <c r="A91" t="s">
        <v>433</v>
      </c>
      <c r="B91" t="s">
        <v>309</v>
      </c>
      <c r="C91">
        <v>15</v>
      </c>
      <c r="D91" s="1">
        <v>45859</v>
      </c>
      <c r="E91">
        <v>108900</v>
      </c>
      <c r="F91" t="s">
        <v>334</v>
      </c>
      <c r="G91">
        <v>153</v>
      </c>
    </row>
    <row r="92" spans="1:7" x14ac:dyDescent="0.3">
      <c r="A92" t="s">
        <v>433</v>
      </c>
      <c r="B92" t="s">
        <v>224</v>
      </c>
      <c r="C92">
        <v>15</v>
      </c>
      <c r="D92" s="1">
        <v>45858</v>
      </c>
      <c r="E92">
        <v>315700</v>
      </c>
      <c r="F92" t="s">
        <v>410</v>
      </c>
      <c r="G92">
        <v>158</v>
      </c>
    </row>
    <row r="93" spans="1:7" x14ac:dyDescent="0.3">
      <c r="A93" t="s">
        <v>433</v>
      </c>
      <c r="B93" t="s">
        <v>235</v>
      </c>
      <c r="C93">
        <v>15</v>
      </c>
      <c r="D93" s="1">
        <v>45857</v>
      </c>
      <c r="E93">
        <v>18700</v>
      </c>
      <c r="F93" t="s">
        <v>251</v>
      </c>
      <c r="G93">
        <v>122</v>
      </c>
    </row>
    <row r="94" spans="1:7" x14ac:dyDescent="0.3">
      <c r="A94" t="s">
        <v>433</v>
      </c>
      <c r="B94" t="s">
        <v>313</v>
      </c>
      <c r="C94">
        <v>15</v>
      </c>
      <c r="D94" s="1">
        <v>45857</v>
      </c>
      <c r="E94">
        <v>265100</v>
      </c>
      <c r="F94" t="s">
        <v>395</v>
      </c>
      <c r="G94">
        <v>122</v>
      </c>
    </row>
    <row r="95" spans="1:7" x14ac:dyDescent="0.3">
      <c r="A95" t="s">
        <v>433</v>
      </c>
      <c r="B95" t="s">
        <v>233</v>
      </c>
      <c r="C95">
        <v>15</v>
      </c>
      <c r="D95" s="1">
        <v>45857</v>
      </c>
      <c r="E95">
        <v>251900</v>
      </c>
      <c r="F95" t="s">
        <v>1033</v>
      </c>
      <c r="G95">
        <v>116</v>
      </c>
    </row>
    <row r="96" spans="1:7" x14ac:dyDescent="0.3">
      <c r="A96" t="s">
        <v>433</v>
      </c>
      <c r="B96" t="s">
        <v>310</v>
      </c>
      <c r="C96">
        <v>15</v>
      </c>
      <c r="D96" s="1">
        <v>45857</v>
      </c>
      <c r="E96">
        <v>269500</v>
      </c>
      <c r="F96" t="s">
        <v>399</v>
      </c>
      <c r="G96">
        <v>115</v>
      </c>
    </row>
    <row r="97" spans="1:7" x14ac:dyDescent="0.3">
      <c r="A97" t="s">
        <v>433</v>
      </c>
      <c r="B97" t="s">
        <v>309</v>
      </c>
      <c r="C97">
        <v>15</v>
      </c>
      <c r="D97" s="1">
        <v>45856</v>
      </c>
      <c r="E97">
        <v>314600</v>
      </c>
      <c r="F97" t="s">
        <v>380</v>
      </c>
      <c r="G97">
        <v>113</v>
      </c>
    </row>
    <row r="98" spans="1:7" x14ac:dyDescent="0.3">
      <c r="A98" t="s">
        <v>433</v>
      </c>
      <c r="B98" t="s">
        <v>310</v>
      </c>
      <c r="C98">
        <v>15</v>
      </c>
      <c r="D98" s="1">
        <v>45857</v>
      </c>
      <c r="E98">
        <v>352000</v>
      </c>
      <c r="F98" t="s">
        <v>388</v>
      </c>
      <c r="G98">
        <v>112</v>
      </c>
    </row>
    <row r="99" spans="1:7" x14ac:dyDescent="0.3">
      <c r="A99" t="s">
        <v>433</v>
      </c>
      <c r="B99" t="s">
        <v>233</v>
      </c>
      <c r="C99">
        <v>15</v>
      </c>
      <c r="D99" s="1">
        <v>45855</v>
      </c>
      <c r="E99">
        <v>133100</v>
      </c>
      <c r="F99" t="s">
        <v>401</v>
      </c>
      <c r="G99">
        <v>98</v>
      </c>
    </row>
    <row r="100" spans="1:7" x14ac:dyDescent="0.3">
      <c r="A100" t="s">
        <v>433</v>
      </c>
      <c r="B100" t="s">
        <v>309</v>
      </c>
      <c r="C100">
        <v>16</v>
      </c>
      <c r="D100" s="1">
        <v>45871</v>
      </c>
      <c r="E100">
        <v>229900</v>
      </c>
      <c r="F100" t="s">
        <v>522</v>
      </c>
      <c r="G100">
        <v>731</v>
      </c>
    </row>
    <row r="101" spans="1:7" x14ac:dyDescent="0.3">
      <c r="A101" t="s">
        <v>433</v>
      </c>
      <c r="B101" t="s">
        <v>310</v>
      </c>
      <c r="C101">
        <v>16</v>
      </c>
      <c r="D101" s="1">
        <v>45871</v>
      </c>
      <c r="E101">
        <v>155100</v>
      </c>
      <c r="F101" t="s">
        <v>544</v>
      </c>
      <c r="G101">
        <v>690</v>
      </c>
    </row>
    <row r="102" spans="1:7" x14ac:dyDescent="0.3">
      <c r="A102" t="s">
        <v>433</v>
      </c>
      <c r="B102" t="s">
        <v>226</v>
      </c>
      <c r="C102">
        <v>16</v>
      </c>
      <c r="D102" s="1">
        <v>45870</v>
      </c>
      <c r="E102">
        <v>198000</v>
      </c>
      <c r="F102" t="s">
        <v>592</v>
      </c>
      <c r="G102">
        <v>720</v>
      </c>
    </row>
    <row r="103" spans="1:7" x14ac:dyDescent="0.3">
      <c r="A103" t="s">
        <v>433</v>
      </c>
      <c r="B103" t="s">
        <v>224</v>
      </c>
      <c r="C103">
        <v>16</v>
      </c>
      <c r="D103" s="1">
        <v>45868</v>
      </c>
      <c r="E103">
        <v>84700</v>
      </c>
      <c r="F103" t="s">
        <v>686</v>
      </c>
      <c r="G103">
        <v>555</v>
      </c>
    </row>
    <row r="104" spans="1:7" x14ac:dyDescent="0.3">
      <c r="A104" t="s">
        <v>433</v>
      </c>
      <c r="B104" t="s">
        <v>235</v>
      </c>
      <c r="C104">
        <v>16</v>
      </c>
      <c r="D104" s="1">
        <v>45868</v>
      </c>
      <c r="E104">
        <v>7700</v>
      </c>
      <c r="F104" t="s">
        <v>704</v>
      </c>
      <c r="G104">
        <v>545</v>
      </c>
    </row>
    <row r="105" spans="1:7" x14ac:dyDescent="0.3">
      <c r="A105" t="s">
        <v>433</v>
      </c>
      <c r="B105" t="s">
        <v>309</v>
      </c>
      <c r="C105">
        <v>16</v>
      </c>
      <c r="D105" s="1">
        <v>45865</v>
      </c>
      <c r="E105">
        <v>121000</v>
      </c>
      <c r="F105" t="s">
        <v>793</v>
      </c>
      <c r="G105">
        <v>459</v>
      </c>
    </row>
    <row r="106" spans="1:7" x14ac:dyDescent="0.3">
      <c r="A106" t="s">
        <v>433</v>
      </c>
      <c r="B106" t="s">
        <v>309</v>
      </c>
      <c r="C106">
        <v>16</v>
      </c>
      <c r="D106" s="1">
        <v>45866</v>
      </c>
      <c r="E106">
        <v>176000</v>
      </c>
      <c r="F106" t="s">
        <v>376</v>
      </c>
      <c r="G106">
        <v>436</v>
      </c>
    </row>
    <row r="107" spans="1:7" x14ac:dyDescent="0.3">
      <c r="A107" t="s">
        <v>433</v>
      </c>
      <c r="B107" t="s">
        <v>226</v>
      </c>
      <c r="C107">
        <v>16</v>
      </c>
      <c r="D107" s="1">
        <v>45865</v>
      </c>
      <c r="E107">
        <v>282700</v>
      </c>
      <c r="F107" t="s">
        <v>892</v>
      </c>
      <c r="G107">
        <v>342</v>
      </c>
    </row>
    <row r="108" spans="1:7" x14ac:dyDescent="0.3">
      <c r="A108" t="s">
        <v>433</v>
      </c>
      <c r="B108" t="s">
        <v>229</v>
      </c>
      <c r="C108">
        <v>16</v>
      </c>
      <c r="D108" s="1">
        <v>45863</v>
      </c>
      <c r="E108">
        <v>172700</v>
      </c>
      <c r="F108" t="s">
        <v>941</v>
      </c>
      <c r="G108">
        <v>327</v>
      </c>
    </row>
    <row r="109" spans="1:7" x14ac:dyDescent="0.3">
      <c r="A109" t="s">
        <v>433</v>
      </c>
      <c r="B109" t="s">
        <v>310</v>
      </c>
      <c r="C109">
        <v>16</v>
      </c>
      <c r="D109" s="1">
        <v>45862</v>
      </c>
      <c r="E109">
        <v>157300</v>
      </c>
      <c r="F109" t="s">
        <v>956</v>
      </c>
      <c r="G109">
        <v>273</v>
      </c>
    </row>
    <row r="110" spans="1:7" x14ac:dyDescent="0.3">
      <c r="A110" t="s">
        <v>433</v>
      </c>
      <c r="B110" t="s">
        <v>309</v>
      </c>
      <c r="C110">
        <v>16</v>
      </c>
      <c r="D110" s="1">
        <v>45863</v>
      </c>
      <c r="E110">
        <v>55000</v>
      </c>
      <c r="F110" t="s">
        <v>961</v>
      </c>
      <c r="G110">
        <v>265</v>
      </c>
    </row>
    <row r="111" spans="1:7" x14ac:dyDescent="0.3">
      <c r="A111" t="s">
        <v>433</v>
      </c>
      <c r="B111" t="s">
        <v>236</v>
      </c>
      <c r="C111">
        <v>16</v>
      </c>
      <c r="D111" s="1">
        <v>45860</v>
      </c>
      <c r="E111">
        <v>352000</v>
      </c>
      <c r="F111" t="s">
        <v>367</v>
      </c>
      <c r="G111">
        <v>224</v>
      </c>
    </row>
    <row r="112" spans="1:7" x14ac:dyDescent="0.3">
      <c r="A112" t="s">
        <v>433</v>
      </c>
      <c r="B112" t="s">
        <v>231</v>
      </c>
      <c r="C112">
        <v>16</v>
      </c>
      <c r="D112" s="1">
        <v>45858</v>
      </c>
      <c r="E112">
        <v>293700</v>
      </c>
      <c r="F112" t="s">
        <v>396</v>
      </c>
      <c r="G112">
        <v>173</v>
      </c>
    </row>
    <row r="113" spans="1:7" x14ac:dyDescent="0.3">
      <c r="A113" t="s">
        <v>433</v>
      </c>
      <c r="B113" t="s">
        <v>231</v>
      </c>
      <c r="C113">
        <v>16</v>
      </c>
      <c r="D113" s="1">
        <v>45858</v>
      </c>
      <c r="E113">
        <v>370700</v>
      </c>
      <c r="F113" t="s">
        <v>412</v>
      </c>
      <c r="G113">
        <v>173</v>
      </c>
    </row>
    <row r="114" spans="1:7" x14ac:dyDescent="0.3">
      <c r="A114" t="s">
        <v>433</v>
      </c>
      <c r="B114" t="s">
        <v>234</v>
      </c>
      <c r="C114">
        <v>16</v>
      </c>
      <c r="D114" s="1">
        <v>45858</v>
      </c>
      <c r="E114">
        <v>281600</v>
      </c>
      <c r="F114" t="s">
        <v>1018</v>
      </c>
      <c r="G114">
        <v>202</v>
      </c>
    </row>
    <row r="115" spans="1:7" x14ac:dyDescent="0.3">
      <c r="A115" t="s">
        <v>433</v>
      </c>
      <c r="B115" t="s">
        <v>234</v>
      </c>
      <c r="C115">
        <v>16</v>
      </c>
      <c r="D115" s="1">
        <v>45857</v>
      </c>
      <c r="E115">
        <v>374000</v>
      </c>
      <c r="F115" t="s">
        <v>365</v>
      </c>
      <c r="G115">
        <v>135</v>
      </c>
    </row>
    <row r="116" spans="1:7" x14ac:dyDescent="0.3">
      <c r="A116" t="s">
        <v>433</v>
      </c>
      <c r="B116" t="s">
        <v>231</v>
      </c>
      <c r="C116">
        <v>16</v>
      </c>
      <c r="D116" s="1">
        <v>45855</v>
      </c>
      <c r="E116">
        <v>150700</v>
      </c>
      <c r="F116" t="s">
        <v>1032</v>
      </c>
      <c r="G116">
        <v>126</v>
      </c>
    </row>
    <row r="117" spans="1:7" x14ac:dyDescent="0.3">
      <c r="A117" t="s">
        <v>433</v>
      </c>
      <c r="B117" t="s">
        <v>312</v>
      </c>
      <c r="C117">
        <v>16</v>
      </c>
      <c r="D117" s="1">
        <v>45856</v>
      </c>
      <c r="E117">
        <v>185900</v>
      </c>
      <c r="F117" t="s">
        <v>391</v>
      </c>
      <c r="G117">
        <v>128</v>
      </c>
    </row>
    <row r="118" spans="1:7" x14ac:dyDescent="0.3">
      <c r="A118" t="s">
        <v>433</v>
      </c>
      <c r="B118" t="s">
        <v>226</v>
      </c>
      <c r="C118">
        <v>16</v>
      </c>
      <c r="D118" s="1">
        <v>45856</v>
      </c>
      <c r="E118">
        <v>258500</v>
      </c>
      <c r="F118" t="s">
        <v>416</v>
      </c>
      <c r="G118">
        <v>148</v>
      </c>
    </row>
    <row r="119" spans="1:7" x14ac:dyDescent="0.3">
      <c r="A119" t="s">
        <v>433</v>
      </c>
      <c r="B119" t="s">
        <v>231</v>
      </c>
      <c r="C119">
        <v>16</v>
      </c>
      <c r="D119" s="1">
        <v>45855</v>
      </c>
      <c r="E119">
        <v>350900</v>
      </c>
      <c r="F119" t="s">
        <v>405</v>
      </c>
      <c r="G119">
        <v>105</v>
      </c>
    </row>
    <row r="120" spans="1:7" x14ac:dyDescent="0.3">
      <c r="A120" t="s">
        <v>433</v>
      </c>
      <c r="B120" t="s">
        <v>231</v>
      </c>
      <c r="C120">
        <v>16</v>
      </c>
      <c r="D120" s="1">
        <v>45855</v>
      </c>
      <c r="E120">
        <v>141900</v>
      </c>
      <c r="F120" t="s">
        <v>422</v>
      </c>
      <c r="G120">
        <v>106</v>
      </c>
    </row>
    <row r="121" spans="1:7" x14ac:dyDescent="0.3">
      <c r="A121" t="s">
        <v>433</v>
      </c>
      <c r="B121" t="s">
        <v>309</v>
      </c>
      <c r="C121">
        <v>16</v>
      </c>
      <c r="D121" s="1">
        <v>45855</v>
      </c>
      <c r="E121">
        <v>350900</v>
      </c>
      <c r="F121" t="s">
        <v>1037</v>
      </c>
      <c r="G121">
        <v>132</v>
      </c>
    </row>
    <row r="122" spans="1:7" x14ac:dyDescent="0.3">
      <c r="A122" t="s">
        <v>433</v>
      </c>
      <c r="B122" t="s">
        <v>231</v>
      </c>
      <c r="C122">
        <v>16</v>
      </c>
      <c r="D122" s="1">
        <v>45854</v>
      </c>
      <c r="E122">
        <v>286000</v>
      </c>
      <c r="F122" t="s">
        <v>1038</v>
      </c>
      <c r="G122">
        <v>102</v>
      </c>
    </row>
    <row r="123" spans="1:7" x14ac:dyDescent="0.3">
      <c r="A123" t="s">
        <v>433</v>
      </c>
      <c r="B123" t="s">
        <v>310</v>
      </c>
      <c r="C123">
        <v>16</v>
      </c>
      <c r="D123" s="1">
        <v>45854</v>
      </c>
      <c r="E123">
        <v>262900</v>
      </c>
      <c r="F123" t="s">
        <v>394</v>
      </c>
      <c r="G123">
        <v>96</v>
      </c>
    </row>
    <row r="124" spans="1:7" x14ac:dyDescent="0.3">
      <c r="A124" t="s">
        <v>433</v>
      </c>
      <c r="B124" t="s">
        <v>310</v>
      </c>
      <c r="C124">
        <v>17</v>
      </c>
      <c r="D124" s="1">
        <v>45869</v>
      </c>
      <c r="E124">
        <v>228800</v>
      </c>
      <c r="F124" t="s">
        <v>570</v>
      </c>
      <c r="G124">
        <v>751</v>
      </c>
    </row>
    <row r="125" spans="1:7" x14ac:dyDescent="0.3">
      <c r="A125" t="s">
        <v>433</v>
      </c>
      <c r="B125" t="s">
        <v>236</v>
      </c>
      <c r="C125">
        <v>17</v>
      </c>
      <c r="D125" s="1">
        <v>45868</v>
      </c>
      <c r="E125">
        <v>250800</v>
      </c>
      <c r="F125" t="s">
        <v>675</v>
      </c>
      <c r="G125">
        <v>598</v>
      </c>
    </row>
    <row r="126" spans="1:7" x14ac:dyDescent="0.3">
      <c r="A126" t="s">
        <v>433</v>
      </c>
      <c r="B126" t="s">
        <v>311</v>
      </c>
      <c r="C126">
        <v>17</v>
      </c>
      <c r="D126" s="1">
        <v>45866</v>
      </c>
      <c r="E126">
        <v>137500</v>
      </c>
      <c r="F126" t="s">
        <v>760</v>
      </c>
      <c r="G126">
        <v>489</v>
      </c>
    </row>
    <row r="127" spans="1:7" x14ac:dyDescent="0.3">
      <c r="A127" t="s">
        <v>433</v>
      </c>
      <c r="B127" t="s">
        <v>226</v>
      </c>
      <c r="C127">
        <v>17</v>
      </c>
      <c r="D127" s="1">
        <v>45863</v>
      </c>
      <c r="E127">
        <v>193600</v>
      </c>
      <c r="F127" t="s">
        <v>847</v>
      </c>
      <c r="G127">
        <v>388</v>
      </c>
    </row>
    <row r="128" spans="1:7" x14ac:dyDescent="0.3">
      <c r="A128" t="s">
        <v>433</v>
      </c>
      <c r="B128" t="s">
        <v>233</v>
      </c>
      <c r="C128">
        <v>17</v>
      </c>
      <c r="D128" s="1">
        <v>45864</v>
      </c>
      <c r="E128">
        <v>99000</v>
      </c>
      <c r="F128" t="s">
        <v>852</v>
      </c>
      <c r="G128">
        <v>383</v>
      </c>
    </row>
    <row r="129" spans="1:7" x14ac:dyDescent="0.3">
      <c r="A129" t="s">
        <v>433</v>
      </c>
      <c r="B129" t="s">
        <v>311</v>
      </c>
      <c r="C129">
        <v>17</v>
      </c>
      <c r="D129" s="1">
        <v>45861</v>
      </c>
      <c r="E129">
        <v>194700</v>
      </c>
      <c r="F129" t="s">
        <v>968</v>
      </c>
      <c r="G129">
        <v>249</v>
      </c>
    </row>
    <row r="130" spans="1:7" x14ac:dyDescent="0.3">
      <c r="A130" t="s">
        <v>433</v>
      </c>
      <c r="B130" t="s">
        <v>235</v>
      </c>
      <c r="C130">
        <v>17</v>
      </c>
      <c r="D130" s="1">
        <v>45861</v>
      </c>
      <c r="E130">
        <v>18700</v>
      </c>
      <c r="F130" t="s">
        <v>975</v>
      </c>
      <c r="G130">
        <v>256</v>
      </c>
    </row>
    <row r="131" spans="1:7" x14ac:dyDescent="0.3">
      <c r="A131" t="s">
        <v>433</v>
      </c>
      <c r="B131" t="s">
        <v>309</v>
      </c>
      <c r="C131">
        <v>17</v>
      </c>
      <c r="D131" s="1">
        <v>45860</v>
      </c>
      <c r="E131">
        <v>297000</v>
      </c>
      <c r="F131" t="s">
        <v>346</v>
      </c>
      <c r="G131">
        <v>234</v>
      </c>
    </row>
    <row r="132" spans="1:7" x14ac:dyDescent="0.3">
      <c r="A132" t="s">
        <v>433</v>
      </c>
      <c r="B132" t="s">
        <v>233</v>
      </c>
      <c r="C132">
        <v>17</v>
      </c>
      <c r="D132" s="1">
        <v>45860</v>
      </c>
      <c r="E132">
        <v>90200</v>
      </c>
      <c r="F132" t="s">
        <v>994</v>
      </c>
      <c r="G132">
        <v>255</v>
      </c>
    </row>
    <row r="133" spans="1:7" x14ac:dyDescent="0.3">
      <c r="A133" t="s">
        <v>433</v>
      </c>
      <c r="B133" t="s">
        <v>235</v>
      </c>
      <c r="C133">
        <v>17</v>
      </c>
      <c r="D133" s="1">
        <v>45858</v>
      </c>
      <c r="E133">
        <v>117700</v>
      </c>
      <c r="F133" t="s">
        <v>335</v>
      </c>
      <c r="G133">
        <v>209</v>
      </c>
    </row>
    <row r="134" spans="1:7" x14ac:dyDescent="0.3">
      <c r="A134" t="s">
        <v>433</v>
      </c>
      <c r="B134" t="s">
        <v>226</v>
      </c>
      <c r="C134">
        <v>17</v>
      </c>
      <c r="D134" s="1">
        <v>45858</v>
      </c>
      <c r="E134">
        <v>284900</v>
      </c>
      <c r="F134" t="s">
        <v>1008</v>
      </c>
      <c r="G134">
        <v>194</v>
      </c>
    </row>
    <row r="135" spans="1:7" x14ac:dyDescent="0.3">
      <c r="A135" t="s">
        <v>433</v>
      </c>
      <c r="B135" t="s">
        <v>309</v>
      </c>
      <c r="C135">
        <v>17</v>
      </c>
      <c r="D135" s="1">
        <v>45857</v>
      </c>
      <c r="E135">
        <v>29700</v>
      </c>
      <c r="F135" t="s">
        <v>1015</v>
      </c>
      <c r="G135">
        <v>186</v>
      </c>
    </row>
    <row r="136" spans="1:7" x14ac:dyDescent="0.3">
      <c r="A136" t="s">
        <v>433</v>
      </c>
      <c r="B136" t="s">
        <v>309</v>
      </c>
      <c r="C136">
        <v>17</v>
      </c>
      <c r="D136" s="1">
        <v>45858</v>
      </c>
      <c r="E136">
        <v>121000</v>
      </c>
      <c r="F136" t="s">
        <v>316</v>
      </c>
      <c r="G136">
        <v>185</v>
      </c>
    </row>
    <row r="137" spans="1:7" x14ac:dyDescent="0.3">
      <c r="A137" t="s">
        <v>433</v>
      </c>
      <c r="B137" t="s">
        <v>311</v>
      </c>
      <c r="C137">
        <v>17</v>
      </c>
      <c r="D137" s="1">
        <v>45857</v>
      </c>
      <c r="E137">
        <v>108900</v>
      </c>
      <c r="F137" t="s">
        <v>336</v>
      </c>
      <c r="G137">
        <v>176</v>
      </c>
    </row>
    <row r="138" spans="1:7" x14ac:dyDescent="0.3">
      <c r="A138" t="s">
        <v>433</v>
      </c>
      <c r="B138" t="s">
        <v>229</v>
      </c>
      <c r="C138">
        <v>17</v>
      </c>
      <c r="D138" s="1">
        <v>45856</v>
      </c>
      <c r="E138">
        <v>58300</v>
      </c>
      <c r="F138" t="s">
        <v>330</v>
      </c>
      <c r="G138">
        <v>168</v>
      </c>
    </row>
    <row r="139" spans="1:7" x14ac:dyDescent="0.3">
      <c r="A139" t="s">
        <v>433</v>
      </c>
      <c r="B139" t="s">
        <v>231</v>
      </c>
      <c r="C139">
        <v>17</v>
      </c>
      <c r="D139" s="1">
        <v>45857</v>
      </c>
      <c r="E139">
        <v>254100</v>
      </c>
      <c r="F139" t="s">
        <v>362</v>
      </c>
      <c r="G139">
        <v>159</v>
      </c>
    </row>
    <row r="140" spans="1:7" x14ac:dyDescent="0.3">
      <c r="A140" t="s">
        <v>433</v>
      </c>
      <c r="B140" t="s">
        <v>311</v>
      </c>
      <c r="C140">
        <v>17</v>
      </c>
      <c r="D140" s="1">
        <v>45856</v>
      </c>
      <c r="E140">
        <v>190300</v>
      </c>
      <c r="F140" t="s">
        <v>379</v>
      </c>
      <c r="G140">
        <v>146</v>
      </c>
    </row>
    <row r="141" spans="1:7" x14ac:dyDescent="0.3">
      <c r="A141" t="s">
        <v>433</v>
      </c>
      <c r="B141" t="s">
        <v>231</v>
      </c>
      <c r="C141">
        <v>17</v>
      </c>
      <c r="D141" s="1">
        <v>45856</v>
      </c>
      <c r="E141">
        <v>242000</v>
      </c>
      <c r="F141" t="s">
        <v>1024</v>
      </c>
      <c r="G141">
        <v>155</v>
      </c>
    </row>
    <row r="142" spans="1:7" x14ac:dyDescent="0.3">
      <c r="A142" t="s">
        <v>433</v>
      </c>
      <c r="B142" t="s">
        <v>309</v>
      </c>
      <c r="C142">
        <v>17</v>
      </c>
      <c r="D142" s="1">
        <v>45857</v>
      </c>
      <c r="E142">
        <v>33000</v>
      </c>
      <c r="F142" t="s">
        <v>352</v>
      </c>
      <c r="G142">
        <v>152</v>
      </c>
    </row>
    <row r="143" spans="1:7" x14ac:dyDescent="0.3">
      <c r="A143" t="s">
        <v>433</v>
      </c>
      <c r="B143" t="s">
        <v>231</v>
      </c>
      <c r="C143">
        <v>17</v>
      </c>
      <c r="D143" s="1">
        <v>45856</v>
      </c>
      <c r="E143">
        <v>154000</v>
      </c>
      <c r="F143" t="s">
        <v>404</v>
      </c>
      <c r="G143">
        <v>171</v>
      </c>
    </row>
    <row r="144" spans="1:7" x14ac:dyDescent="0.3">
      <c r="A144" t="s">
        <v>433</v>
      </c>
      <c r="B144" t="s">
        <v>228</v>
      </c>
      <c r="C144">
        <v>17</v>
      </c>
      <c r="D144" s="1">
        <v>45856</v>
      </c>
      <c r="E144">
        <v>234300</v>
      </c>
      <c r="F144" t="s">
        <v>257</v>
      </c>
      <c r="G144">
        <v>136</v>
      </c>
    </row>
    <row r="145" spans="1:7" x14ac:dyDescent="0.3">
      <c r="A145" t="s">
        <v>433</v>
      </c>
      <c r="B145" t="s">
        <v>230</v>
      </c>
      <c r="C145">
        <v>17</v>
      </c>
      <c r="D145" s="1">
        <v>45855</v>
      </c>
      <c r="E145">
        <v>144100</v>
      </c>
      <c r="F145" t="s">
        <v>397</v>
      </c>
      <c r="G145">
        <v>116</v>
      </c>
    </row>
    <row r="146" spans="1:7" x14ac:dyDescent="0.3">
      <c r="A146" t="s">
        <v>433</v>
      </c>
      <c r="B146" t="s">
        <v>233</v>
      </c>
      <c r="C146">
        <v>18</v>
      </c>
      <c r="D146" s="1">
        <v>45869</v>
      </c>
      <c r="E146">
        <v>62700</v>
      </c>
      <c r="F146" t="s">
        <v>491</v>
      </c>
      <c r="G146">
        <v>743</v>
      </c>
    </row>
    <row r="147" spans="1:7" x14ac:dyDescent="0.3">
      <c r="A147" t="s">
        <v>433</v>
      </c>
      <c r="B147" t="s">
        <v>224</v>
      </c>
      <c r="C147">
        <v>18</v>
      </c>
      <c r="D147" s="1">
        <v>45867</v>
      </c>
      <c r="E147">
        <v>337700</v>
      </c>
      <c r="F147" t="s">
        <v>644</v>
      </c>
      <c r="G147">
        <v>588</v>
      </c>
    </row>
    <row r="148" spans="1:7" x14ac:dyDescent="0.3">
      <c r="A148" t="s">
        <v>433</v>
      </c>
      <c r="B148" t="s">
        <v>225</v>
      </c>
      <c r="C148">
        <v>18</v>
      </c>
      <c r="D148" s="1">
        <v>45866</v>
      </c>
      <c r="E148">
        <v>7700</v>
      </c>
      <c r="F148" t="s">
        <v>660</v>
      </c>
      <c r="G148">
        <v>587</v>
      </c>
    </row>
    <row r="149" spans="1:7" x14ac:dyDescent="0.3">
      <c r="A149" t="s">
        <v>433</v>
      </c>
      <c r="B149" t="s">
        <v>229</v>
      </c>
      <c r="C149">
        <v>18</v>
      </c>
      <c r="D149" s="1">
        <v>45867</v>
      </c>
      <c r="E149">
        <v>123200</v>
      </c>
      <c r="F149" t="s">
        <v>670</v>
      </c>
      <c r="G149">
        <v>579</v>
      </c>
    </row>
    <row r="150" spans="1:7" x14ac:dyDescent="0.3">
      <c r="A150" t="s">
        <v>433</v>
      </c>
      <c r="B150" t="s">
        <v>229</v>
      </c>
      <c r="C150">
        <v>18</v>
      </c>
      <c r="D150" s="1">
        <v>45864</v>
      </c>
      <c r="E150">
        <v>179300</v>
      </c>
      <c r="F150" t="s">
        <v>830</v>
      </c>
      <c r="G150">
        <v>405</v>
      </c>
    </row>
    <row r="151" spans="1:7" x14ac:dyDescent="0.3">
      <c r="A151" t="s">
        <v>433</v>
      </c>
      <c r="B151" t="s">
        <v>231</v>
      </c>
      <c r="C151">
        <v>18</v>
      </c>
      <c r="D151" s="1">
        <v>45862</v>
      </c>
      <c r="E151">
        <v>465300</v>
      </c>
      <c r="F151" t="s">
        <v>877</v>
      </c>
      <c r="G151">
        <v>358</v>
      </c>
    </row>
    <row r="152" spans="1:7" x14ac:dyDescent="0.3">
      <c r="A152" t="s">
        <v>433</v>
      </c>
      <c r="B152" t="s">
        <v>310</v>
      </c>
      <c r="C152">
        <v>18</v>
      </c>
      <c r="D152" s="1">
        <v>45861</v>
      </c>
      <c r="E152">
        <v>106700</v>
      </c>
      <c r="F152" t="s">
        <v>946</v>
      </c>
      <c r="G152">
        <v>279</v>
      </c>
    </row>
    <row r="153" spans="1:7" x14ac:dyDescent="0.3">
      <c r="A153" t="s">
        <v>433</v>
      </c>
      <c r="B153" t="s">
        <v>226</v>
      </c>
      <c r="C153">
        <v>18</v>
      </c>
      <c r="D153" s="1">
        <v>45860</v>
      </c>
      <c r="E153">
        <v>156200</v>
      </c>
      <c r="F153" t="s">
        <v>390</v>
      </c>
      <c r="G153">
        <v>264</v>
      </c>
    </row>
    <row r="154" spans="1:7" x14ac:dyDescent="0.3">
      <c r="A154" t="s">
        <v>433</v>
      </c>
      <c r="B154" t="s">
        <v>235</v>
      </c>
      <c r="C154">
        <v>18</v>
      </c>
      <c r="D154" s="1">
        <v>45858</v>
      </c>
      <c r="E154">
        <v>7700</v>
      </c>
      <c r="F154" t="s">
        <v>984</v>
      </c>
      <c r="G154">
        <v>224</v>
      </c>
    </row>
    <row r="155" spans="1:7" x14ac:dyDescent="0.3">
      <c r="A155" t="s">
        <v>433</v>
      </c>
      <c r="B155" t="s">
        <v>235</v>
      </c>
      <c r="C155">
        <v>18</v>
      </c>
      <c r="D155" s="1">
        <v>45859</v>
      </c>
      <c r="E155">
        <v>152900</v>
      </c>
      <c r="F155" t="s">
        <v>988</v>
      </c>
      <c r="G155">
        <v>226</v>
      </c>
    </row>
    <row r="156" spans="1:7" x14ac:dyDescent="0.3">
      <c r="A156" t="s">
        <v>433</v>
      </c>
      <c r="B156" t="s">
        <v>231</v>
      </c>
      <c r="C156">
        <v>18</v>
      </c>
      <c r="D156" s="1">
        <v>45858</v>
      </c>
      <c r="E156">
        <v>40700</v>
      </c>
      <c r="F156" t="s">
        <v>1001</v>
      </c>
      <c r="G156">
        <v>210</v>
      </c>
    </row>
    <row r="157" spans="1:7" x14ac:dyDescent="0.3">
      <c r="A157" t="s">
        <v>433</v>
      </c>
      <c r="B157" t="s">
        <v>235</v>
      </c>
      <c r="C157">
        <v>18</v>
      </c>
      <c r="D157" s="1">
        <v>45857</v>
      </c>
      <c r="E157">
        <v>23100</v>
      </c>
      <c r="F157" t="s">
        <v>326</v>
      </c>
      <c r="G157">
        <v>201</v>
      </c>
    </row>
    <row r="158" spans="1:7" x14ac:dyDescent="0.3">
      <c r="A158" t="s">
        <v>433</v>
      </c>
      <c r="B158" t="s">
        <v>235</v>
      </c>
      <c r="C158">
        <v>18</v>
      </c>
      <c r="D158" s="1">
        <v>45857</v>
      </c>
      <c r="E158">
        <v>27500</v>
      </c>
      <c r="F158" t="s">
        <v>1009</v>
      </c>
      <c r="G158">
        <v>211</v>
      </c>
    </row>
    <row r="159" spans="1:7" x14ac:dyDescent="0.3">
      <c r="A159" t="s">
        <v>433</v>
      </c>
      <c r="B159" t="s">
        <v>225</v>
      </c>
      <c r="C159">
        <v>18</v>
      </c>
      <c r="D159" s="1">
        <v>45857</v>
      </c>
      <c r="E159">
        <v>103400</v>
      </c>
      <c r="F159" t="s">
        <v>1010</v>
      </c>
      <c r="G159">
        <v>196</v>
      </c>
    </row>
    <row r="160" spans="1:7" x14ac:dyDescent="0.3">
      <c r="A160" t="s">
        <v>433</v>
      </c>
      <c r="B160" t="s">
        <v>229</v>
      </c>
      <c r="C160">
        <v>18</v>
      </c>
      <c r="D160" s="1">
        <v>45857</v>
      </c>
      <c r="E160">
        <v>104500</v>
      </c>
      <c r="F160" t="s">
        <v>1011</v>
      </c>
      <c r="G160">
        <v>189</v>
      </c>
    </row>
    <row r="161" spans="1:7" x14ac:dyDescent="0.3">
      <c r="A161" t="s">
        <v>433</v>
      </c>
      <c r="B161" t="s">
        <v>235</v>
      </c>
      <c r="C161">
        <v>18</v>
      </c>
      <c r="D161" s="1">
        <v>45857</v>
      </c>
      <c r="E161">
        <v>25300</v>
      </c>
      <c r="F161" t="s">
        <v>1013</v>
      </c>
      <c r="G161">
        <v>186</v>
      </c>
    </row>
    <row r="162" spans="1:7" x14ac:dyDescent="0.3">
      <c r="A162" t="s">
        <v>433</v>
      </c>
      <c r="B162" t="s">
        <v>309</v>
      </c>
      <c r="C162">
        <v>18</v>
      </c>
      <c r="D162" s="1">
        <v>45856</v>
      </c>
      <c r="E162">
        <v>135300</v>
      </c>
      <c r="F162" t="s">
        <v>1016</v>
      </c>
      <c r="G162">
        <v>178</v>
      </c>
    </row>
    <row r="163" spans="1:7" x14ac:dyDescent="0.3">
      <c r="A163" t="s">
        <v>433</v>
      </c>
      <c r="B163" t="s">
        <v>224</v>
      </c>
      <c r="C163">
        <v>18</v>
      </c>
      <c r="D163" s="1">
        <v>45856</v>
      </c>
      <c r="E163">
        <v>616000</v>
      </c>
      <c r="F163" t="s">
        <v>344</v>
      </c>
      <c r="G163">
        <v>173</v>
      </c>
    </row>
    <row r="164" spans="1:7" x14ac:dyDescent="0.3">
      <c r="A164" t="s">
        <v>433</v>
      </c>
      <c r="B164" t="s">
        <v>310</v>
      </c>
      <c r="C164">
        <v>18</v>
      </c>
      <c r="D164" s="1">
        <v>45856</v>
      </c>
      <c r="E164">
        <v>212300</v>
      </c>
      <c r="F164" t="s">
        <v>1017</v>
      </c>
      <c r="G164">
        <v>171</v>
      </c>
    </row>
    <row r="165" spans="1:7" x14ac:dyDescent="0.3">
      <c r="A165" t="s">
        <v>433</v>
      </c>
      <c r="B165" t="s">
        <v>235</v>
      </c>
      <c r="C165">
        <v>18</v>
      </c>
      <c r="D165" s="1">
        <v>45856</v>
      </c>
      <c r="E165">
        <v>62700</v>
      </c>
      <c r="F165" t="s">
        <v>1020</v>
      </c>
      <c r="G165">
        <v>162</v>
      </c>
    </row>
    <row r="166" spans="1:7" x14ac:dyDescent="0.3">
      <c r="A166" t="s">
        <v>433</v>
      </c>
      <c r="B166" t="s">
        <v>231</v>
      </c>
      <c r="C166">
        <v>18</v>
      </c>
      <c r="D166" s="1">
        <v>45856</v>
      </c>
      <c r="E166">
        <v>170500</v>
      </c>
      <c r="F166" t="s">
        <v>244</v>
      </c>
      <c r="G166">
        <v>144</v>
      </c>
    </row>
    <row r="167" spans="1:7" x14ac:dyDescent="0.3">
      <c r="A167" t="s">
        <v>433</v>
      </c>
      <c r="B167" t="s">
        <v>228</v>
      </c>
      <c r="C167">
        <v>18</v>
      </c>
      <c r="D167" s="1">
        <v>45856</v>
      </c>
      <c r="E167">
        <v>185900</v>
      </c>
      <c r="F167" t="s">
        <v>382</v>
      </c>
      <c r="G167">
        <v>147</v>
      </c>
    </row>
    <row r="168" spans="1:7" x14ac:dyDescent="0.3">
      <c r="A168" t="s">
        <v>433</v>
      </c>
      <c r="B168" t="s">
        <v>309</v>
      </c>
      <c r="C168">
        <v>18</v>
      </c>
      <c r="D168" s="1">
        <v>45855</v>
      </c>
      <c r="E168">
        <v>266200</v>
      </c>
      <c r="F168" t="s">
        <v>1027</v>
      </c>
      <c r="G168">
        <v>142</v>
      </c>
    </row>
    <row r="169" spans="1:7" x14ac:dyDescent="0.3">
      <c r="A169" t="s">
        <v>433</v>
      </c>
      <c r="B169" t="s">
        <v>228</v>
      </c>
      <c r="C169">
        <v>18</v>
      </c>
      <c r="D169" s="1">
        <v>45854</v>
      </c>
      <c r="E169">
        <v>150700</v>
      </c>
      <c r="F169" t="s">
        <v>349</v>
      </c>
      <c r="G169">
        <v>150</v>
      </c>
    </row>
    <row r="170" spans="1:7" x14ac:dyDescent="0.3">
      <c r="A170" t="s">
        <v>433</v>
      </c>
      <c r="B170" t="s">
        <v>233</v>
      </c>
      <c r="C170">
        <v>18</v>
      </c>
      <c r="D170" s="1">
        <v>45855</v>
      </c>
      <c r="E170">
        <v>132000</v>
      </c>
      <c r="F170" t="s">
        <v>1029</v>
      </c>
      <c r="G170">
        <v>138</v>
      </c>
    </row>
    <row r="171" spans="1:7" x14ac:dyDescent="0.3">
      <c r="A171" t="s">
        <v>433</v>
      </c>
      <c r="B171" t="s">
        <v>226</v>
      </c>
      <c r="C171">
        <v>18</v>
      </c>
      <c r="D171" s="1">
        <v>45854</v>
      </c>
      <c r="E171">
        <v>295900</v>
      </c>
      <c r="F171" t="s">
        <v>408</v>
      </c>
      <c r="G171">
        <v>120</v>
      </c>
    </row>
    <row r="172" spans="1:7" x14ac:dyDescent="0.3">
      <c r="A172" t="s">
        <v>433</v>
      </c>
      <c r="B172" t="s">
        <v>228</v>
      </c>
      <c r="C172">
        <v>18</v>
      </c>
      <c r="D172" s="1">
        <v>45854</v>
      </c>
      <c r="E172">
        <v>7700</v>
      </c>
      <c r="F172" t="s">
        <v>363</v>
      </c>
      <c r="G172">
        <v>121</v>
      </c>
    </row>
    <row r="173" spans="1:7" x14ac:dyDescent="0.3">
      <c r="A173" t="s">
        <v>433</v>
      </c>
      <c r="B173" t="s">
        <v>230</v>
      </c>
      <c r="C173">
        <v>18</v>
      </c>
      <c r="D173" s="1">
        <v>45854</v>
      </c>
      <c r="E173">
        <v>45100</v>
      </c>
      <c r="F173" t="s">
        <v>1034</v>
      </c>
      <c r="G173">
        <v>120</v>
      </c>
    </row>
    <row r="174" spans="1:7" x14ac:dyDescent="0.3">
      <c r="A174" t="s">
        <v>433</v>
      </c>
      <c r="B174" t="s">
        <v>225</v>
      </c>
      <c r="C174">
        <v>18</v>
      </c>
      <c r="D174" s="1">
        <v>45853</v>
      </c>
      <c r="E174">
        <v>458700</v>
      </c>
      <c r="F174" t="s">
        <v>421</v>
      </c>
      <c r="G174">
        <v>1379</v>
      </c>
    </row>
    <row r="175" spans="1:7" x14ac:dyDescent="0.3">
      <c r="A175" t="s">
        <v>433</v>
      </c>
      <c r="B175" t="s">
        <v>309</v>
      </c>
      <c r="C175">
        <v>18</v>
      </c>
      <c r="D175" s="1">
        <v>45853</v>
      </c>
      <c r="E175">
        <v>231000</v>
      </c>
      <c r="F175" t="s">
        <v>411</v>
      </c>
      <c r="G175">
        <v>1603</v>
      </c>
    </row>
    <row r="176" spans="1:7" x14ac:dyDescent="0.3">
      <c r="A176" t="s">
        <v>433</v>
      </c>
      <c r="B176" t="s">
        <v>226</v>
      </c>
      <c r="C176">
        <v>19</v>
      </c>
      <c r="D176" s="1">
        <v>45868</v>
      </c>
      <c r="E176">
        <v>190300</v>
      </c>
      <c r="F176" t="s">
        <v>468</v>
      </c>
      <c r="G176">
        <v>803</v>
      </c>
    </row>
    <row r="177" spans="1:7" x14ac:dyDescent="0.3">
      <c r="A177" t="s">
        <v>433</v>
      </c>
      <c r="B177" t="s">
        <v>311</v>
      </c>
      <c r="C177">
        <v>19</v>
      </c>
      <c r="D177" s="1">
        <v>45868</v>
      </c>
      <c r="E177">
        <v>89100</v>
      </c>
      <c r="F177" t="s">
        <v>494</v>
      </c>
      <c r="G177">
        <v>743</v>
      </c>
    </row>
    <row r="178" spans="1:7" x14ac:dyDescent="0.3">
      <c r="A178" t="s">
        <v>433</v>
      </c>
      <c r="B178" t="s">
        <v>224</v>
      </c>
      <c r="C178">
        <v>19</v>
      </c>
      <c r="D178" s="1">
        <v>45867</v>
      </c>
      <c r="E178">
        <v>57200</v>
      </c>
      <c r="F178" t="s">
        <v>614</v>
      </c>
      <c r="G178">
        <v>622</v>
      </c>
    </row>
    <row r="179" spans="1:7" x14ac:dyDescent="0.3">
      <c r="A179" t="s">
        <v>433</v>
      </c>
      <c r="B179" t="s">
        <v>226</v>
      </c>
      <c r="C179">
        <v>19</v>
      </c>
      <c r="D179" s="1">
        <v>45865</v>
      </c>
      <c r="E179">
        <v>205700</v>
      </c>
      <c r="F179" t="s">
        <v>708</v>
      </c>
      <c r="G179">
        <v>543</v>
      </c>
    </row>
    <row r="180" spans="1:7" x14ac:dyDescent="0.3">
      <c r="A180" t="s">
        <v>433</v>
      </c>
      <c r="B180" t="s">
        <v>309</v>
      </c>
      <c r="C180">
        <v>19</v>
      </c>
      <c r="D180" s="1">
        <v>45862</v>
      </c>
      <c r="E180">
        <v>84700</v>
      </c>
      <c r="F180" t="s">
        <v>801</v>
      </c>
      <c r="G180">
        <v>450</v>
      </c>
    </row>
    <row r="181" spans="1:7" x14ac:dyDescent="0.3">
      <c r="A181" t="s">
        <v>433</v>
      </c>
      <c r="B181" t="s">
        <v>309</v>
      </c>
      <c r="C181">
        <v>19</v>
      </c>
      <c r="D181" s="1">
        <v>45863</v>
      </c>
      <c r="E181">
        <v>107800</v>
      </c>
      <c r="F181" t="s">
        <v>825</v>
      </c>
      <c r="G181">
        <v>449</v>
      </c>
    </row>
    <row r="182" spans="1:7" x14ac:dyDescent="0.3">
      <c r="A182" t="s">
        <v>433</v>
      </c>
      <c r="B182" t="s">
        <v>235</v>
      </c>
      <c r="C182">
        <v>19</v>
      </c>
      <c r="D182" s="1">
        <v>45863</v>
      </c>
      <c r="E182">
        <v>121000</v>
      </c>
      <c r="F182" t="s">
        <v>325</v>
      </c>
      <c r="G182">
        <v>403</v>
      </c>
    </row>
    <row r="183" spans="1:7" x14ac:dyDescent="0.3">
      <c r="A183" t="s">
        <v>433</v>
      </c>
      <c r="B183" t="s">
        <v>309</v>
      </c>
      <c r="C183">
        <v>19</v>
      </c>
      <c r="D183" s="1">
        <v>45862</v>
      </c>
      <c r="E183">
        <v>117700</v>
      </c>
      <c r="F183" t="s">
        <v>829</v>
      </c>
      <c r="G183">
        <v>407</v>
      </c>
    </row>
    <row r="184" spans="1:7" x14ac:dyDescent="0.3">
      <c r="A184" t="s">
        <v>433</v>
      </c>
      <c r="B184" t="s">
        <v>309</v>
      </c>
      <c r="C184">
        <v>19</v>
      </c>
      <c r="D184" s="1">
        <v>45861</v>
      </c>
      <c r="E184">
        <v>42900</v>
      </c>
      <c r="F184" t="s">
        <v>920</v>
      </c>
      <c r="G184">
        <v>309</v>
      </c>
    </row>
    <row r="185" spans="1:7" x14ac:dyDescent="0.3">
      <c r="A185" t="s">
        <v>433</v>
      </c>
      <c r="B185" t="s">
        <v>233</v>
      </c>
      <c r="C185">
        <v>19</v>
      </c>
      <c r="D185" s="1">
        <v>45859</v>
      </c>
      <c r="E185">
        <v>122100</v>
      </c>
      <c r="F185" t="s">
        <v>952</v>
      </c>
      <c r="G185">
        <v>274</v>
      </c>
    </row>
    <row r="186" spans="1:7" x14ac:dyDescent="0.3">
      <c r="A186" t="s">
        <v>433</v>
      </c>
      <c r="B186" t="s">
        <v>310</v>
      </c>
      <c r="C186">
        <v>19</v>
      </c>
      <c r="D186" s="1">
        <v>45858</v>
      </c>
      <c r="E186">
        <v>201300</v>
      </c>
      <c r="F186" t="s">
        <v>317</v>
      </c>
      <c r="G186">
        <v>260</v>
      </c>
    </row>
    <row r="187" spans="1:7" x14ac:dyDescent="0.3">
      <c r="A187" t="s">
        <v>433</v>
      </c>
      <c r="B187" t="s">
        <v>235</v>
      </c>
      <c r="C187">
        <v>19</v>
      </c>
      <c r="D187" s="1">
        <v>45858</v>
      </c>
      <c r="E187">
        <v>7700</v>
      </c>
      <c r="F187" t="s">
        <v>972</v>
      </c>
      <c r="G187">
        <v>247</v>
      </c>
    </row>
    <row r="188" spans="1:7" x14ac:dyDescent="0.3">
      <c r="A188" t="s">
        <v>433</v>
      </c>
      <c r="B188" t="s">
        <v>309</v>
      </c>
      <c r="C188">
        <v>19</v>
      </c>
      <c r="D188" s="1">
        <v>45857</v>
      </c>
      <c r="E188">
        <v>36300</v>
      </c>
      <c r="F188" t="s">
        <v>986</v>
      </c>
      <c r="G188">
        <v>228</v>
      </c>
    </row>
    <row r="189" spans="1:7" x14ac:dyDescent="0.3">
      <c r="A189" t="s">
        <v>433</v>
      </c>
      <c r="B189" t="s">
        <v>226</v>
      </c>
      <c r="C189">
        <v>19</v>
      </c>
      <c r="D189" s="1">
        <v>45857</v>
      </c>
      <c r="E189">
        <v>79200</v>
      </c>
      <c r="F189" t="s">
        <v>992</v>
      </c>
      <c r="G189">
        <v>215</v>
      </c>
    </row>
    <row r="190" spans="1:7" x14ac:dyDescent="0.3">
      <c r="A190" t="s">
        <v>433</v>
      </c>
      <c r="B190" t="s">
        <v>310</v>
      </c>
      <c r="C190">
        <v>19</v>
      </c>
      <c r="D190" s="1">
        <v>45856</v>
      </c>
      <c r="E190">
        <v>166100</v>
      </c>
      <c r="F190" t="s">
        <v>374</v>
      </c>
      <c r="G190">
        <v>211</v>
      </c>
    </row>
    <row r="191" spans="1:7" x14ac:dyDescent="0.3">
      <c r="A191" t="s">
        <v>433</v>
      </c>
      <c r="B191" t="s">
        <v>228</v>
      </c>
      <c r="C191">
        <v>19</v>
      </c>
      <c r="D191" s="1">
        <v>45857</v>
      </c>
      <c r="E191">
        <v>18700</v>
      </c>
      <c r="F191" t="s">
        <v>996</v>
      </c>
      <c r="G191">
        <v>206</v>
      </c>
    </row>
    <row r="192" spans="1:7" x14ac:dyDescent="0.3">
      <c r="A192" t="s">
        <v>433</v>
      </c>
      <c r="B192" t="s">
        <v>309</v>
      </c>
      <c r="C192">
        <v>19</v>
      </c>
      <c r="D192" s="1">
        <v>45857</v>
      </c>
      <c r="E192">
        <v>212300</v>
      </c>
      <c r="F192" t="s">
        <v>1006</v>
      </c>
      <c r="G192">
        <v>197</v>
      </c>
    </row>
    <row r="193" spans="1:7" x14ac:dyDescent="0.3">
      <c r="A193" t="s">
        <v>433</v>
      </c>
      <c r="B193" t="s">
        <v>309</v>
      </c>
      <c r="C193">
        <v>19</v>
      </c>
      <c r="D193" s="1">
        <v>45857</v>
      </c>
      <c r="E193">
        <v>44000</v>
      </c>
      <c r="F193" t="s">
        <v>324</v>
      </c>
      <c r="G193">
        <v>194</v>
      </c>
    </row>
    <row r="194" spans="1:7" x14ac:dyDescent="0.3">
      <c r="A194" t="s">
        <v>433</v>
      </c>
      <c r="B194" t="s">
        <v>309</v>
      </c>
      <c r="C194">
        <v>19</v>
      </c>
      <c r="D194" s="1">
        <v>45856</v>
      </c>
      <c r="E194">
        <v>216700</v>
      </c>
      <c r="F194" t="s">
        <v>373</v>
      </c>
      <c r="G194">
        <v>198</v>
      </c>
    </row>
    <row r="195" spans="1:7" x14ac:dyDescent="0.3">
      <c r="A195" t="s">
        <v>433</v>
      </c>
      <c r="B195" t="s">
        <v>233</v>
      </c>
      <c r="C195">
        <v>19</v>
      </c>
      <c r="D195" s="1">
        <v>45856</v>
      </c>
      <c r="E195">
        <v>235400</v>
      </c>
      <c r="F195" t="s">
        <v>1012</v>
      </c>
      <c r="G195">
        <v>187</v>
      </c>
    </row>
    <row r="196" spans="1:7" x14ac:dyDescent="0.3">
      <c r="A196" t="s">
        <v>433</v>
      </c>
      <c r="B196" t="s">
        <v>236</v>
      </c>
      <c r="C196">
        <v>19</v>
      </c>
      <c r="D196" s="1">
        <v>45856</v>
      </c>
      <c r="E196">
        <v>52800</v>
      </c>
      <c r="F196" t="s">
        <v>327</v>
      </c>
      <c r="G196">
        <v>182</v>
      </c>
    </row>
    <row r="197" spans="1:7" x14ac:dyDescent="0.3">
      <c r="A197" t="s">
        <v>433</v>
      </c>
      <c r="B197" t="s">
        <v>235</v>
      </c>
      <c r="C197">
        <v>19</v>
      </c>
      <c r="D197" s="1">
        <v>45856</v>
      </c>
      <c r="E197">
        <v>72600</v>
      </c>
      <c r="F197" t="s">
        <v>348</v>
      </c>
      <c r="G197">
        <v>178</v>
      </c>
    </row>
    <row r="198" spans="1:7" x14ac:dyDescent="0.3">
      <c r="A198" t="s">
        <v>433</v>
      </c>
      <c r="B198" t="s">
        <v>235</v>
      </c>
      <c r="C198">
        <v>19</v>
      </c>
      <c r="D198" s="1">
        <v>45856</v>
      </c>
      <c r="E198">
        <v>7700</v>
      </c>
      <c r="F198" t="s">
        <v>351</v>
      </c>
      <c r="G198">
        <v>179</v>
      </c>
    </row>
    <row r="199" spans="1:7" x14ac:dyDescent="0.3">
      <c r="A199" t="s">
        <v>433</v>
      </c>
      <c r="B199" t="s">
        <v>312</v>
      </c>
      <c r="C199">
        <v>19</v>
      </c>
      <c r="D199" s="1">
        <v>45855</v>
      </c>
      <c r="E199">
        <v>125400</v>
      </c>
      <c r="F199" t="s">
        <v>332</v>
      </c>
      <c r="G199">
        <v>177</v>
      </c>
    </row>
    <row r="200" spans="1:7" x14ac:dyDescent="0.3">
      <c r="A200" t="s">
        <v>433</v>
      </c>
      <c r="B200" t="s">
        <v>233</v>
      </c>
      <c r="C200">
        <v>19</v>
      </c>
      <c r="D200" s="1">
        <v>45855</v>
      </c>
      <c r="E200">
        <v>180400</v>
      </c>
      <c r="F200" t="s">
        <v>347</v>
      </c>
      <c r="G200">
        <v>162</v>
      </c>
    </row>
    <row r="201" spans="1:7" x14ac:dyDescent="0.3">
      <c r="A201" t="s">
        <v>433</v>
      </c>
      <c r="B201" t="s">
        <v>224</v>
      </c>
      <c r="C201">
        <v>19</v>
      </c>
      <c r="D201" s="1">
        <v>45854</v>
      </c>
      <c r="E201">
        <v>73700</v>
      </c>
      <c r="F201" t="s">
        <v>1025</v>
      </c>
      <c r="G201">
        <v>153</v>
      </c>
    </row>
    <row r="202" spans="1:7" x14ac:dyDescent="0.3">
      <c r="A202" t="s">
        <v>433</v>
      </c>
      <c r="B202" t="s">
        <v>231</v>
      </c>
      <c r="C202">
        <v>19</v>
      </c>
      <c r="D202" s="1">
        <v>45855</v>
      </c>
      <c r="E202">
        <v>284900</v>
      </c>
      <c r="F202" t="s">
        <v>1026</v>
      </c>
      <c r="G202">
        <v>151</v>
      </c>
    </row>
    <row r="203" spans="1:7" x14ac:dyDescent="0.3">
      <c r="A203" t="s">
        <v>433</v>
      </c>
      <c r="B203" t="s">
        <v>228</v>
      </c>
      <c r="C203">
        <v>19</v>
      </c>
      <c r="D203" s="1">
        <v>45854</v>
      </c>
      <c r="E203">
        <v>95700</v>
      </c>
      <c r="F203" t="s">
        <v>1028</v>
      </c>
      <c r="G203">
        <v>140</v>
      </c>
    </row>
    <row r="204" spans="1:7" x14ac:dyDescent="0.3">
      <c r="A204" t="s">
        <v>433</v>
      </c>
      <c r="B204" t="s">
        <v>309</v>
      </c>
      <c r="C204">
        <v>20</v>
      </c>
      <c r="D204" s="1">
        <v>45867</v>
      </c>
      <c r="E204">
        <v>62700</v>
      </c>
      <c r="F204" t="s">
        <v>466</v>
      </c>
      <c r="G204">
        <v>870</v>
      </c>
    </row>
    <row r="205" spans="1:7" x14ac:dyDescent="0.3">
      <c r="A205" t="s">
        <v>433</v>
      </c>
      <c r="B205" t="s">
        <v>226</v>
      </c>
      <c r="C205">
        <v>20</v>
      </c>
      <c r="D205" s="1">
        <v>45868</v>
      </c>
      <c r="E205">
        <v>260700</v>
      </c>
      <c r="F205" t="s">
        <v>469</v>
      </c>
      <c r="G205">
        <v>782</v>
      </c>
    </row>
    <row r="206" spans="1:7" x14ac:dyDescent="0.3">
      <c r="A206" t="s">
        <v>433</v>
      </c>
      <c r="B206" t="s">
        <v>309</v>
      </c>
      <c r="C206">
        <v>20</v>
      </c>
      <c r="D206" s="1">
        <v>45867</v>
      </c>
      <c r="E206">
        <v>34100</v>
      </c>
      <c r="F206" t="s">
        <v>513</v>
      </c>
      <c r="G206">
        <v>726</v>
      </c>
    </row>
    <row r="207" spans="1:7" x14ac:dyDescent="0.3">
      <c r="A207" t="s">
        <v>433</v>
      </c>
      <c r="B207" t="s">
        <v>310</v>
      </c>
      <c r="C207">
        <v>20</v>
      </c>
      <c r="D207" s="1">
        <v>45866</v>
      </c>
      <c r="E207">
        <v>200200</v>
      </c>
      <c r="F207" t="s">
        <v>612</v>
      </c>
      <c r="G207">
        <v>693</v>
      </c>
    </row>
    <row r="208" spans="1:7" x14ac:dyDescent="0.3">
      <c r="A208" t="s">
        <v>433</v>
      </c>
      <c r="B208" t="s">
        <v>310</v>
      </c>
      <c r="C208">
        <v>20</v>
      </c>
      <c r="D208" s="1">
        <v>45865</v>
      </c>
      <c r="E208">
        <v>67100</v>
      </c>
      <c r="F208" t="s">
        <v>650</v>
      </c>
      <c r="G208">
        <v>594</v>
      </c>
    </row>
    <row r="209" spans="1:7" x14ac:dyDescent="0.3">
      <c r="A209" t="s">
        <v>433</v>
      </c>
      <c r="B209" t="s">
        <v>309</v>
      </c>
      <c r="C209">
        <v>20</v>
      </c>
      <c r="D209" s="1">
        <v>45864</v>
      </c>
      <c r="E209">
        <v>202400</v>
      </c>
      <c r="F209" t="s">
        <v>664</v>
      </c>
      <c r="G209">
        <v>574</v>
      </c>
    </row>
    <row r="210" spans="1:7" x14ac:dyDescent="0.3">
      <c r="A210" t="s">
        <v>433</v>
      </c>
      <c r="B210" t="s">
        <v>229</v>
      </c>
      <c r="C210">
        <v>20</v>
      </c>
      <c r="D210" s="1">
        <v>45865</v>
      </c>
      <c r="E210">
        <v>118800</v>
      </c>
      <c r="F210" t="s">
        <v>689</v>
      </c>
      <c r="G210">
        <v>585</v>
      </c>
    </row>
    <row r="211" spans="1:7" x14ac:dyDescent="0.3">
      <c r="A211" t="s">
        <v>433</v>
      </c>
      <c r="B211" t="s">
        <v>309</v>
      </c>
      <c r="C211">
        <v>20</v>
      </c>
      <c r="D211" s="1">
        <v>45864</v>
      </c>
      <c r="E211">
        <v>80300</v>
      </c>
      <c r="F211" t="s">
        <v>695</v>
      </c>
      <c r="G211">
        <v>541</v>
      </c>
    </row>
    <row r="212" spans="1:7" x14ac:dyDescent="0.3">
      <c r="A212" t="s">
        <v>433</v>
      </c>
      <c r="B212" t="s">
        <v>231</v>
      </c>
      <c r="C212">
        <v>20</v>
      </c>
      <c r="D212" s="1">
        <v>45864</v>
      </c>
      <c r="E212">
        <v>264000</v>
      </c>
      <c r="F212" t="s">
        <v>701</v>
      </c>
      <c r="G212">
        <v>571</v>
      </c>
    </row>
    <row r="213" spans="1:7" x14ac:dyDescent="0.3">
      <c r="A213" t="s">
        <v>433</v>
      </c>
      <c r="B213" t="s">
        <v>309</v>
      </c>
      <c r="C213">
        <v>20</v>
      </c>
      <c r="D213" s="1">
        <v>45864</v>
      </c>
      <c r="E213">
        <v>40700</v>
      </c>
      <c r="F213" t="s">
        <v>707</v>
      </c>
      <c r="G213">
        <v>522</v>
      </c>
    </row>
    <row r="214" spans="1:7" x14ac:dyDescent="0.3">
      <c r="A214" t="s">
        <v>433</v>
      </c>
      <c r="B214" t="s">
        <v>309</v>
      </c>
      <c r="C214">
        <v>20</v>
      </c>
      <c r="D214" s="1">
        <v>45864</v>
      </c>
      <c r="E214">
        <v>44000</v>
      </c>
      <c r="F214" t="s">
        <v>711</v>
      </c>
      <c r="G214">
        <v>519</v>
      </c>
    </row>
    <row r="215" spans="1:7" x14ac:dyDescent="0.3">
      <c r="A215" t="s">
        <v>433</v>
      </c>
      <c r="B215" t="s">
        <v>310</v>
      </c>
      <c r="C215">
        <v>20</v>
      </c>
      <c r="D215" s="1">
        <v>45864</v>
      </c>
      <c r="E215">
        <v>185900</v>
      </c>
      <c r="F215" t="s">
        <v>716</v>
      </c>
      <c r="G215">
        <v>572</v>
      </c>
    </row>
    <row r="216" spans="1:7" x14ac:dyDescent="0.3">
      <c r="A216" t="s">
        <v>433</v>
      </c>
      <c r="B216" t="s">
        <v>235</v>
      </c>
      <c r="C216">
        <v>20</v>
      </c>
      <c r="D216" s="1">
        <v>45861</v>
      </c>
      <c r="E216">
        <v>40700</v>
      </c>
      <c r="F216" t="s">
        <v>800</v>
      </c>
      <c r="G216">
        <v>583</v>
      </c>
    </row>
    <row r="217" spans="1:7" x14ac:dyDescent="0.3">
      <c r="A217" t="s">
        <v>433</v>
      </c>
      <c r="B217" t="s">
        <v>310</v>
      </c>
      <c r="C217">
        <v>20</v>
      </c>
      <c r="D217" s="1">
        <v>45861</v>
      </c>
      <c r="E217">
        <v>62700</v>
      </c>
      <c r="F217" t="s">
        <v>802</v>
      </c>
      <c r="G217">
        <v>433</v>
      </c>
    </row>
    <row r="218" spans="1:7" x14ac:dyDescent="0.3">
      <c r="A218" t="s">
        <v>433</v>
      </c>
      <c r="B218" t="s">
        <v>233</v>
      </c>
      <c r="C218">
        <v>20</v>
      </c>
      <c r="D218" s="1">
        <v>45860</v>
      </c>
      <c r="E218">
        <v>62700</v>
      </c>
      <c r="F218" t="s">
        <v>883</v>
      </c>
      <c r="G218">
        <v>463</v>
      </c>
    </row>
    <row r="219" spans="1:7" x14ac:dyDescent="0.3">
      <c r="A219" t="s">
        <v>433</v>
      </c>
      <c r="B219" t="s">
        <v>235</v>
      </c>
      <c r="C219">
        <v>20</v>
      </c>
      <c r="D219" s="1">
        <v>45861</v>
      </c>
      <c r="E219">
        <v>7700</v>
      </c>
      <c r="F219" t="s">
        <v>897</v>
      </c>
      <c r="G219">
        <v>401</v>
      </c>
    </row>
    <row r="220" spans="1:7" x14ac:dyDescent="0.3">
      <c r="A220" t="s">
        <v>433</v>
      </c>
      <c r="B220" t="s">
        <v>231</v>
      </c>
      <c r="C220">
        <v>20</v>
      </c>
      <c r="D220" s="1">
        <v>45860</v>
      </c>
      <c r="E220">
        <v>68200</v>
      </c>
      <c r="F220" t="s">
        <v>898</v>
      </c>
      <c r="G220">
        <v>330</v>
      </c>
    </row>
    <row r="221" spans="1:7" x14ac:dyDescent="0.3">
      <c r="A221" t="s">
        <v>433</v>
      </c>
      <c r="B221" t="s">
        <v>310</v>
      </c>
      <c r="C221">
        <v>20</v>
      </c>
      <c r="D221" s="1">
        <v>45860</v>
      </c>
      <c r="E221">
        <v>36300</v>
      </c>
      <c r="F221" t="s">
        <v>913</v>
      </c>
      <c r="G221">
        <v>319</v>
      </c>
    </row>
    <row r="222" spans="1:7" x14ac:dyDescent="0.3">
      <c r="A222" t="s">
        <v>433</v>
      </c>
      <c r="B222" t="s">
        <v>229</v>
      </c>
      <c r="C222">
        <v>20</v>
      </c>
      <c r="D222" s="1">
        <v>45860</v>
      </c>
      <c r="E222">
        <v>7700</v>
      </c>
      <c r="F222" t="s">
        <v>916</v>
      </c>
      <c r="G222">
        <v>329</v>
      </c>
    </row>
    <row r="223" spans="1:7" x14ac:dyDescent="0.3">
      <c r="A223" t="s">
        <v>433</v>
      </c>
      <c r="B223" t="s">
        <v>235</v>
      </c>
      <c r="C223">
        <v>20</v>
      </c>
      <c r="D223" s="1">
        <v>45859</v>
      </c>
      <c r="E223">
        <v>287100</v>
      </c>
      <c r="F223" t="s">
        <v>356</v>
      </c>
      <c r="G223">
        <v>312</v>
      </c>
    </row>
    <row r="224" spans="1:7" x14ac:dyDescent="0.3">
      <c r="A224" t="s">
        <v>433</v>
      </c>
      <c r="B224" t="s">
        <v>310</v>
      </c>
      <c r="C224">
        <v>20</v>
      </c>
      <c r="D224" s="1">
        <v>45858</v>
      </c>
      <c r="E224">
        <v>62700</v>
      </c>
      <c r="F224" t="s">
        <v>970</v>
      </c>
      <c r="G224">
        <v>258</v>
      </c>
    </row>
    <row r="225" spans="1:7" x14ac:dyDescent="0.3">
      <c r="A225" t="s">
        <v>433</v>
      </c>
      <c r="B225" t="s">
        <v>235</v>
      </c>
      <c r="C225">
        <v>20</v>
      </c>
      <c r="D225" s="1">
        <v>45858</v>
      </c>
      <c r="E225">
        <v>7700</v>
      </c>
      <c r="F225" t="s">
        <v>971</v>
      </c>
      <c r="G225">
        <v>248</v>
      </c>
    </row>
    <row r="226" spans="1:7" x14ac:dyDescent="0.3">
      <c r="A226" t="s">
        <v>433</v>
      </c>
      <c r="B226" t="s">
        <v>235</v>
      </c>
      <c r="C226">
        <v>20</v>
      </c>
      <c r="D226" s="1">
        <v>45856</v>
      </c>
      <c r="E226">
        <v>7700</v>
      </c>
      <c r="F226" t="s">
        <v>993</v>
      </c>
      <c r="G226">
        <v>215</v>
      </c>
    </row>
    <row r="227" spans="1:7" x14ac:dyDescent="0.3">
      <c r="A227" t="s">
        <v>433</v>
      </c>
      <c r="B227" t="s">
        <v>309</v>
      </c>
      <c r="C227">
        <v>20</v>
      </c>
      <c r="D227" s="1">
        <v>45856</v>
      </c>
      <c r="E227">
        <v>92400</v>
      </c>
      <c r="F227" t="s">
        <v>999</v>
      </c>
      <c r="G227">
        <v>223</v>
      </c>
    </row>
    <row r="228" spans="1:7" x14ac:dyDescent="0.3">
      <c r="A228" t="s">
        <v>433</v>
      </c>
      <c r="B228" t="s">
        <v>310</v>
      </c>
      <c r="C228">
        <v>20</v>
      </c>
      <c r="D228" s="1">
        <v>45855</v>
      </c>
      <c r="E228">
        <v>121000</v>
      </c>
      <c r="F228" t="s">
        <v>343</v>
      </c>
      <c r="G228">
        <v>188</v>
      </c>
    </row>
    <row r="229" spans="1:7" x14ac:dyDescent="0.3">
      <c r="A229" t="s">
        <v>433</v>
      </c>
      <c r="B229" t="s">
        <v>310</v>
      </c>
      <c r="C229">
        <v>20</v>
      </c>
      <c r="D229" s="1">
        <v>45854</v>
      </c>
      <c r="E229">
        <v>75900</v>
      </c>
      <c r="F229" t="s">
        <v>1014</v>
      </c>
      <c r="G229">
        <v>180</v>
      </c>
    </row>
    <row r="230" spans="1:7" x14ac:dyDescent="0.3">
      <c r="A230" t="s">
        <v>433</v>
      </c>
      <c r="B230" t="s">
        <v>235</v>
      </c>
      <c r="C230">
        <v>20</v>
      </c>
      <c r="D230" s="1">
        <v>45853</v>
      </c>
      <c r="E230">
        <v>33000</v>
      </c>
      <c r="F230" t="s">
        <v>260</v>
      </c>
      <c r="G230">
        <v>144</v>
      </c>
    </row>
    <row r="231" spans="1:7" x14ac:dyDescent="0.3">
      <c r="A231" t="s">
        <v>433</v>
      </c>
      <c r="B231" t="s">
        <v>233</v>
      </c>
      <c r="C231">
        <v>21</v>
      </c>
      <c r="D231" s="1">
        <v>45867</v>
      </c>
      <c r="E231">
        <v>40700</v>
      </c>
      <c r="F231" t="s">
        <v>448</v>
      </c>
      <c r="G231">
        <v>796</v>
      </c>
    </row>
    <row r="232" spans="1:7" x14ac:dyDescent="0.3">
      <c r="A232" t="s">
        <v>433</v>
      </c>
      <c r="B232" t="s">
        <v>309</v>
      </c>
      <c r="C232">
        <v>21</v>
      </c>
      <c r="D232" s="1">
        <v>45867</v>
      </c>
      <c r="E232">
        <v>139700</v>
      </c>
      <c r="F232" t="s">
        <v>471</v>
      </c>
      <c r="G232">
        <v>782</v>
      </c>
    </row>
    <row r="233" spans="1:7" x14ac:dyDescent="0.3">
      <c r="A233" t="s">
        <v>433</v>
      </c>
      <c r="B233" t="s">
        <v>233</v>
      </c>
      <c r="C233">
        <v>21</v>
      </c>
      <c r="D233" s="1">
        <v>45866</v>
      </c>
      <c r="E233">
        <v>205700</v>
      </c>
      <c r="F233" t="s">
        <v>500</v>
      </c>
      <c r="G233">
        <v>737</v>
      </c>
    </row>
    <row r="234" spans="1:7" x14ac:dyDescent="0.3">
      <c r="A234" t="s">
        <v>433</v>
      </c>
      <c r="B234" t="s">
        <v>309</v>
      </c>
      <c r="C234">
        <v>21</v>
      </c>
      <c r="D234" s="1">
        <v>45866</v>
      </c>
      <c r="E234">
        <v>30800</v>
      </c>
      <c r="F234" t="s">
        <v>531</v>
      </c>
      <c r="G234">
        <v>848</v>
      </c>
    </row>
    <row r="235" spans="1:7" x14ac:dyDescent="0.3">
      <c r="A235" t="s">
        <v>433</v>
      </c>
      <c r="B235" t="s">
        <v>224</v>
      </c>
      <c r="C235">
        <v>21</v>
      </c>
      <c r="D235" s="1">
        <v>45865</v>
      </c>
      <c r="E235">
        <v>117700</v>
      </c>
      <c r="F235" t="s">
        <v>540</v>
      </c>
      <c r="G235">
        <v>766</v>
      </c>
    </row>
    <row r="236" spans="1:7" x14ac:dyDescent="0.3">
      <c r="A236" t="s">
        <v>433</v>
      </c>
      <c r="B236" t="s">
        <v>310</v>
      </c>
      <c r="C236">
        <v>21</v>
      </c>
      <c r="D236" s="1">
        <v>45864</v>
      </c>
      <c r="E236">
        <v>44000</v>
      </c>
      <c r="F236" t="s">
        <v>593</v>
      </c>
      <c r="G236">
        <v>638</v>
      </c>
    </row>
    <row r="237" spans="1:7" x14ac:dyDescent="0.3">
      <c r="A237" t="s">
        <v>433</v>
      </c>
      <c r="B237" t="s">
        <v>309</v>
      </c>
      <c r="C237">
        <v>21</v>
      </c>
      <c r="D237" s="1">
        <v>45864</v>
      </c>
      <c r="E237">
        <v>205700</v>
      </c>
      <c r="F237" t="s">
        <v>665</v>
      </c>
      <c r="G237">
        <v>572</v>
      </c>
    </row>
    <row r="238" spans="1:7" x14ac:dyDescent="0.3">
      <c r="A238" t="s">
        <v>433</v>
      </c>
      <c r="B238" t="s">
        <v>224</v>
      </c>
      <c r="C238">
        <v>21</v>
      </c>
      <c r="D238" s="1">
        <v>45864</v>
      </c>
      <c r="E238">
        <v>7700</v>
      </c>
      <c r="F238" t="s">
        <v>667</v>
      </c>
      <c r="G238">
        <v>662</v>
      </c>
    </row>
    <row r="239" spans="1:7" x14ac:dyDescent="0.3">
      <c r="A239" t="s">
        <v>433</v>
      </c>
      <c r="B239" t="s">
        <v>310</v>
      </c>
      <c r="C239">
        <v>21</v>
      </c>
      <c r="D239" s="1">
        <v>45863</v>
      </c>
      <c r="E239">
        <v>205700</v>
      </c>
      <c r="F239" t="s">
        <v>721</v>
      </c>
      <c r="G239">
        <v>494</v>
      </c>
    </row>
    <row r="240" spans="1:7" x14ac:dyDescent="0.3">
      <c r="A240" t="s">
        <v>433</v>
      </c>
      <c r="B240" t="s">
        <v>312</v>
      </c>
      <c r="C240">
        <v>21</v>
      </c>
      <c r="D240" s="1">
        <v>45860</v>
      </c>
      <c r="E240">
        <v>282700</v>
      </c>
      <c r="F240" t="s">
        <v>751</v>
      </c>
      <c r="G240">
        <v>517</v>
      </c>
    </row>
    <row r="241" spans="1:7" x14ac:dyDescent="0.3">
      <c r="A241" t="s">
        <v>433</v>
      </c>
      <c r="B241" t="s">
        <v>234</v>
      </c>
      <c r="C241">
        <v>21</v>
      </c>
      <c r="D241" s="1">
        <v>45862</v>
      </c>
      <c r="E241">
        <v>117700</v>
      </c>
      <c r="F241" t="s">
        <v>752</v>
      </c>
      <c r="G241">
        <v>488</v>
      </c>
    </row>
    <row r="242" spans="1:7" x14ac:dyDescent="0.3">
      <c r="A242" t="s">
        <v>433</v>
      </c>
      <c r="B242" t="s">
        <v>310</v>
      </c>
      <c r="C242">
        <v>21</v>
      </c>
      <c r="D242" s="1">
        <v>45861</v>
      </c>
      <c r="E242">
        <v>41800</v>
      </c>
      <c r="F242" t="s">
        <v>787</v>
      </c>
      <c r="G242">
        <v>452</v>
      </c>
    </row>
    <row r="243" spans="1:7" x14ac:dyDescent="0.3">
      <c r="A243" t="s">
        <v>433</v>
      </c>
      <c r="B243" t="s">
        <v>226</v>
      </c>
      <c r="C243">
        <v>21</v>
      </c>
      <c r="D243" s="1">
        <v>45861</v>
      </c>
      <c r="E243">
        <v>282700</v>
      </c>
      <c r="F243" t="s">
        <v>797</v>
      </c>
      <c r="G243">
        <v>453</v>
      </c>
    </row>
    <row r="244" spans="1:7" x14ac:dyDescent="0.3">
      <c r="A244" t="s">
        <v>433</v>
      </c>
      <c r="B244" t="s">
        <v>233</v>
      </c>
      <c r="C244">
        <v>21</v>
      </c>
      <c r="D244" s="1">
        <v>45861</v>
      </c>
      <c r="E244">
        <v>66000</v>
      </c>
      <c r="F244" t="s">
        <v>806</v>
      </c>
      <c r="G244">
        <v>430</v>
      </c>
    </row>
    <row r="245" spans="1:7" x14ac:dyDescent="0.3">
      <c r="A245" t="s">
        <v>433</v>
      </c>
      <c r="B245" t="s">
        <v>309</v>
      </c>
      <c r="C245">
        <v>21</v>
      </c>
      <c r="D245" s="1">
        <v>45858</v>
      </c>
      <c r="E245">
        <v>60500</v>
      </c>
      <c r="F245" t="s">
        <v>859</v>
      </c>
      <c r="G245">
        <v>389</v>
      </c>
    </row>
    <row r="246" spans="1:7" x14ac:dyDescent="0.3">
      <c r="A246" t="s">
        <v>433</v>
      </c>
      <c r="B246" t="s">
        <v>224</v>
      </c>
      <c r="C246">
        <v>21</v>
      </c>
      <c r="D246" s="1">
        <v>45860</v>
      </c>
      <c r="E246">
        <v>7700</v>
      </c>
      <c r="F246" t="s">
        <v>870</v>
      </c>
      <c r="G246">
        <v>367</v>
      </c>
    </row>
    <row r="247" spans="1:7" x14ac:dyDescent="0.3">
      <c r="A247" t="s">
        <v>433</v>
      </c>
      <c r="B247" t="s">
        <v>235</v>
      </c>
      <c r="C247">
        <v>21</v>
      </c>
      <c r="D247" s="1">
        <v>45859</v>
      </c>
      <c r="E247">
        <v>0</v>
      </c>
      <c r="F247" t="s">
        <v>872</v>
      </c>
      <c r="G247">
        <v>318</v>
      </c>
    </row>
    <row r="248" spans="1:7" x14ac:dyDescent="0.3">
      <c r="A248" t="s">
        <v>433</v>
      </c>
      <c r="B248" t="s">
        <v>235</v>
      </c>
      <c r="C248">
        <v>21</v>
      </c>
      <c r="D248" s="1">
        <v>45859</v>
      </c>
      <c r="E248">
        <v>7700</v>
      </c>
      <c r="F248" t="s">
        <v>917</v>
      </c>
      <c r="G248">
        <v>338</v>
      </c>
    </row>
    <row r="249" spans="1:7" x14ac:dyDescent="0.3">
      <c r="A249" t="s">
        <v>433</v>
      </c>
      <c r="B249" t="s">
        <v>230</v>
      </c>
      <c r="C249">
        <v>21</v>
      </c>
      <c r="D249" s="1">
        <v>45857</v>
      </c>
      <c r="E249">
        <v>7700</v>
      </c>
      <c r="F249" t="s">
        <v>932</v>
      </c>
      <c r="G249">
        <v>343</v>
      </c>
    </row>
    <row r="250" spans="1:7" x14ac:dyDescent="0.3">
      <c r="A250" t="s">
        <v>433</v>
      </c>
      <c r="B250" t="s">
        <v>310</v>
      </c>
      <c r="C250">
        <v>21</v>
      </c>
      <c r="D250" s="1">
        <v>45859</v>
      </c>
      <c r="E250">
        <v>36300</v>
      </c>
      <c r="F250" t="s">
        <v>933</v>
      </c>
      <c r="G250">
        <v>343</v>
      </c>
    </row>
    <row r="251" spans="1:7" x14ac:dyDescent="0.3">
      <c r="A251" t="s">
        <v>433</v>
      </c>
      <c r="B251" t="s">
        <v>231</v>
      </c>
      <c r="C251">
        <v>21</v>
      </c>
      <c r="D251" s="1">
        <v>45857</v>
      </c>
      <c r="E251">
        <v>326700</v>
      </c>
      <c r="F251" t="s">
        <v>329</v>
      </c>
      <c r="G251">
        <v>298</v>
      </c>
    </row>
    <row r="252" spans="1:7" x14ac:dyDescent="0.3">
      <c r="A252" t="s">
        <v>433</v>
      </c>
      <c r="B252" t="s">
        <v>309</v>
      </c>
      <c r="C252">
        <v>21</v>
      </c>
      <c r="D252" s="1">
        <v>45858</v>
      </c>
      <c r="E252">
        <v>62700</v>
      </c>
      <c r="F252" t="s">
        <v>949</v>
      </c>
      <c r="G252">
        <v>274</v>
      </c>
    </row>
    <row r="253" spans="1:7" x14ac:dyDescent="0.3">
      <c r="A253" t="s">
        <v>433</v>
      </c>
      <c r="B253" t="s">
        <v>235</v>
      </c>
      <c r="C253">
        <v>21</v>
      </c>
      <c r="D253" s="1">
        <v>45857</v>
      </c>
      <c r="E253">
        <v>29700</v>
      </c>
      <c r="F253" t="s">
        <v>954</v>
      </c>
      <c r="G253">
        <v>277</v>
      </c>
    </row>
    <row r="254" spans="1:7" x14ac:dyDescent="0.3">
      <c r="A254" t="s">
        <v>433</v>
      </c>
      <c r="B254" t="s">
        <v>310</v>
      </c>
      <c r="C254">
        <v>21</v>
      </c>
      <c r="D254" s="1">
        <v>45857</v>
      </c>
      <c r="E254">
        <v>113300</v>
      </c>
      <c r="F254" t="s">
        <v>958</v>
      </c>
      <c r="G254">
        <v>270</v>
      </c>
    </row>
    <row r="255" spans="1:7" x14ac:dyDescent="0.3">
      <c r="A255" t="s">
        <v>433</v>
      </c>
      <c r="B255" t="s">
        <v>309</v>
      </c>
      <c r="C255">
        <v>21</v>
      </c>
      <c r="D255" s="1">
        <v>45857</v>
      </c>
      <c r="E255">
        <v>7700</v>
      </c>
      <c r="F255" t="s">
        <v>959</v>
      </c>
      <c r="G255">
        <v>267</v>
      </c>
    </row>
    <row r="256" spans="1:7" x14ac:dyDescent="0.3">
      <c r="A256" t="s">
        <v>433</v>
      </c>
      <c r="B256" t="s">
        <v>310</v>
      </c>
      <c r="C256">
        <v>21</v>
      </c>
      <c r="D256" s="1">
        <v>45856</v>
      </c>
      <c r="E256">
        <v>7700</v>
      </c>
      <c r="F256" t="s">
        <v>973</v>
      </c>
      <c r="G256">
        <v>276</v>
      </c>
    </row>
    <row r="257" spans="1:7" x14ac:dyDescent="0.3">
      <c r="A257" t="s">
        <v>433</v>
      </c>
      <c r="B257" t="s">
        <v>312</v>
      </c>
      <c r="C257">
        <v>21</v>
      </c>
      <c r="D257" s="1">
        <v>45856</v>
      </c>
      <c r="E257">
        <v>128700</v>
      </c>
      <c r="F257" t="s">
        <v>366</v>
      </c>
      <c r="G257">
        <v>264</v>
      </c>
    </row>
    <row r="258" spans="1:7" x14ac:dyDescent="0.3">
      <c r="A258" t="s">
        <v>433</v>
      </c>
      <c r="B258" t="s">
        <v>310</v>
      </c>
      <c r="C258">
        <v>21</v>
      </c>
      <c r="D258" s="1">
        <v>45856</v>
      </c>
      <c r="E258">
        <v>173800</v>
      </c>
      <c r="F258" t="s">
        <v>357</v>
      </c>
      <c r="G258">
        <v>227</v>
      </c>
    </row>
    <row r="259" spans="1:7" x14ac:dyDescent="0.3">
      <c r="A259" t="s">
        <v>433</v>
      </c>
      <c r="B259" t="s">
        <v>233</v>
      </c>
      <c r="C259">
        <v>21</v>
      </c>
      <c r="D259" s="1">
        <v>45856</v>
      </c>
      <c r="E259">
        <v>51700</v>
      </c>
      <c r="F259" t="s">
        <v>982</v>
      </c>
      <c r="G259">
        <v>240</v>
      </c>
    </row>
    <row r="260" spans="1:7" x14ac:dyDescent="0.3">
      <c r="A260" t="s">
        <v>433</v>
      </c>
      <c r="B260" t="s">
        <v>310</v>
      </c>
      <c r="C260">
        <v>21</v>
      </c>
      <c r="D260" s="1">
        <v>45855</v>
      </c>
      <c r="E260">
        <v>136400</v>
      </c>
      <c r="F260" t="s">
        <v>983</v>
      </c>
      <c r="G260">
        <v>226</v>
      </c>
    </row>
    <row r="261" spans="1:7" x14ac:dyDescent="0.3">
      <c r="A261" t="s">
        <v>433</v>
      </c>
      <c r="B261" t="s">
        <v>229</v>
      </c>
      <c r="C261">
        <v>21</v>
      </c>
      <c r="D261" s="1">
        <v>45854</v>
      </c>
      <c r="E261">
        <v>7700</v>
      </c>
      <c r="F261" t="s">
        <v>987</v>
      </c>
      <c r="G261">
        <v>225</v>
      </c>
    </row>
    <row r="262" spans="1:7" x14ac:dyDescent="0.3">
      <c r="A262" t="s">
        <v>433</v>
      </c>
      <c r="B262" t="s">
        <v>231</v>
      </c>
      <c r="C262">
        <v>21</v>
      </c>
      <c r="D262" s="1">
        <v>45856</v>
      </c>
      <c r="E262">
        <v>40700</v>
      </c>
      <c r="F262" t="s">
        <v>990</v>
      </c>
      <c r="G262">
        <v>217</v>
      </c>
    </row>
    <row r="263" spans="1:7" x14ac:dyDescent="0.3">
      <c r="A263" t="s">
        <v>433</v>
      </c>
      <c r="B263" t="s">
        <v>310</v>
      </c>
      <c r="C263">
        <v>21</v>
      </c>
      <c r="D263" s="1">
        <v>45856</v>
      </c>
      <c r="E263">
        <v>52800</v>
      </c>
      <c r="F263" t="s">
        <v>991</v>
      </c>
      <c r="G263">
        <v>226</v>
      </c>
    </row>
    <row r="264" spans="1:7" x14ac:dyDescent="0.3">
      <c r="A264" t="s">
        <v>433</v>
      </c>
      <c r="B264" t="s">
        <v>236</v>
      </c>
      <c r="C264">
        <v>21</v>
      </c>
      <c r="D264" s="1">
        <v>45854</v>
      </c>
      <c r="E264">
        <v>73700</v>
      </c>
      <c r="F264" t="s">
        <v>339</v>
      </c>
      <c r="G264">
        <v>214</v>
      </c>
    </row>
    <row r="265" spans="1:7" x14ac:dyDescent="0.3">
      <c r="A265" t="s">
        <v>433</v>
      </c>
      <c r="B265" t="s">
        <v>309</v>
      </c>
      <c r="C265">
        <v>21</v>
      </c>
      <c r="D265" s="1">
        <v>45855</v>
      </c>
      <c r="E265">
        <v>80300</v>
      </c>
      <c r="F265" t="s">
        <v>1007</v>
      </c>
      <c r="G265">
        <v>209</v>
      </c>
    </row>
    <row r="266" spans="1:7" x14ac:dyDescent="0.3">
      <c r="A266" t="s">
        <v>433</v>
      </c>
      <c r="B266" t="s">
        <v>310</v>
      </c>
      <c r="C266">
        <v>21</v>
      </c>
      <c r="D266" s="1">
        <v>45854</v>
      </c>
      <c r="E266">
        <v>89100</v>
      </c>
      <c r="F266" t="s">
        <v>320</v>
      </c>
      <c r="G266">
        <v>206</v>
      </c>
    </row>
    <row r="267" spans="1:7" x14ac:dyDescent="0.3">
      <c r="A267" t="s">
        <v>433</v>
      </c>
      <c r="B267" t="s">
        <v>229</v>
      </c>
      <c r="C267">
        <v>21</v>
      </c>
      <c r="D267" s="1">
        <v>45855</v>
      </c>
      <c r="E267">
        <v>29700</v>
      </c>
      <c r="F267" t="s">
        <v>333</v>
      </c>
      <c r="G267">
        <v>199</v>
      </c>
    </row>
    <row r="268" spans="1:7" x14ac:dyDescent="0.3">
      <c r="A268" t="s">
        <v>433</v>
      </c>
      <c r="B268" t="s">
        <v>229</v>
      </c>
      <c r="C268">
        <v>21</v>
      </c>
      <c r="D268" s="1">
        <v>45854</v>
      </c>
      <c r="E268">
        <v>29700</v>
      </c>
      <c r="F268" t="s">
        <v>377</v>
      </c>
      <c r="G268">
        <v>179</v>
      </c>
    </row>
    <row r="269" spans="1:7" x14ac:dyDescent="0.3">
      <c r="A269" t="s">
        <v>433</v>
      </c>
      <c r="B269" t="s">
        <v>231</v>
      </c>
      <c r="C269">
        <v>22</v>
      </c>
      <c r="D269" s="1">
        <v>45865</v>
      </c>
      <c r="E269">
        <v>139700</v>
      </c>
      <c r="F269" t="s">
        <v>485</v>
      </c>
      <c r="G269">
        <v>824</v>
      </c>
    </row>
    <row r="270" spans="1:7" x14ac:dyDescent="0.3">
      <c r="A270" t="s">
        <v>433</v>
      </c>
      <c r="B270" t="s">
        <v>309</v>
      </c>
      <c r="C270">
        <v>22</v>
      </c>
      <c r="D270" s="1">
        <v>45864</v>
      </c>
      <c r="E270">
        <v>12100</v>
      </c>
      <c r="F270" t="s">
        <v>539</v>
      </c>
      <c r="G270">
        <v>714</v>
      </c>
    </row>
    <row r="271" spans="1:7" x14ac:dyDescent="0.3">
      <c r="A271" t="s">
        <v>433</v>
      </c>
      <c r="B271" t="s">
        <v>235</v>
      </c>
      <c r="C271">
        <v>22</v>
      </c>
      <c r="D271" s="1">
        <v>45864</v>
      </c>
      <c r="E271">
        <v>7700</v>
      </c>
      <c r="F271" t="s">
        <v>579</v>
      </c>
      <c r="G271">
        <v>677</v>
      </c>
    </row>
    <row r="272" spans="1:7" x14ac:dyDescent="0.3">
      <c r="A272" t="s">
        <v>433</v>
      </c>
      <c r="B272" t="s">
        <v>228</v>
      </c>
      <c r="C272">
        <v>22</v>
      </c>
      <c r="D272" s="1">
        <v>45864</v>
      </c>
      <c r="E272">
        <v>7700</v>
      </c>
      <c r="F272" t="s">
        <v>610</v>
      </c>
      <c r="G272">
        <v>695</v>
      </c>
    </row>
    <row r="273" spans="1:7" x14ac:dyDescent="0.3">
      <c r="A273" t="s">
        <v>433</v>
      </c>
      <c r="B273" t="s">
        <v>309</v>
      </c>
      <c r="C273">
        <v>22</v>
      </c>
      <c r="D273" s="1">
        <v>45864</v>
      </c>
      <c r="E273">
        <v>62700</v>
      </c>
      <c r="F273" t="s">
        <v>615</v>
      </c>
      <c r="G273">
        <v>680</v>
      </c>
    </row>
    <row r="274" spans="1:7" x14ac:dyDescent="0.3">
      <c r="A274" t="s">
        <v>433</v>
      </c>
      <c r="B274" t="s">
        <v>234</v>
      </c>
      <c r="C274">
        <v>22</v>
      </c>
      <c r="D274" s="1">
        <v>45863</v>
      </c>
      <c r="E274">
        <v>7700</v>
      </c>
      <c r="F274" t="s">
        <v>637</v>
      </c>
      <c r="G274">
        <v>603</v>
      </c>
    </row>
    <row r="275" spans="1:7" x14ac:dyDescent="0.3">
      <c r="A275" t="s">
        <v>433</v>
      </c>
      <c r="B275" t="s">
        <v>309</v>
      </c>
      <c r="C275">
        <v>22</v>
      </c>
      <c r="D275" s="1">
        <v>45861</v>
      </c>
      <c r="E275">
        <v>84700</v>
      </c>
      <c r="F275" t="s">
        <v>642</v>
      </c>
      <c r="G275">
        <v>600</v>
      </c>
    </row>
    <row r="276" spans="1:7" x14ac:dyDescent="0.3">
      <c r="A276" t="s">
        <v>433</v>
      </c>
      <c r="B276" t="s">
        <v>226</v>
      </c>
      <c r="C276">
        <v>22</v>
      </c>
      <c r="D276" s="1">
        <v>45863</v>
      </c>
      <c r="E276">
        <v>7700</v>
      </c>
      <c r="F276" t="s">
        <v>647</v>
      </c>
      <c r="G276">
        <v>615</v>
      </c>
    </row>
    <row r="277" spans="1:7" x14ac:dyDescent="0.3">
      <c r="A277" t="s">
        <v>433</v>
      </c>
      <c r="B277" t="s">
        <v>229</v>
      </c>
      <c r="C277">
        <v>22</v>
      </c>
      <c r="D277" s="1">
        <v>45862</v>
      </c>
      <c r="E277">
        <v>22000</v>
      </c>
      <c r="F277" t="s">
        <v>657</v>
      </c>
      <c r="G277">
        <v>588</v>
      </c>
    </row>
    <row r="278" spans="1:7" x14ac:dyDescent="0.3">
      <c r="A278" t="s">
        <v>433</v>
      </c>
      <c r="B278" t="s">
        <v>236</v>
      </c>
      <c r="C278">
        <v>22</v>
      </c>
      <c r="D278" s="1">
        <v>45863</v>
      </c>
      <c r="E278">
        <v>33000</v>
      </c>
      <c r="F278" t="s">
        <v>676</v>
      </c>
      <c r="G278">
        <v>573</v>
      </c>
    </row>
    <row r="279" spans="1:7" x14ac:dyDescent="0.3">
      <c r="A279" t="s">
        <v>433</v>
      </c>
      <c r="B279" t="s">
        <v>310</v>
      </c>
      <c r="C279">
        <v>22</v>
      </c>
      <c r="D279" s="1">
        <v>45861</v>
      </c>
      <c r="E279">
        <v>117700</v>
      </c>
      <c r="F279" t="s">
        <v>703</v>
      </c>
      <c r="G279">
        <v>530</v>
      </c>
    </row>
    <row r="280" spans="1:7" x14ac:dyDescent="0.3">
      <c r="A280" t="s">
        <v>433</v>
      </c>
      <c r="B280" t="s">
        <v>226</v>
      </c>
      <c r="C280">
        <v>22</v>
      </c>
      <c r="D280" s="1">
        <v>45860</v>
      </c>
      <c r="E280">
        <v>29700</v>
      </c>
      <c r="F280" t="s">
        <v>761</v>
      </c>
      <c r="G280">
        <v>459</v>
      </c>
    </row>
    <row r="281" spans="1:7" x14ac:dyDescent="0.3">
      <c r="A281" t="s">
        <v>433</v>
      </c>
      <c r="B281" t="s">
        <v>309</v>
      </c>
      <c r="C281">
        <v>22</v>
      </c>
      <c r="D281" s="1">
        <v>45855</v>
      </c>
      <c r="E281">
        <v>300300</v>
      </c>
      <c r="F281" t="s">
        <v>856</v>
      </c>
      <c r="G281">
        <v>413</v>
      </c>
    </row>
    <row r="282" spans="1:7" x14ac:dyDescent="0.3">
      <c r="A282" t="s">
        <v>433</v>
      </c>
      <c r="B282" t="s">
        <v>310</v>
      </c>
      <c r="C282">
        <v>22</v>
      </c>
      <c r="D282" s="1">
        <v>45860</v>
      </c>
      <c r="E282">
        <v>51700</v>
      </c>
      <c r="F282" t="s">
        <v>860</v>
      </c>
      <c r="G282">
        <v>377</v>
      </c>
    </row>
    <row r="283" spans="1:7" x14ac:dyDescent="0.3">
      <c r="A283" t="s">
        <v>433</v>
      </c>
      <c r="B283" t="s">
        <v>235</v>
      </c>
      <c r="C283">
        <v>22</v>
      </c>
      <c r="D283" s="1">
        <v>45859</v>
      </c>
      <c r="E283">
        <v>0</v>
      </c>
      <c r="F283" t="s">
        <v>872</v>
      </c>
      <c r="G283">
        <v>365</v>
      </c>
    </row>
    <row r="284" spans="1:7" x14ac:dyDescent="0.3">
      <c r="A284" t="s">
        <v>433</v>
      </c>
      <c r="B284" t="s">
        <v>229</v>
      </c>
      <c r="C284">
        <v>22</v>
      </c>
      <c r="D284" s="1">
        <v>45859</v>
      </c>
      <c r="E284">
        <v>7700</v>
      </c>
      <c r="F284" t="s">
        <v>895</v>
      </c>
      <c r="G284">
        <v>355</v>
      </c>
    </row>
    <row r="285" spans="1:7" x14ac:dyDescent="0.3">
      <c r="A285" t="s">
        <v>433</v>
      </c>
      <c r="B285" t="s">
        <v>226</v>
      </c>
      <c r="C285">
        <v>22</v>
      </c>
      <c r="D285" s="1">
        <v>45859</v>
      </c>
      <c r="E285">
        <v>249700</v>
      </c>
      <c r="F285" t="s">
        <v>900</v>
      </c>
      <c r="G285">
        <v>435</v>
      </c>
    </row>
    <row r="286" spans="1:7" x14ac:dyDescent="0.3">
      <c r="A286" t="s">
        <v>433</v>
      </c>
      <c r="B286" t="s">
        <v>231</v>
      </c>
      <c r="C286">
        <v>22</v>
      </c>
      <c r="D286" s="1">
        <v>45858</v>
      </c>
      <c r="E286">
        <v>25300</v>
      </c>
      <c r="F286" t="s">
        <v>908</v>
      </c>
      <c r="G286">
        <v>323</v>
      </c>
    </row>
    <row r="287" spans="1:7" x14ac:dyDescent="0.3">
      <c r="A287" t="s">
        <v>433</v>
      </c>
      <c r="B287" t="s">
        <v>226</v>
      </c>
      <c r="C287">
        <v>22</v>
      </c>
      <c r="D287" s="1">
        <v>45858</v>
      </c>
      <c r="E287">
        <v>7700</v>
      </c>
      <c r="F287" t="s">
        <v>911</v>
      </c>
      <c r="G287">
        <v>320</v>
      </c>
    </row>
    <row r="288" spans="1:7" x14ac:dyDescent="0.3">
      <c r="A288" t="s">
        <v>433</v>
      </c>
      <c r="B288" t="s">
        <v>229</v>
      </c>
      <c r="C288">
        <v>22</v>
      </c>
      <c r="D288" s="1">
        <v>45858</v>
      </c>
      <c r="E288">
        <v>0</v>
      </c>
      <c r="F288" t="s">
        <v>915</v>
      </c>
      <c r="G288">
        <v>358</v>
      </c>
    </row>
    <row r="289" spans="1:7" x14ac:dyDescent="0.3">
      <c r="A289" t="s">
        <v>433</v>
      </c>
      <c r="B289" t="s">
        <v>309</v>
      </c>
      <c r="C289">
        <v>22</v>
      </c>
      <c r="D289" s="1">
        <v>45858</v>
      </c>
      <c r="E289">
        <v>161700</v>
      </c>
      <c r="F289" t="s">
        <v>924</v>
      </c>
      <c r="G289">
        <v>305</v>
      </c>
    </row>
    <row r="290" spans="1:7" x14ac:dyDescent="0.3">
      <c r="A290" t="s">
        <v>433</v>
      </c>
      <c r="B290" t="s">
        <v>234</v>
      </c>
      <c r="C290">
        <v>22</v>
      </c>
      <c r="D290" s="1">
        <v>45857</v>
      </c>
      <c r="E290">
        <v>144100</v>
      </c>
      <c r="F290" t="s">
        <v>926</v>
      </c>
      <c r="G290">
        <v>300</v>
      </c>
    </row>
    <row r="291" spans="1:7" x14ac:dyDescent="0.3">
      <c r="A291" t="s">
        <v>433</v>
      </c>
      <c r="B291" t="s">
        <v>309</v>
      </c>
      <c r="C291">
        <v>22</v>
      </c>
      <c r="D291" s="1">
        <v>45858</v>
      </c>
      <c r="E291">
        <v>44000</v>
      </c>
      <c r="F291" t="s">
        <v>931</v>
      </c>
      <c r="G291">
        <v>295</v>
      </c>
    </row>
    <row r="292" spans="1:7" x14ac:dyDescent="0.3">
      <c r="A292" t="s">
        <v>433</v>
      </c>
      <c r="B292" t="s">
        <v>310</v>
      </c>
      <c r="C292">
        <v>22</v>
      </c>
      <c r="D292" s="1">
        <v>45858</v>
      </c>
      <c r="E292">
        <v>86900</v>
      </c>
      <c r="F292" t="s">
        <v>937</v>
      </c>
      <c r="G292">
        <v>290</v>
      </c>
    </row>
    <row r="293" spans="1:7" x14ac:dyDescent="0.3">
      <c r="A293" t="s">
        <v>433</v>
      </c>
      <c r="B293" t="s">
        <v>311</v>
      </c>
      <c r="C293">
        <v>22</v>
      </c>
      <c r="D293" s="1">
        <v>45857</v>
      </c>
      <c r="E293">
        <v>99000</v>
      </c>
      <c r="F293" t="s">
        <v>945</v>
      </c>
      <c r="G293">
        <v>285</v>
      </c>
    </row>
    <row r="294" spans="1:7" x14ac:dyDescent="0.3">
      <c r="A294" t="s">
        <v>433</v>
      </c>
      <c r="B294" t="s">
        <v>235</v>
      </c>
      <c r="C294">
        <v>22</v>
      </c>
      <c r="D294" s="1">
        <v>45857</v>
      </c>
      <c r="E294">
        <v>73700</v>
      </c>
      <c r="F294" t="s">
        <v>951</v>
      </c>
      <c r="G294">
        <v>273</v>
      </c>
    </row>
    <row r="295" spans="1:7" x14ac:dyDescent="0.3">
      <c r="A295" t="s">
        <v>433</v>
      </c>
      <c r="B295" t="s">
        <v>309</v>
      </c>
      <c r="C295">
        <v>22</v>
      </c>
      <c r="D295" s="1">
        <v>45857</v>
      </c>
      <c r="E295">
        <v>58300</v>
      </c>
      <c r="F295" t="s">
        <v>955</v>
      </c>
      <c r="G295">
        <v>292</v>
      </c>
    </row>
    <row r="296" spans="1:7" x14ac:dyDescent="0.3">
      <c r="A296" t="s">
        <v>433</v>
      </c>
      <c r="B296" t="s">
        <v>310</v>
      </c>
      <c r="C296">
        <v>22</v>
      </c>
      <c r="D296" s="1">
        <v>45857</v>
      </c>
      <c r="E296">
        <v>46200</v>
      </c>
      <c r="F296" t="s">
        <v>960</v>
      </c>
      <c r="G296">
        <v>268</v>
      </c>
    </row>
    <row r="297" spans="1:7" x14ac:dyDescent="0.3">
      <c r="A297" t="s">
        <v>433</v>
      </c>
      <c r="B297" t="s">
        <v>310</v>
      </c>
      <c r="C297">
        <v>22</v>
      </c>
      <c r="D297" s="1">
        <v>45857</v>
      </c>
      <c r="E297">
        <v>61600</v>
      </c>
      <c r="F297" t="s">
        <v>963</v>
      </c>
      <c r="G297">
        <v>277</v>
      </c>
    </row>
    <row r="298" spans="1:7" x14ac:dyDescent="0.3">
      <c r="A298" t="s">
        <v>433</v>
      </c>
      <c r="B298" t="s">
        <v>310</v>
      </c>
      <c r="C298">
        <v>22</v>
      </c>
      <c r="D298" s="1">
        <v>45856</v>
      </c>
      <c r="E298">
        <v>7700</v>
      </c>
      <c r="F298" t="s">
        <v>964</v>
      </c>
      <c r="G298">
        <v>264</v>
      </c>
    </row>
    <row r="299" spans="1:7" x14ac:dyDescent="0.3">
      <c r="A299" t="s">
        <v>433</v>
      </c>
      <c r="B299" t="s">
        <v>309</v>
      </c>
      <c r="C299">
        <v>22</v>
      </c>
      <c r="D299" s="1">
        <v>45856</v>
      </c>
      <c r="E299">
        <v>7700</v>
      </c>
      <c r="F299" t="s">
        <v>965</v>
      </c>
      <c r="G299">
        <v>263</v>
      </c>
    </row>
    <row r="300" spans="1:7" x14ac:dyDescent="0.3">
      <c r="A300" t="s">
        <v>433</v>
      </c>
      <c r="B300" t="s">
        <v>235</v>
      </c>
      <c r="C300">
        <v>22</v>
      </c>
      <c r="D300" s="1">
        <v>45855</v>
      </c>
      <c r="E300">
        <v>7700</v>
      </c>
      <c r="F300" t="s">
        <v>976</v>
      </c>
      <c r="G300">
        <v>317</v>
      </c>
    </row>
    <row r="301" spans="1:7" x14ac:dyDescent="0.3">
      <c r="A301" t="s">
        <v>433</v>
      </c>
      <c r="B301" t="s">
        <v>310</v>
      </c>
      <c r="C301">
        <v>22</v>
      </c>
      <c r="D301" s="1">
        <v>45855</v>
      </c>
      <c r="E301">
        <v>7700</v>
      </c>
      <c r="F301" t="s">
        <v>977</v>
      </c>
      <c r="G301">
        <v>243</v>
      </c>
    </row>
    <row r="302" spans="1:7" x14ac:dyDescent="0.3">
      <c r="A302" t="s">
        <v>433</v>
      </c>
      <c r="B302" t="s">
        <v>230</v>
      </c>
      <c r="C302">
        <v>22</v>
      </c>
      <c r="D302" s="1">
        <v>45855</v>
      </c>
      <c r="E302">
        <v>25300</v>
      </c>
      <c r="F302" t="s">
        <v>979</v>
      </c>
      <c r="G302">
        <v>238</v>
      </c>
    </row>
    <row r="303" spans="1:7" x14ac:dyDescent="0.3">
      <c r="A303" t="s">
        <v>433</v>
      </c>
      <c r="B303" t="s">
        <v>309</v>
      </c>
      <c r="C303">
        <v>22</v>
      </c>
      <c r="D303" s="1">
        <v>45855</v>
      </c>
      <c r="E303">
        <v>7700</v>
      </c>
      <c r="F303" t="s">
        <v>981</v>
      </c>
      <c r="G303">
        <v>226</v>
      </c>
    </row>
    <row r="304" spans="1:7" x14ac:dyDescent="0.3">
      <c r="A304" t="s">
        <v>433</v>
      </c>
      <c r="B304" t="s">
        <v>309</v>
      </c>
      <c r="C304">
        <v>22</v>
      </c>
      <c r="D304" s="1">
        <v>45854</v>
      </c>
      <c r="E304">
        <v>7700</v>
      </c>
      <c r="F304" t="s">
        <v>995</v>
      </c>
      <c r="G304">
        <v>227</v>
      </c>
    </row>
    <row r="305" spans="1:7" x14ac:dyDescent="0.3">
      <c r="A305" t="s">
        <v>433</v>
      </c>
      <c r="B305" t="s">
        <v>309</v>
      </c>
      <c r="C305">
        <v>22</v>
      </c>
      <c r="D305" s="1">
        <v>45854</v>
      </c>
      <c r="E305">
        <v>27500</v>
      </c>
      <c r="F305" t="s">
        <v>998</v>
      </c>
      <c r="G305">
        <v>202</v>
      </c>
    </row>
    <row r="306" spans="1:7" x14ac:dyDescent="0.3">
      <c r="A306" t="s">
        <v>433</v>
      </c>
      <c r="B306" t="s">
        <v>231</v>
      </c>
      <c r="C306">
        <v>22</v>
      </c>
      <c r="D306" s="1">
        <v>45854</v>
      </c>
      <c r="E306">
        <v>40700</v>
      </c>
      <c r="F306" t="s">
        <v>1002</v>
      </c>
      <c r="G306">
        <v>209</v>
      </c>
    </row>
    <row r="307" spans="1:7" x14ac:dyDescent="0.3">
      <c r="A307" t="s">
        <v>433</v>
      </c>
      <c r="B307" t="s">
        <v>310</v>
      </c>
      <c r="C307">
        <v>22</v>
      </c>
      <c r="D307" s="1">
        <v>45854</v>
      </c>
      <c r="E307">
        <v>33000</v>
      </c>
      <c r="F307" t="s">
        <v>1003</v>
      </c>
      <c r="G307">
        <v>199</v>
      </c>
    </row>
    <row r="308" spans="1:7" x14ac:dyDescent="0.3">
      <c r="A308" t="s">
        <v>433</v>
      </c>
      <c r="B308" t="s">
        <v>309</v>
      </c>
      <c r="C308">
        <v>22</v>
      </c>
      <c r="D308" s="1">
        <v>45854</v>
      </c>
      <c r="E308">
        <v>7700</v>
      </c>
      <c r="F308" t="s">
        <v>1005</v>
      </c>
      <c r="G308">
        <v>197</v>
      </c>
    </row>
    <row r="309" spans="1:7" x14ac:dyDescent="0.3">
      <c r="A309" t="s">
        <v>433</v>
      </c>
      <c r="B309" t="s">
        <v>231</v>
      </c>
      <c r="C309">
        <v>23</v>
      </c>
      <c r="D309" s="1">
        <v>45865</v>
      </c>
      <c r="E309">
        <v>14300</v>
      </c>
      <c r="F309" t="s">
        <v>442</v>
      </c>
      <c r="G309">
        <v>757</v>
      </c>
    </row>
    <row r="310" spans="1:7" x14ac:dyDescent="0.3">
      <c r="A310" t="s">
        <v>433</v>
      </c>
      <c r="B310" t="s">
        <v>235</v>
      </c>
      <c r="C310">
        <v>23</v>
      </c>
      <c r="D310" s="1">
        <v>45864</v>
      </c>
      <c r="E310">
        <v>7700</v>
      </c>
      <c r="F310" t="s">
        <v>443</v>
      </c>
      <c r="G310">
        <v>810</v>
      </c>
    </row>
    <row r="311" spans="1:7" x14ac:dyDescent="0.3">
      <c r="A311" t="s">
        <v>433</v>
      </c>
      <c r="B311" t="s">
        <v>310</v>
      </c>
      <c r="C311">
        <v>23</v>
      </c>
      <c r="D311" s="1">
        <v>45865</v>
      </c>
      <c r="E311">
        <v>58300</v>
      </c>
      <c r="F311" t="s">
        <v>445</v>
      </c>
      <c r="G311">
        <v>787</v>
      </c>
    </row>
    <row r="312" spans="1:7" x14ac:dyDescent="0.3">
      <c r="A312" t="s">
        <v>433</v>
      </c>
      <c r="B312" t="s">
        <v>225</v>
      </c>
      <c r="C312">
        <v>23</v>
      </c>
      <c r="D312" s="1">
        <v>45864</v>
      </c>
      <c r="E312">
        <v>7700</v>
      </c>
      <c r="F312" t="s">
        <v>472</v>
      </c>
      <c r="G312">
        <v>794</v>
      </c>
    </row>
    <row r="313" spans="1:7" x14ac:dyDescent="0.3">
      <c r="A313" t="s">
        <v>433</v>
      </c>
      <c r="B313" t="s">
        <v>309</v>
      </c>
      <c r="C313">
        <v>23</v>
      </c>
      <c r="D313" s="1">
        <v>45864</v>
      </c>
      <c r="E313">
        <v>66000</v>
      </c>
      <c r="F313" t="s">
        <v>518</v>
      </c>
      <c r="G313">
        <v>858</v>
      </c>
    </row>
    <row r="314" spans="1:7" x14ac:dyDescent="0.3">
      <c r="A314" t="s">
        <v>433</v>
      </c>
      <c r="B314" t="s">
        <v>309</v>
      </c>
      <c r="C314">
        <v>23</v>
      </c>
      <c r="D314" s="1">
        <v>45864</v>
      </c>
      <c r="E314">
        <v>7700</v>
      </c>
      <c r="F314" t="s">
        <v>528</v>
      </c>
      <c r="G314">
        <v>708</v>
      </c>
    </row>
    <row r="315" spans="1:7" x14ac:dyDescent="0.3">
      <c r="A315" t="s">
        <v>433</v>
      </c>
      <c r="B315" t="s">
        <v>309</v>
      </c>
      <c r="C315">
        <v>23</v>
      </c>
      <c r="D315" s="1">
        <v>45862</v>
      </c>
      <c r="E315">
        <v>29700</v>
      </c>
      <c r="F315" t="s">
        <v>529</v>
      </c>
      <c r="G315">
        <v>778</v>
      </c>
    </row>
    <row r="316" spans="1:7" x14ac:dyDescent="0.3">
      <c r="A316" t="s">
        <v>433</v>
      </c>
      <c r="B316" t="s">
        <v>235</v>
      </c>
      <c r="C316">
        <v>23</v>
      </c>
      <c r="D316" s="1">
        <v>45864</v>
      </c>
      <c r="E316">
        <v>17600</v>
      </c>
      <c r="F316" t="s">
        <v>534</v>
      </c>
      <c r="G316">
        <v>719</v>
      </c>
    </row>
    <row r="317" spans="1:7" x14ac:dyDescent="0.3">
      <c r="A317" t="s">
        <v>433</v>
      </c>
      <c r="B317" t="s">
        <v>310</v>
      </c>
      <c r="C317">
        <v>23</v>
      </c>
      <c r="D317" s="1">
        <v>45863</v>
      </c>
      <c r="E317">
        <v>14300</v>
      </c>
      <c r="F317" t="s">
        <v>549</v>
      </c>
      <c r="G317">
        <v>686</v>
      </c>
    </row>
    <row r="318" spans="1:7" x14ac:dyDescent="0.3">
      <c r="A318" t="s">
        <v>433</v>
      </c>
      <c r="B318" t="s">
        <v>229</v>
      </c>
      <c r="C318">
        <v>23</v>
      </c>
      <c r="D318" s="1">
        <v>45862</v>
      </c>
      <c r="E318">
        <v>29700</v>
      </c>
      <c r="F318" t="s">
        <v>565</v>
      </c>
      <c r="G318">
        <v>692</v>
      </c>
    </row>
    <row r="319" spans="1:7" x14ac:dyDescent="0.3">
      <c r="A319" t="s">
        <v>433</v>
      </c>
      <c r="B319" t="s">
        <v>310</v>
      </c>
      <c r="C319">
        <v>23</v>
      </c>
      <c r="D319" s="1">
        <v>45863</v>
      </c>
      <c r="E319">
        <v>11000</v>
      </c>
      <c r="F319" t="s">
        <v>574</v>
      </c>
      <c r="G319">
        <v>690</v>
      </c>
    </row>
    <row r="320" spans="1:7" x14ac:dyDescent="0.3">
      <c r="A320" t="s">
        <v>433</v>
      </c>
      <c r="B320" t="s">
        <v>233</v>
      </c>
      <c r="C320">
        <v>23</v>
      </c>
      <c r="D320" s="1">
        <v>45863</v>
      </c>
      <c r="E320">
        <v>7700</v>
      </c>
      <c r="F320" t="s">
        <v>616</v>
      </c>
      <c r="G320">
        <v>619</v>
      </c>
    </row>
    <row r="321" spans="1:7" x14ac:dyDescent="0.3">
      <c r="A321" t="s">
        <v>433</v>
      </c>
      <c r="B321" t="s">
        <v>309</v>
      </c>
      <c r="C321">
        <v>23</v>
      </c>
      <c r="D321" s="1">
        <v>45861</v>
      </c>
      <c r="E321">
        <v>150700</v>
      </c>
      <c r="F321" t="s">
        <v>641</v>
      </c>
      <c r="G321">
        <v>625</v>
      </c>
    </row>
    <row r="322" spans="1:7" x14ac:dyDescent="0.3">
      <c r="A322" t="s">
        <v>433</v>
      </c>
      <c r="B322" t="s">
        <v>231</v>
      </c>
      <c r="C322">
        <v>23</v>
      </c>
      <c r="D322" s="1">
        <v>45861</v>
      </c>
      <c r="E322">
        <v>110000</v>
      </c>
      <c r="F322" t="s">
        <v>649</v>
      </c>
      <c r="G322">
        <v>621</v>
      </c>
    </row>
    <row r="323" spans="1:7" x14ac:dyDescent="0.3">
      <c r="A323" t="s">
        <v>433</v>
      </c>
      <c r="B323" t="s">
        <v>228</v>
      </c>
      <c r="C323">
        <v>23</v>
      </c>
      <c r="D323" s="1">
        <v>45862</v>
      </c>
      <c r="E323">
        <v>40700</v>
      </c>
      <c r="F323" t="s">
        <v>655</v>
      </c>
      <c r="G323">
        <v>615</v>
      </c>
    </row>
    <row r="324" spans="1:7" x14ac:dyDescent="0.3">
      <c r="A324" t="s">
        <v>433</v>
      </c>
      <c r="B324" t="s">
        <v>310</v>
      </c>
      <c r="C324">
        <v>23</v>
      </c>
      <c r="D324" s="1">
        <v>45861</v>
      </c>
      <c r="E324">
        <v>29700</v>
      </c>
      <c r="F324" t="s">
        <v>684</v>
      </c>
      <c r="G324">
        <v>550</v>
      </c>
    </row>
    <row r="325" spans="1:7" x14ac:dyDescent="0.3">
      <c r="A325" t="s">
        <v>433</v>
      </c>
      <c r="B325" t="s">
        <v>310</v>
      </c>
      <c r="C325">
        <v>23</v>
      </c>
      <c r="D325" s="1">
        <v>45860</v>
      </c>
      <c r="E325">
        <v>40700</v>
      </c>
      <c r="F325" t="s">
        <v>696</v>
      </c>
      <c r="G325">
        <v>575</v>
      </c>
    </row>
    <row r="326" spans="1:7" x14ac:dyDescent="0.3">
      <c r="A326" t="s">
        <v>433</v>
      </c>
      <c r="B326" t="s">
        <v>310</v>
      </c>
      <c r="C326">
        <v>23</v>
      </c>
      <c r="D326" s="1">
        <v>45861</v>
      </c>
      <c r="E326">
        <v>62700</v>
      </c>
      <c r="F326" t="s">
        <v>700</v>
      </c>
      <c r="G326">
        <v>537</v>
      </c>
    </row>
    <row r="327" spans="1:7" x14ac:dyDescent="0.3">
      <c r="A327" t="s">
        <v>433</v>
      </c>
      <c r="B327" t="s">
        <v>231</v>
      </c>
      <c r="C327">
        <v>23</v>
      </c>
      <c r="D327" s="1">
        <v>45861</v>
      </c>
      <c r="E327">
        <v>7700</v>
      </c>
      <c r="F327" t="s">
        <v>705</v>
      </c>
      <c r="G327">
        <v>525</v>
      </c>
    </row>
    <row r="328" spans="1:7" x14ac:dyDescent="0.3">
      <c r="A328" t="s">
        <v>433</v>
      </c>
      <c r="B328" t="s">
        <v>309</v>
      </c>
      <c r="C328">
        <v>23</v>
      </c>
      <c r="D328" s="1">
        <v>45861</v>
      </c>
      <c r="E328">
        <v>99000</v>
      </c>
      <c r="F328" t="s">
        <v>723</v>
      </c>
      <c r="G328">
        <v>510</v>
      </c>
    </row>
    <row r="329" spans="1:7" x14ac:dyDescent="0.3">
      <c r="A329" t="s">
        <v>433</v>
      </c>
      <c r="B329" t="s">
        <v>235</v>
      </c>
      <c r="C329">
        <v>23</v>
      </c>
      <c r="D329" s="1">
        <v>45858</v>
      </c>
      <c r="E329">
        <v>7700</v>
      </c>
      <c r="F329" t="s">
        <v>743</v>
      </c>
      <c r="G329">
        <v>524</v>
      </c>
    </row>
    <row r="330" spans="1:7" x14ac:dyDescent="0.3">
      <c r="A330" t="s">
        <v>433</v>
      </c>
      <c r="B330" t="s">
        <v>231</v>
      </c>
      <c r="C330">
        <v>23</v>
      </c>
      <c r="D330" s="1">
        <v>45859</v>
      </c>
      <c r="E330">
        <v>16500</v>
      </c>
      <c r="F330" t="s">
        <v>747</v>
      </c>
      <c r="G330">
        <v>491</v>
      </c>
    </row>
    <row r="331" spans="1:7" x14ac:dyDescent="0.3">
      <c r="A331" t="s">
        <v>433</v>
      </c>
      <c r="B331" t="s">
        <v>310</v>
      </c>
      <c r="C331">
        <v>23</v>
      </c>
      <c r="D331" s="1">
        <v>45860</v>
      </c>
      <c r="E331">
        <v>7700</v>
      </c>
      <c r="F331" t="s">
        <v>778</v>
      </c>
      <c r="G331">
        <v>486</v>
      </c>
    </row>
    <row r="332" spans="1:7" x14ac:dyDescent="0.3">
      <c r="A332" t="s">
        <v>433</v>
      </c>
      <c r="B332" t="s">
        <v>231</v>
      </c>
      <c r="C332">
        <v>23</v>
      </c>
      <c r="D332" s="1">
        <v>45860</v>
      </c>
      <c r="E332">
        <v>7700</v>
      </c>
      <c r="F332" t="s">
        <v>780</v>
      </c>
      <c r="G332">
        <v>510</v>
      </c>
    </row>
    <row r="333" spans="1:7" x14ac:dyDescent="0.3">
      <c r="A333" t="s">
        <v>433</v>
      </c>
      <c r="B333" t="s">
        <v>236</v>
      </c>
      <c r="C333">
        <v>23</v>
      </c>
      <c r="D333" s="1">
        <v>45860</v>
      </c>
      <c r="E333">
        <v>179300</v>
      </c>
      <c r="F333" t="s">
        <v>784</v>
      </c>
      <c r="G333">
        <v>464</v>
      </c>
    </row>
    <row r="334" spans="1:7" x14ac:dyDescent="0.3">
      <c r="A334" t="s">
        <v>433</v>
      </c>
      <c r="B334" t="s">
        <v>228</v>
      </c>
      <c r="C334">
        <v>23</v>
      </c>
      <c r="D334" s="1">
        <v>45859</v>
      </c>
      <c r="E334">
        <v>7700</v>
      </c>
      <c r="F334" t="s">
        <v>816</v>
      </c>
      <c r="G334">
        <v>439</v>
      </c>
    </row>
    <row r="335" spans="1:7" x14ac:dyDescent="0.3">
      <c r="A335" t="s">
        <v>433</v>
      </c>
      <c r="B335" t="s">
        <v>310</v>
      </c>
      <c r="C335">
        <v>23</v>
      </c>
      <c r="D335" s="1">
        <v>45859</v>
      </c>
      <c r="E335">
        <v>68200</v>
      </c>
      <c r="F335" t="s">
        <v>839</v>
      </c>
      <c r="G335">
        <v>404</v>
      </c>
    </row>
    <row r="336" spans="1:7" x14ac:dyDescent="0.3">
      <c r="A336" t="s">
        <v>433</v>
      </c>
      <c r="B336" t="s">
        <v>309</v>
      </c>
      <c r="C336">
        <v>23</v>
      </c>
      <c r="D336" s="1">
        <v>45859</v>
      </c>
      <c r="E336">
        <v>7700</v>
      </c>
      <c r="F336" t="s">
        <v>842</v>
      </c>
      <c r="G336">
        <v>424</v>
      </c>
    </row>
    <row r="337" spans="1:7" x14ac:dyDescent="0.3">
      <c r="A337" t="s">
        <v>433</v>
      </c>
      <c r="B337" t="s">
        <v>233</v>
      </c>
      <c r="C337">
        <v>23</v>
      </c>
      <c r="D337" s="1">
        <v>45857</v>
      </c>
      <c r="E337">
        <v>14300</v>
      </c>
      <c r="F337" t="s">
        <v>879</v>
      </c>
      <c r="G337">
        <v>386</v>
      </c>
    </row>
    <row r="338" spans="1:7" x14ac:dyDescent="0.3">
      <c r="A338" t="s">
        <v>433</v>
      </c>
      <c r="B338" t="s">
        <v>309</v>
      </c>
      <c r="C338">
        <v>23</v>
      </c>
      <c r="D338" s="1">
        <v>45858</v>
      </c>
      <c r="E338">
        <v>40700</v>
      </c>
      <c r="F338" t="s">
        <v>880</v>
      </c>
      <c r="G338">
        <v>479</v>
      </c>
    </row>
    <row r="339" spans="1:7" x14ac:dyDescent="0.3">
      <c r="A339" t="s">
        <v>433</v>
      </c>
      <c r="B339" t="s">
        <v>309</v>
      </c>
      <c r="C339">
        <v>23</v>
      </c>
      <c r="D339" s="1">
        <v>45857</v>
      </c>
      <c r="E339">
        <v>111100</v>
      </c>
      <c r="F339" t="s">
        <v>323</v>
      </c>
      <c r="G339">
        <v>355</v>
      </c>
    </row>
    <row r="340" spans="1:7" x14ac:dyDescent="0.3">
      <c r="A340" t="s">
        <v>433</v>
      </c>
      <c r="B340" t="s">
        <v>310</v>
      </c>
      <c r="C340">
        <v>23</v>
      </c>
      <c r="D340" s="1">
        <v>45857</v>
      </c>
      <c r="E340">
        <v>95700</v>
      </c>
      <c r="F340" t="s">
        <v>885</v>
      </c>
      <c r="G340">
        <v>343</v>
      </c>
    </row>
    <row r="341" spans="1:7" x14ac:dyDescent="0.3">
      <c r="A341" t="s">
        <v>433</v>
      </c>
      <c r="B341" t="s">
        <v>230</v>
      </c>
      <c r="C341">
        <v>23</v>
      </c>
      <c r="D341" s="1">
        <v>45857</v>
      </c>
      <c r="E341">
        <v>7700</v>
      </c>
      <c r="F341" t="s">
        <v>905</v>
      </c>
      <c r="G341">
        <v>324</v>
      </c>
    </row>
    <row r="342" spans="1:7" x14ac:dyDescent="0.3">
      <c r="A342" t="s">
        <v>433</v>
      </c>
      <c r="B342" t="s">
        <v>309</v>
      </c>
      <c r="C342">
        <v>23</v>
      </c>
      <c r="D342" s="1">
        <v>45857</v>
      </c>
      <c r="E342">
        <v>121000</v>
      </c>
      <c r="F342" t="s">
        <v>910</v>
      </c>
      <c r="G342">
        <v>320</v>
      </c>
    </row>
    <row r="343" spans="1:7" x14ac:dyDescent="0.3">
      <c r="A343" t="s">
        <v>433</v>
      </c>
      <c r="B343" t="s">
        <v>231</v>
      </c>
      <c r="C343">
        <v>23</v>
      </c>
      <c r="D343" s="1">
        <v>45856</v>
      </c>
      <c r="E343">
        <v>0</v>
      </c>
      <c r="F343" t="s">
        <v>922</v>
      </c>
      <c r="G343">
        <v>309</v>
      </c>
    </row>
    <row r="344" spans="1:7" x14ac:dyDescent="0.3">
      <c r="A344" t="s">
        <v>433</v>
      </c>
      <c r="B344" t="s">
        <v>309</v>
      </c>
      <c r="C344">
        <v>23</v>
      </c>
      <c r="D344" s="1">
        <v>45857</v>
      </c>
      <c r="E344">
        <v>7700</v>
      </c>
      <c r="F344" t="s">
        <v>925</v>
      </c>
      <c r="G344">
        <v>303</v>
      </c>
    </row>
    <row r="345" spans="1:7" x14ac:dyDescent="0.3">
      <c r="A345" t="s">
        <v>433</v>
      </c>
      <c r="B345" t="s">
        <v>224</v>
      </c>
      <c r="C345">
        <v>23</v>
      </c>
      <c r="D345" s="1">
        <v>45857</v>
      </c>
      <c r="E345">
        <v>40700</v>
      </c>
      <c r="F345" t="s">
        <v>928</v>
      </c>
      <c r="G345">
        <v>299</v>
      </c>
    </row>
    <row r="346" spans="1:7" x14ac:dyDescent="0.3">
      <c r="A346" t="s">
        <v>433</v>
      </c>
      <c r="B346" t="s">
        <v>226</v>
      </c>
      <c r="C346">
        <v>23</v>
      </c>
      <c r="D346" s="1">
        <v>45857</v>
      </c>
      <c r="E346">
        <v>0</v>
      </c>
      <c r="F346" t="s">
        <v>930</v>
      </c>
      <c r="G346">
        <v>296</v>
      </c>
    </row>
    <row r="347" spans="1:7" x14ac:dyDescent="0.3">
      <c r="A347" t="s">
        <v>433</v>
      </c>
      <c r="B347" t="s">
        <v>309</v>
      </c>
      <c r="C347">
        <v>23</v>
      </c>
      <c r="D347" s="1">
        <v>45857</v>
      </c>
      <c r="E347">
        <v>7700</v>
      </c>
      <c r="F347" t="s">
        <v>934</v>
      </c>
      <c r="G347">
        <v>302</v>
      </c>
    </row>
    <row r="348" spans="1:7" x14ac:dyDescent="0.3">
      <c r="A348" t="s">
        <v>433</v>
      </c>
      <c r="B348" t="s">
        <v>233</v>
      </c>
      <c r="C348">
        <v>23</v>
      </c>
      <c r="D348" s="1">
        <v>45857</v>
      </c>
      <c r="E348">
        <v>68200</v>
      </c>
      <c r="F348" t="s">
        <v>936</v>
      </c>
      <c r="G348">
        <v>291</v>
      </c>
    </row>
    <row r="349" spans="1:7" x14ac:dyDescent="0.3">
      <c r="A349" t="s">
        <v>433</v>
      </c>
      <c r="B349" t="s">
        <v>437</v>
      </c>
      <c r="C349">
        <v>23</v>
      </c>
      <c r="D349" s="1">
        <v>45856</v>
      </c>
      <c r="E349">
        <v>102300</v>
      </c>
      <c r="F349" t="s">
        <v>942</v>
      </c>
      <c r="G349">
        <v>295</v>
      </c>
    </row>
    <row r="350" spans="1:7" x14ac:dyDescent="0.3">
      <c r="A350" t="s">
        <v>433</v>
      </c>
      <c r="B350" t="s">
        <v>236</v>
      </c>
      <c r="C350">
        <v>23</v>
      </c>
      <c r="D350" s="1">
        <v>45856</v>
      </c>
      <c r="E350">
        <v>69300</v>
      </c>
      <c r="F350" t="s">
        <v>947</v>
      </c>
      <c r="G350">
        <v>295</v>
      </c>
    </row>
    <row r="351" spans="1:7" x14ac:dyDescent="0.3">
      <c r="A351" t="s">
        <v>433</v>
      </c>
      <c r="B351" t="s">
        <v>233</v>
      </c>
      <c r="C351">
        <v>23</v>
      </c>
      <c r="D351" s="1">
        <v>45856</v>
      </c>
      <c r="E351">
        <v>39600</v>
      </c>
      <c r="F351" t="s">
        <v>950</v>
      </c>
      <c r="G351">
        <v>288</v>
      </c>
    </row>
    <row r="352" spans="1:7" x14ac:dyDescent="0.3">
      <c r="A352" t="s">
        <v>433</v>
      </c>
      <c r="B352" t="s">
        <v>229</v>
      </c>
      <c r="C352">
        <v>23</v>
      </c>
      <c r="D352" s="1">
        <v>45856</v>
      </c>
      <c r="E352">
        <v>113300</v>
      </c>
      <c r="F352" t="s">
        <v>962</v>
      </c>
      <c r="G352">
        <v>263</v>
      </c>
    </row>
    <row r="353" spans="1:7" x14ac:dyDescent="0.3">
      <c r="A353" t="s">
        <v>433</v>
      </c>
      <c r="B353" t="s">
        <v>310</v>
      </c>
      <c r="C353">
        <v>23</v>
      </c>
      <c r="D353" s="1">
        <v>45855</v>
      </c>
      <c r="E353">
        <v>57200</v>
      </c>
      <c r="F353" t="s">
        <v>967</v>
      </c>
      <c r="G353">
        <v>259</v>
      </c>
    </row>
    <row r="354" spans="1:7" x14ac:dyDescent="0.3">
      <c r="A354" t="s">
        <v>433</v>
      </c>
      <c r="B354" t="s">
        <v>309</v>
      </c>
      <c r="C354">
        <v>23</v>
      </c>
      <c r="D354" s="1">
        <v>45854</v>
      </c>
      <c r="E354">
        <v>7700</v>
      </c>
      <c r="F354" t="s">
        <v>978</v>
      </c>
      <c r="G354">
        <v>237</v>
      </c>
    </row>
    <row r="355" spans="1:7" x14ac:dyDescent="0.3">
      <c r="A355" t="s">
        <v>433</v>
      </c>
      <c r="B355" t="s">
        <v>224</v>
      </c>
      <c r="C355">
        <v>23</v>
      </c>
      <c r="D355" s="1">
        <v>45854</v>
      </c>
      <c r="E355">
        <v>7700</v>
      </c>
      <c r="F355" t="s">
        <v>980</v>
      </c>
      <c r="G355">
        <v>227</v>
      </c>
    </row>
    <row r="356" spans="1:7" x14ac:dyDescent="0.3">
      <c r="A356" t="s">
        <v>433</v>
      </c>
      <c r="B356" t="s">
        <v>310</v>
      </c>
      <c r="C356">
        <v>23</v>
      </c>
      <c r="D356" s="1">
        <v>45853</v>
      </c>
      <c r="E356">
        <v>11000</v>
      </c>
      <c r="F356" t="s">
        <v>989</v>
      </c>
      <c r="G356">
        <v>222</v>
      </c>
    </row>
    <row r="357" spans="1:7" x14ac:dyDescent="0.3">
      <c r="A357" t="s">
        <v>433</v>
      </c>
      <c r="B357" t="s">
        <v>309</v>
      </c>
      <c r="C357">
        <v>24</v>
      </c>
      <c r="D357" s="1">
        <v>45863</v>
      </c>
      <c r="E357">
        <v>7700</v>
      </c>
      <c r="F357" t="s">
        <v>456</v>
      </c>
      <c r="G357">
        <v>789</v>
      </c>
    </row>
    <row r="358" spans="1:7" x14ac:dyDescent="0.3">
      <c r="A358" t="s">
        <v>433</v>
      </c>
      <c r="B358" t="s">
        <v>309</v>
      </c>
      <c r="C358">
        <v>24</v>
      </c>
      <c r="D358" s="1">
        <v>45864</v>
      </c>
      <c r="E358">
        <v>35200</v>
      </c>
      <c r="F358" t="s">
        <v>462</v>
      </c>
      <c r="G358">
        <v>838</v>
      </c>
    </row>
    <row r="359" spans="1:7" x14ac:dyDescent="0.3">
      <c r="A359" t="s">
        <v>433</v>
      </c>
      <c r="B359" t="s">
        <v>309</v>
      </c>
      <c r="C359">
        <v>24</v>
      </c>
      <c r="D359" s="1">
        <v>45864</v>
      </c>
      <c r="E359">
        <v>7700</v>
      </c>
      <c r="F359" t="s">
        <v>473</v>
      </c>
      <c r="G359">
        <v>833</v>
      </c>
    </row>
    <row r="360" spans="1:7" x14ac:dyDescent="0.3">
      <c r="A360" t="s">
        <v>433</v>
      </c>
      <c r="B360" t="s">
        <v>230</v>
      </c>
      <c r="C360">
        <v>24</v>
      </c>
      <c r="D360" s="1">
        <v>45864</v>
      </c>
      <c r="E360">
        <v>202400</v>
      </c>
      <c r="F360" t="s">
        <v>486</v>
      </c>
      <c r="G360">
        <v>766</v>
      </c>
    </row>
    <row r="361" spans="1:7" x14ac:dyDescent="0.3">
      <c r="A361" t="s">
        <v>433</v>
      </c>
      <c r="B361" t="s">
        <v>231</v>
      </c>
      <c r="C361">
        <v>24</v>
      </c>
      <c r="D361" s="1">
        <v>45863</v>
      </c>
      <c r="E361">
        <v>7700</v>
      </c>
      <c r="F361" t="s">
        <v>527</v>
      </c>
      <c r="G361">
        <v>725</v>
      </c>
    </row>
    <row r="362" spans="1:7" x14ac:dyDescent="0.3">
      <c r="A362" t="s">
        <v>433</v>
      </c>
      <c r="B362" t="s">
        <v>230</v>
      </c>
      <c r="C362">
        <v>24</v>
      </c>
      <c r="D362" s="1">
        <v>45863</v>
      </c>
      <c r="E362">
        <v>51700</v>
      </c>
      <c r="F362" t="s">
        <v>556</v>
      </c>
      <c r="G362">
        <v>682</v>
      </c>
    </row>
    <row r="363" spans="1:7" x14ac:dyDescent="0.3">
      <c r="A363" t="s">
        <v>433</v>
      </c>
      <c r="B363" t="s">
        <v>233</v>
      </c>
      <c r="C363">
        <v>24</v>
      </c>
      <c r="D363" s="1">
        <v>45862</v>
      </c>
      <c r="E363">
        <v>7700</v>
      </c>
      <c r="F363" t="s">
        <v>559</v>
      </c>
      <c r="G363">
        <v>679</v>
      </c>
    </row>
    <row r="364" spans="1:7" x14ac:dyDescent="0.3">
      <c r="A364" t="s">
        <v>433</v>
      </c>
      <c r="B364" t="s">
        <v>231</v>
      </c>
      <c r="C364">
        <v>24</v>
      </c>
      <c r="D364" s="1">
        <v>45862</v>
      </c>
      <c r="E364">
        <v>161700</v>
      </c>
      <c r="F364" t="s">
        <v>577</v>
      </c>
      <c r="G364">
        <v>653</v>
      </c>
    </row>
    <row r="365" spans="1:7" x14ac:dyDescent="0.3">
      <c r="A365" t="s">
        <v>433</v>
      </c>
      <c r="B365" t="s">
        <v>310</v>
      </c>
      <c r="C365">
        <v>24</v>
      </c>
      <c r="D365" s="1">
        <v>45862</v>
      </c>
      <c r="E365">
        <v>7700</v>
      </c>
      <c r="F365" t="s">
        <v>586</v>
      </c>
      <c r="G365">
        <v>630</v>
      </c>
    </row>
    <row r="366" spans="1:7" x14ac:dyDescent="0.3">
      <c r="A366" t="s">
        <v>433</v>
      </c>
      <c r="B366" t="s">
        <v>309</v>
      </c>
      <c r="C366">
        <v>24</v>
      </c>
      <c r="D366" s="1">
        <v>45862</v>
      </c>
      <c r="E366">
        <v>7700</v>
      </c>
      <c r="F366" t="s">
        <v>607</v>
      </c>
      <c r="G366">
        <v>651</v>
      </c>
    </row>
    <row r="367" spans="1:7" x14ac:dyDescent="0.3">
      <c r="A367" t="s">
        <v>433</v>
      </c>
      <c r="B367" t="s">
        <v>310</v>
      </c>
      <c r="C367">
        <v>24</v>
      </c>
      <c r="D367" s="1">
        <v>45861</v>
      </c>
      <c r="E367">
        <v>34100</v>
      </c>
      <c r="F367" t="s">
        <v>626</v>
      </c>
      <c r="G367">
        <v>680</v>
      </c>
    </row>
    <row r="368" spans="1:7" x14ac:dyDescent="0.3">
      <c r="A368" t="s">
        <v>433</v>
      </c>
      <c r="B368" t="s">
        <v>231</v>
      </c>
      <c r="C368">
        <v>24</v>
      </c>
      <c r="D368" s="1">
        <v>45861</v>
      </c>
      <c r="E368">
        <v>51700</v>
      </c>
      <c r="F368" t="s">
        <v>632</v>
      </c>
      <c r="G368">
        <v>619</v>
      </c>
    </row>
    <row r="369" spans="1:7" x14ac:dyDescent="0.3">
      <c r="A369" t="s">
        <v>433</v>
      </c>
      <c r="B369" t="s">
        <v>309</v>
      </c>
      <c r="C369">
        <v>24</v>
      </c>
      <c r="D369" s="1">
        <v>45861</v>
      </c>
      <c r="E369">
        <v>97900</v>
      </c>
      <c r="F369" t="s">
        <v>636</v>
      </c>
      <c r="G369">
        <v>605</v>
      </c>
    </row>
    <row r="370" spans="1:7" x14ac:dyDescent="0.3">
      <c r="A370" t="s">
        <v>433</v>
      </c>
      <c r="B370" t="s">
        <v>314</v>
      </c>
      <c r="C370">
        <v>24</v>
      </c>
      <c r="D370" s="1">
        <v>45861</v>
      </c>
      <c r="E370">
        <v>7700</v>
      </c>
      <c r="F370" t="s">
        <v>648</v>
      </c>
      <c r="G370">
        <v>583</v>
      </c>
    </row>
    <row r="371" spans="1:7" x14ac:dyDescent="0.3">
      <c r="A371" t="s">
        <v>433</v>
      </c>
      <c r="B371" t="s">
        <v>231</v>
      </c>
      <c r="C371">
        <v>24</v>
      </c>
      <c r="D371" s="1">
        <v>45861</v>
      </c>
      <c r="E371">
        <v>36300</v>
      </c>
      <c r="F371" t="s">
        <v>662</v>
      </c>
      <c r="G371">
        <v>585</v>
      </c>
    </row>
    <row r="372" spans="1:7" x14ac:dyDescent="0.3">
      <c r="A372" t="s">
        <v>433</v>
      </c>
      <c r="B372" t="s">
        <v>224</v>
      </c>
      <c r="C372">
        <v>24</v>
      </c>
      <c r="D372" s="1">
        <v>45861</v>
      </c>
      <c r="E372">
        <v>7700</v>
      </c>
      <c r="F372" t="s">
        <v>668</v>
      </c>
      <c r="G372">
        <v>580</v>
      </c>
    </row>
    <row r="373" spans="1:7" x14ac:dyDescent="0.3">
      <c r="A373" t="s">
        <v>433</v>
      </c>
      <c r="B373" t="s">
        <v>309</v>
      </c>
      <c r="C373">
        <v>24</v>
      </c>
      <c r="D373" s="1">
        <v>45861</v>
      </c>
      <c r="E373">
        <v>7700</v>
      </c>
      <c r="F373" t="s">
        <v>671</v>
      </c>
      <c r="G373">
        <v>569</v>
      </c>
    </row>
    <row r="374" spans="1:7" x14ac:dyDescent="0.3">
      <c r="A374" t="s">
        <v>433</v>
      </c>
      <c r="B374" t="s">
        <v>224</v>
      </c>
      <c r="C374">
        <v>24</v>
      </c>
      <c r="D374" s="1">
        <v>45860</v>
      </c>
      <c r="E374">
        <v>110000</v>
      </c>
      <c r="F374" t="s">
        <v>679</v>
      </c>
      <c r="G374">
        <v>572</v>
      </c>
    </row>
    <row r="375" spans="1:7" x14ac:dyDescent="0.3">
      <c r="A375" t="s">
        <v>433</v>
      </c>
      <c r="B375" t="s">
        <v>309</v>
      </c>
      <c r="C375">
        <v>24</v>
      </c>
      <c r="D375" s="1">
        <v>45859</v>
      </c>
      <c r="E375">
        <v>61600</v>
      </c>
      <c r="F375" t="s">
        <v>699</v>
      </c>
      <c r="G375">
        <v>553</v>
      </c>
    </row>
    <row r="376" spans="1:7" x14ac:dyDescent="0.3">
      <c r="A376" t="s">
        <v>433</v>
      </c>
      <c r="B376" t="s">
        <v>309</v>
      </c>
      <c r="C376">
        <v>24</v>
      </c>
      <c r="D376" s="1">
        <v>45859</v>
      </c>
      <c r="E376">
        <v>29700</v>
      </c>
      <c r="F376" t="s">
        <v>714</v>
      </c>
      <c r="G376">
        <v>515</v>
      </c>
    </row>
    <row r="377" spans="1:7" x14ac:dyDescent="0.3">
      <c r="A377" t="s">
        <v>433</v>
      </c>
      <c r="B377" t="s">
        <v>310</v>
      </c>
      <c r="C377">
        <v>24</v>
      </c>
      <c r="D377" s="1">
        <v>45859</v>
      </c>
      <c r="E377">
        <v>36300</v>
      </c>
      <c r="F377" t="s">
        <v>759</v>
      </c>
      <c r="G377">
        <v>499</v>
      </c>
    </row>
    <row r="378" spans="1:7" x14ac:dyDescent="0.3">
      <c r="A378" t="s">
        <v>433</v>
      </c>
      <c r="B378" t="s">
        <v>229</v>
      </c>
      <c r="C378">
        <v>24</v>
      </c>
      <c r="D378" s="1">
        <v>45858</v>
      </c>
      <c r="E378">
        <v>14300</v>
      </c>
      <c r="F378" t="s">
        <v>779</v>
      </c>
      <c r="G378">
        <v>510</v>
      </c>
    </row>
    <row r="379" spans="1:7" x14ac:dyDescent="0.3">
      <c r="A379" t="s">
        <v>433</v>
      </c>
      <c r="B379" t="s">
        <v>233</v>
      </c>
      <c r="C379">
        <v>24</v>
      </c>
      <c r="D379" s="1">
        <v>45858</v>
      </c>
      <c r="E379">
        <v>7700</v>
      </c>
      <c r="F379" t="s">
        <v>782</v>
      </c>
      <c r="G379">
        <v>445</v>
      </c>
    </row>
    <row r="380" spans="1:7" x14ac:dyDescent="0.3">
      <c r="A380" t="s">
        <v>433</v>
      </c>
      <c r="B380" t="s">
        <v>309</v>
      </c>
      <c r="C380">
        <v>24</v>
      </c>
      <c r="D380" s="1">
        <v>45859</v>
      </c>
      <c r="E380">
        <v>144100</v>
      </c>
      <c r="F380" t="s">
        <v>788</v>
      </c>
      <c r="G380">
        <v>452</v>
      </c>
    </row>
    <row r="381" spans="1:7" x14ac:dyDescent="0.3">
      <c r="A381" t="s">
        <v>433</v>
      </c>
      <c r="B381" t="s">
        <v>233</v>
      </c>
      <c r="C381">
        <v>24</v>
      </c>
      <c r="D381" s="1">
        <v>45858</v>
      </c>
      <c r="E381">
        <v>66000</v>
      </c>
      <c r="F381" t="s">
        <v>794</v>
      </c>
      <c r="G381">
        <v>453</v>
      </c>
    </row>
    <row r="382" spans="1:7" x14ac:dyDescent="0.3">
      <c r="A382" t="s">
        <v>433</v>
      </c>
      <c r="B382" t="s">
        <v>224</v>
      </c>
      <c r="C382">
        <v>24</v>
      </c>
      <c r="D382" s="1">
        <v>45857</v>
      </c>
      <c r="E382">
        <v>22000</v>
      </c>
      <c r="F382" t="s">
        <v>810</v>
      </c>
      <c r="G382">
        <v>428</v>
      </c>
    </row>
    <row r="383" spans="1:7" x14ac:dyDescent="0.3">
      <c r="A383" t="s">
        <v>433</v>
      </c>
      <c r="B383" t="s">
        <v>309</v>
      </c>
      <c r="C383">
        <v>24</v>
      </c>
      <c r="D383" s="1">
        <v>45857</v>
      </c>
      <c r="E383">
        <v>7700</v>
      </c>
      <c r="F383" t="s">
        <v>812</v>
      </c>
      <c r="G383">
        <v>424</v>
      </c>
    </row>
    <row r="384" spans="1:7" x14ac:dyDescent="0.3">
      <c r="A384" t="s">
        <v>433</v>
      </c>
      <c r="B384" t="s">
        <v>233</v>
      </c>
      <c r="C384">
        <v>24</v>
      </c>
      <c r="D384" s="1">
        <v>45857</v>
      </c>
      <c r="E384">
        <v>25300</v>
      </c>
      <c r="F384" t="s">
        <v>821</v>
      </c>
      <c r="G384">
        <v>431</v>
      </c>
    </row>
    <row r="385" spans="1:7" x14ac:dyDescent="0.3">
      <c r="A385" t="s">
        <v>433</v>
      </c>
      <c r="B385" t="s">
        <v>312</v>
      </c>
      <c r="C385">
        <v>24</v>
      </c>
      <c r="D385" s="1">
        <v>45858</v>
      </c>
      <c r="E385">
        <v>111100</v>
      </c>
      <c r="F385" t="s">
        <v>823</v>
      </c>
      <c r="G385">
        <v>431</v>
      </c>
    </row>
    <row r="386" spans="1:7" x14ac:dyDescent="0.3">
      <c r="A386" t="s">
        <v>433</v>
      </c>
      <c r="B386" t="s">
        <v>311</v>
      </c>
      <c r="C386">
        <v>24</v>
      </c>
      <c r="D386" s="1">
        <v>45857</v>
      </c>
      <c r="E386">
        <v>157300</v>
      </c>
      <c r="F386" t="s">
        <v>826</v>
      </c>
      <c r="G386">
        <v>411</v>
      </c>
    </row>
    <row r="387" spans="1:7" x14ac:dyDescent="0.3">
      <c r="A387" t="s">
        <v>433</v>
      </c>
      <c r="B387" t="s">
        <v>309</v>
      </c>
      <c r="C387">
        <v>24</v>
      </c>
      <c r="D387" s="1">
        <v>45858</v>
      </c>
      <c r="E387">
        <v>58300</v>
      </c>
      <c r="F387" t="s">
        <v>828</v>
      </c>
      <c r="G387">
        <v>410</v>
      </c>
    </row>
    <row r="388" spans="1:7" x14ac:dyDescent="0.3">
      <c r="A388" t="s">
        <v>433</v>
      </c>
      <c r="B388" t="s">
        <v>226</v>
      </c>
      <c r="C388">
        <v>24</v>
      </c>
      <c r="D388" s="1">
        <v>45857</v>
      </c>
      <c r="E388">
        <v>119900</v>
      </c>
      <c r="F388" t="s">
        <v>831</v>
      </c>
      <c r="G388">
        <v>390</v>
      </c>
    </row>
    <row r="389" spans="1:7" x14ac:dyDescent="0.3">
      <c r="A389" t="s">
        <v>433</v>
      </c>
      <c r="B389" t="s">
        <v>236</v>
      </c>
      <c r="C389">
        <v>24</v>
      </c>
      <c r="D389" s="1">
        <v>45857</v>
      </c>
      <c r="E389">
        <v>91300</v>
      </c>
      <c r="F389" t="s">
        <v>834</v>
      </c>
      <c r="G389">
        <v>411</v>
      </c>
    </row>
    <row r="390" spans="1:7" x14ac:dyDescent="0.3">
      <c r="A390" t="s">
        <v>433</v>
      </c>
      <c r="B390" t="s">
        <v>231</v>
      </c>
      <c r="C390">
        <v>24</v>
      </c>
      <c r="D390" s="1">
        <v>45857</v>
      </c>
      <c r="E390">
        <v>7700</v>
      </c>
      <c r="F390" t="s">
        <v>838</v>
      </c>
      <c r="G390">
        <v>408</v>
      </c>
    </row>
    <row r="391" spans="1:7" x14ac:dyDescent="0.3">
      <c r="A391" t="s">
        <v>433</v>
      </c>
      <c r="B391" t="s">
        <v>310</v>
      </c>
      <c r="C391">
        <v>24</v>
      </c>
      <c r="D391" s="1">
        <v>45858</v>
      </c>
      <c r="E391">
        <v>34100</v>
      </c>
      <c r="F391" t="s">
        <v>841</v>
      </c>
      <c r="G391">
        <v>402</v>
      </c>
    </row>
    <row r="392" spans="1:7" x14ac:dyDescent="0.3">
      <c r="A392" t="s">
        <v>433</v>
      </c>
      <c r="B392" t="s">
        <v>231</v>
      </c>
      <c r="C392">
        <v>24</v>
      </c>
      <c r="D392" s="1">
        <v>45857</v>
      </c>
      <c r="E392">
        <v>15400</v>
      </c>
      <c r="F392" t="s">
        <v>850</v>
      </c>
      <c r="G392">
        <v>367</v>
      </c>
    </row>
    <row r="393" spans="1:7" x14ac:dyDescent="0.3">
      <c r="A393" t="s">
        <v>433</v>
      </c>
      <c r="B393" t="s">
        <v>235</v>
      </c>
      <c r="C393">
        <v>24</v>
      </c>
      <c r="D393" s="1">
        <v>45857</v>
      </c>
      <c r="E393">
        <v>7700</v>
      </c>
      <c r="F393" t="s">
        <v>853</v>
      </c>
      <c r="G393">
        <v>379</v>
      </c>
    </row>
    <row r="394" spans="1:7" x14ac:dyDescent="0.3">
      <c r="A394" t="s">
        <v>433</v>
      </c>
      <c r="B394" t="s">
        <v>309</v>
      </c>
      <c r="C394">
        <v>24</v>
      </c>
      <c r="D394" s="1">
        <v>45857</v>
      </c>
      <c r="E394">
        <v>0</v>
      </c>
      <c r="F394" t="s">
        <v>855</v>
      </c>
      <c r="G394">
        <v>390</v>
      </c>
    </row>
    <row r="395" spans="1:7" x14ac:dyDescent="0.3">
      <c r="A395" t="s">
        <v>433</v>
      </c>
      <c r="B395" t="s">
        <v>228</v>
      </c>
      <c r="C395">
        <v>24</v>
      </c>
      <c r="D395" s="1">
        <v>45856</v>
      </c>
      <c r="E395">
        <v>7700</v>
      </c>
      <c r="F395" t="s">
        <v>858</v>
      </c>
      <c r="G395">
        <v>378</v>
      </c>
    </row>
    <row r="396" spans="1:7" x14ac:dyDescent="0.3">
      <c r="A396" t="s">
        <v>433</v>
      </c>
      <c r="B396" t="s">
        <v>231</v>
      </c>
      <c r="C396">
        <v>24</v>
      </c>
      <c r="D396" s="1">
        <v>45856</v>
      </c>
      <c r="E396">
        <v>216700</v>
      </c>
      <c r="F396" t="s">
        <v>861</v>
      </c>
      <c r="G396">
        <v>412</v>
      </c>
    </row>
    <row r="397" spans="1:7" x14ac:dyDescent="0.3">
      <c r="A397" t="s">
        <v>433</v>
      </c>
      <c r="B397" t="s">
        <v>309</v>
      </c>
      <c r="C397">
        <v>24</v>
      </c>
      <c r="D397" s="1">
        <v>45857</v>
      </c>
      <c r="E397">
        <v>7700</v>
      </c>
      <c r="F397" t="s">
        <v>862</v>
      </c>
      <c r="G397">
        <v>374</v>
      </c>
    </row>
    <row r="398" spans="1:7" x14ac:dyDescent="0.3">
      <c r="A398" t="s">
        <v>433</v>
      </c>
      <c r="B398" t="s">
        <v>309</v>
      </c>
      <c r="C398">
        <v>24</v>
      </c>
      <c r="D398" s="1">
        <v>45857</v>
      </c>
      <c r="E398">
        <v>29700</v>
      </c>
      <c r="F398" t="s">
        <v>876</v>
      </c>
      <c r="G398">
        <v>367</v>
      </c>
    </row>
    <row r="399" spans="1:7" x14ac:dyDescent="0.3">
      <c r="A399" t="s">
        <v>433</v>
      </c>
      <c r="B399" t="s">
        <v>231</v>
      </c>
      <c r="C399">
        <v>24</v>
      </c>
      <c r="D399" s="1">
        <v>45857</v>
      </c>
      <c r="E399">
        <v>62700</v>
      </c>
      <c r="F399" t="s">
        <v>878</v>
      </c>
      <c r="G399">
        <v>355</v>
      </c>
    </row>
    <row r="400" spans="1:7" x14ac:dyDescent="0.3">
      <c r="A400" t="s">
        <v>433</v>
      </c>
      <c r="B400" t="s">
        <v>224</v>
      </c>
      <c r="C400">
        <v>24</v>
      </c>
      <c r="D400" s="1">
        <v>45857</v>
      </c>
      <c r="E400">
        <v>84700</v>
      </c>
      <c r="F400" t="s">
        <v>886</v>
      </c>
      <c r="G400">
        <v>389</v>
      </c>
    </row>
    <row r="401" spans="1:7" x14ac:dyDescent="0.3">
      <c r="A401" t="s">
        <v>433</v>
      </c>
      <c r="B401" t="s">
        <v>310</v>
      </c>
      <c r="C401">
        <v>24</v>
      </c>
      <c r="D401" s="1">
        <v>45856</v>
      </c>
      <c r="E401">
        <v>11000</v>
      </c>
      <c r="F401" t="s">
        <v>888</v>
      </c>
      <c r="G401">
        <v>374</v>
      </c>
    </row>
    <row r="402" spans="1:7" x14ac:dyDescent="0.3">
      <c r="A402" t="s">
        <v>433</v>
      </c>
      <c r="B402" t="s">
        <v>310</v>
      </c>
      <c r="C402">
        <v>24</v>
      </c>
      <c r="D402" s="1">
        <v>45854</v>
      </c>
      <c r="E402">
        <v>40700</v>
      </c>
      <c r="F402" t="s">
        <v>894</v>
      </c>
      <c r="G402">
        <v>330</v>
      </c>
    </row>
    <row r="403" spans="1:7" x14ac:dyDescent="0.3">
      <c r="A403" t="s">
        <v>433</v>
      </c>
      <c r="B403" t="s">
        <v>229</v>
      </c>
      <c r="C403">
        <v>24</v>
      </c>
      <c r="D403" s="1">
        <v>45857</v>
      </c>
      <c r="E403">
        <v>47300</v>
      </c>
      <c r="F403" t="s">
        <v>896</v>
      </c>
      <c r="G403">
        <v>326</v>
      </c>
    </row>
    <row r="404" spans="1:7" x14ac:dyDescent="0.3">
      <c r="A404" t="s">
        <v>433</v>
      </c>
      <c r="B404" t="s">
        <v>233</v>
      </c>
      <c r="C404">
        <v>24</v>
      </c>
      <c r="D404" s="1">
        <v>45856</v>
      </c>
      <c r="E404">
        <v>7700</v>
      </c>
      <c r="F404" t="s">
        <v>904</v>
      </c>
      <c r="G404">
        <v>338</v>
      </c>
    </row>
    <row r="405" spans="1:7" x14ac:dyDescent="0.3">
      <c r="A405" t="s">
        <v>433</v>
      </c>
      <c r="B405" t="s">
        <v>309</v>
      </c>
      <c r="C405">
        <v>24</v>
      </c>
      <c r="D405" s="1">
        <v>45856</v>
      </c>
      <c r="E405">
        <v>124300</v>
      </c>
      <c r="F405" t="s">
        <v>906</v>
      </c>
      <c r="G405">
        <v>323</v>
      </c>
    </row>
    <row r="406" spans="1:7" x14ac:dyDescent="0.3">
      <c r="A406" t="s">
        <v>433</v>
      </c>
      <c r="B406" t="s">
        <v>310</v>
      </c>
      <c r="C406">
        <v>24</v>
      </c>
      <c r="D406" s="1">
        <v>45856</v>
      </c>
      <c r="E406">
        <v>7700</v>
      </c>
      <c r="F406" t="s">
        <v>909</v>
      </c>
      <c r="G406">
        <v>321</v>
      </c>
    </row>
    <row r="407" spans="1:7" x14ac:dyDescent="0.3">
      <c r="A407" t="s">
        <v>433</v>
      </c>
      <c r="B407" t="s">
        <v>226</v>
      </c>
      <c r="C407">
        <v>24</v>
      </c>
      <c r="D407" s="1">
        <v>45855</v>
      </c>
      <c r="E407">
        <v>69300</v>
      </c>
      <c r="F407" t="s">
        <v>919</v>
      </c>
      <c r="G407">
        <v>324</v>
      </c>
    </row>
    <row r="408" spans="1:7" x14ac:dyDescent="0.3">
      <c r="A408" t="s">
        <v>433</v>
      </c>
      <c r="B408" t="s">
        <v>228</v>
      </c>
      <c r="C408">
        <v>24</v>
      </c>
      <c r="D408" s="1">
        <v>45856</v>
      </c>
      <c r="E408">
        <v>7700</v>
      </c>
      <c r="F408" t="s">
        <v>938</v>
      </c>
      <c r="G408">
        <v>286</v>
      </c>
    </row>
    <row r="409" spans="1:7" x14ac:dyDescent="0.3">
      <c r="A409" t="s">
        <v>433</v>
      </c>
      <c r="B409" t="s">
        <v>229</v>
      </c>
      <c r="C409">
        <v>24</v>
      </c>
      <c r="D409" s="1">
        <v>45856</v>
      </c>
      <c r="E409">
        <v>7700</v>
      </c>
      <c r="F409" t="s">
        <v>939</v>
      </c>
      <c r="G409">
        <v>388</v>
      </c>
    </row>
    <row r="410" spans="1:7" x14ac:dyDescent="0.3">
      <c r="A410" t="s">
        <v>433</v>
      </c>
      <c r="B410" t="s">
        <v>235</v>
      </c>
      <c r="C410">
        <v>24</v>
      </c>
      <c r="D410" s="1">
        <v>45855</v>
      </c>
      <c r="E410">
        <v>7700</v>
      </c>
      <c r="F410" t="s">
        <v>943</v>
      </c>
      <c r="G410">
        <v>286</v>
      </c>
    </row>
    <row r="411" spans="1:7" x14ac:dyDescent="0.3">
      <c r="A411" t="s">
        <v>433</v>
      </c>
      <c r="B411" t="s">
        <v>310</v>
      </c>
      <c r="C411">
        <v>24</v>
      </c>
      <c r="D411" s="1">
        <v>45854</v>
      </c>
      <c r="E411">
        <v>7700</v>
      </c>
      <c r="F411" t="s">
        <v>944</v>
      </c>
      <c r="G411">
        <v>292</v>
      </c>
    </row>
    <row r="412" spans="1:7" x14ac:dyDescent="0.3">
      <c r="A412" t="s">
        <v>433</v>
      </c>
      <c r="B412" t="s">
        <v>231</v>
      </c>
      <c r="C412">
        <v>24</v>
      </c>
      <c r="D412" s="1">
        <v>45855</v>
      </c>
      <c r="E412">
        <v>14300</v>
      </c>
      <c r="F412" t="s">
        <v>953</v>
      </c>
      <c r="G412">
        <v>273</v>
      </c>
    </row>
    <row r="413" spans="1:7" x14ac:dyDescent="0.3">
      <c r="A413" t="s">
        <v>433</v>
      </c>
      <c r="B413" t="s">
        <v>231</v>
      </c>
      <c r="C413">
        <v>24</v>
      </c>
      <c r="D413" s="1">
        <v>45855</v>
      </c>
      <c r="E413">
        <v>7700</v>
      </c>
      <c r="F413" t="s">
        <v>957</v>
      </c>
      <c r="G413">
        <v>269</v>
      </c>
    </row>
    <row r="414" spans="1:7" x14ac:dyDescent="0.3">
      <c r="A414" t="s">
        <v>433</v>
      </c>
      <c r="B414" t="s">
        <v>309</v>
      </c>
      <c r="C414">
        <v>24</v>
      </c>
      <c r="D414" s="1">
        <v>45854</v>
      </c>
      <c r="E414">
        <v>7700</v>
      </c>
      <c r="F414" t="s">
        <v>969</v>
      </c>
      <c r="G414">
        <v>317</v>
      </c>
    </row>
    <row r="415" spans="1:7" x14ac:dyDescent="0.3">
      <c r="A415" t="s">
        <v>433</v>
      </c>
      <c r="B415" t="s">
        <v>309</v>
      </c>
      <c r="C415">
        <v>24</v>
      </c>
      <c r="D415" s="1">
        <v>45854</v>
      </c>
      <c r="E415">
        <v>29700</v>
      </c>
      <c r="F415" t="s">
        <v>318</v>
      </c>
      <c r="G415">
        <v>250</v>
      </c>
    </row>
    <row r="416" spans="1:7" x14ac:dyDescent="0.3">
      <c r="A416" t="s">
        <v>433</v>
      </c>
      <c r="B416" t="s">
        <v>310</v>
      </c>
      <c r="C416">
        <v>24</v>
      </c>
      <c r="D416" s="1">
        <v>45854</v>
      </c>
      <c r="E416">
        <v>7700</v>
      </c>
      <c r="F416" t="s">
        <v>974</v>
      </c>
      <c r="G416">
        <v>246</v>
      </c>
    </row>
    <row r="417" spans="1:7" x14ac:dyDescent="0.3">
      <c r="A417" t="s">
        <v>433</v>
      </c>
      <c r="B417" t="s">
        <v>229</v>
      </c>
      <c r="C417">
        <v>25</v>
      </c>
      <c r="D417" s="1">
        <v>45861</v>
      </c>
      <c r="E417">
        <v>7700</v>
      </c>
      <c r="F417" t="s">
        <v>440</v>
      </c>
      <c r="G417">
        <v>818</v>
      </c>
    </row>
    <row r="418" spans="1:7" x14ac:dyDescent="0.3">
      <c r="A418" t="s">
        <v>433</v>
      </c>
      <c r="B418" t="s">
        <v>309</v>
      </c>
      <c r="C418">
        <v>25</v>
      </c>
      <c r="D418" s="1">
        <v>45863</v>
      </c>
      <c r="E418">
        <v>7700</v>
      </c>
      <c r="F418" t="s">
        <v>458</v>
      </c>
      <c r="G418">
        <v>810</v>
      </c>
    </row>
    <row r="419" spans="1:7" x14ac:dyDescent="0.3">
      <c r="A419" t="s">
        <v>433</v>
      </c>
      <c r="B419" t="s">
        <v>309</v>
      </c>
      <c r="C419">
        <v>25</v>
      </c>
      <c r="D419" s="1">
        <v>45863</v>
      </c>
      <c r="E419">
        <v>20900</v>
      </c>
      <c r="F419" t="s">
        <v>482</v>
      </c>
      <c r="G419">
        <v>770</v>
      </c>
    </row>
    <row r="420" spans="1:7" x14ac:dyDescent="0.3">
      <c r="A420" t="s">
        <v>433</v>
      </c>
      <c r="B420" t="s">
        <v>311</v>
      </c>
      <c r="C420">
        <v>25</v>
      </c>
      <c r="D420" s="1">
        <v>45862</v>
      </c>
      <c r="E420">
        <v>19800</v>
      </c>
      <c r="F420" t="s">
        <v>533</v>
      </c>
      <c r="G420">
        <v>776</v>
      </c>
    </row>
    <row r="421" spans="1:7" x14ac:dyDescent="0.3">
      <c r="A421" t="s">
        <v>433</v>
      </c>
      <c r="B421" t="s">
        <v>311</v>
      </c>
      <c r="C421">
        <v>25</v>
      </c>
      <c r="D421" s="1">
        <v>45862</v>
      </c>
      <c r="E421">
        <v>31900</v>
      </c>
      <c r="F421" t="s">
        <v>538</v>
      </c>
      <c r="G421">
        <v>697</v>
      </c>
    </row>
    <row r="422" spans="1:7" x14ac:dyDescent="0.3">
      <c r="A422" t="s">
        <v>433</v>
      </c>
      <c r="B422" t="s">
        <v>234</v>
      </c>
      <c r="C422">
        <v>25</v>
      </c>
      <c r="D422" s="1">
        <v>45861</v>
      </c>
      <c r="E422">
        <v>7700</v>
      </c>
      <c r="F422" t="s">
        <v>594</v>
      </c>
      <c r="G422">
        <v>661</v>
      </c>
    </row>
    <row r="423" spans="1:7" x14ac:dyDescent="0.3">
      <c r="A423" t="s">
        <v>433</v>
      </c>
      <c r="B423" t="s">
        <v>309</v>
      </c>
      <c r="C423">
        <v>25</v>
      </c>
      <c r="D423" s="1">
        <v>45861</v>
      </c>
      <c r="E423">
        <v>27500</v>
      </c>
      <c r="F423" t="s">
        <v>597</v>
      </c>
      <c r="G423">
        <v>633</v>
      </c>
    </row>
    <row r="424" spans="1:7" x14ac:dyDescent="0.3">
      <c r="A424" t="s">
        <v>433</v>
      </c>
      <c r="B424" t="s">
        <v>230</v>
      </c>
      <c r="C424">
        <v>25</v>
      </c>
      <c r="D424" s="1">
        <v>45861</v>
      </c>
      <c r="E424">
        <v>51700</v>
      </c>
      <c r="F424" t="s">
        <v>611</v>
      </c>
      <c r="G424">
        <v>665</v>
      </c>
    </row>
    <row r="425" spans="1:7" x14ac:dyDescent="0.3">
      <c r="A425" t="s">
        <v>433</v>
      </c>
      <c r="B425" t="s">
        <v>310</v>
      </c>
      <c r="C425">
        <v>25</v>
      </c>
      <c r="D425" s="1">
        <v>45860</v>
      </c>
      <c r="E425">
        <v>140800</v>
      </c>
      <c r="F425" t="s">
        <v>630</v>
      </c>
      <c r="G425">
        <v>609</v>
      </c>
    </row>
    <row r="426" spans="1:7" x14ac:dyDescent="0.3">
      <c r="A426" t="s">
        <v>433</v>
      </c>
      <c r="B426" t="s">
        <v>231</v>
      </c>
      <c r="C426">
        <v>25</v>
      </c>
      <c r="D426" s="1">
        <v>45859</v>
      </c>
      <c r="E426">
        <v>7700</v>
      </c>
      <c r="F426" t="s">
        <v>635</v>
      </c>
      <c r="G426">
        <v>605</v>
      </c>
    </row>
    <row r="427" spans="1:7" x14ac:dyDescent="0.3">
      <c r="A427" t="s">
        <v>433</v>
      </c>
      <c r="B427" t="s">
        <v>236</v>
      </c>
      <c r="C427">
        <v>25</v>
      </c>
      <c r="D427" s="1">
        <v>45860</v>
      </c>
      <c r="E427">
        <v>83600</v>
      </c>
      <c r="F427" t="s">
        <v>638</v>
      </c>
      <c r="G427">
        <v>656</v>
      </c>
    </row>
    <row r="428" spans="1:7" x14ac:dyDescent="0.3">
      <c r="A428" t="s">
        <v>433</v>
      </c>
      <c r="B428" t="s">
        <v>310</v>
      </c>
      <c r="C428">
        <v>25</v>
      </c>
      <c r="D428" s="1">
        <v>45859</v>
      </c>
      <c r="E428">
        <v>29700</v>
      </c>
      <c r="F428" t="s">
        <v>681</v>
      </c>
      <c r="G428">
        <v>561</v>
      </c>
    </row>
    <row r="429" spans="1:7" x14ac:dyDescent="0.3">
      <c r="A429" t="s">
        <v>433</v>
      </c>
      <c r="B429" t="s">
        <v>226</v>
      </c>
      <c r="C429">
        <v>25</v>
      </c>
      <c r="D429" s="1">
        <v>45859</v>
      </c>
      <c r="E429">
        <v>51700</v>
      </c>
      <c r="F429" t="s">
        <v>683</v>
      </c>
      <c r="G429">
        <v>571</v>
      </c>
    </row>
    <row r="430" spans="1:7" x14ac:dyDescent="0.3">
      <c r="A430" t="s">
        <v>433</v>
      </c>
      <c r="B430" t="s">
        <v>310</v>
      </c>
      <c r="C430">
        <v>25</v>
      </c>
      <c r="D430" s="1">
        <v>45859</v>
      </c>
      <c r="E430">
        <v>73700</v>
      </c>
      <c r="F430" t="s">
        <v>688</v>
      </c>
      <c r="G430">
        <v>520</v>
      </c>
    </row>
    <row r="431" spans="1:7" x14ac:dyDescent="0.3">
      <c r="A431" t="s">
        <v>433</v>
      </c>
      <c r="B431" t="s">
        <v>310</v>
      </c>
      <c r="C431">
        <v>25</v>
      </c>
      <c r="D431" s="1">
        <v>45859</v>
      </c>
      <c r="E431">
        <v>7700</v>
      </c>
      <c r="F431" t="s">
        <v>717</v>
      </c>
      <c r="G431">
        <v>572</v>
      </c>
    </row>
    <row r="432" spans="1:7" x14ac:dyDescent="0.3">
      <c r="A432" t="s">
        <v>433</v>
      </c>
      <c r="B432" t="s">
        <v>309</v>
      </c>
      <c r="C432">
        <v>25</v>
      </c>
      <c r="D432" s="1">
        <v>45859</v>
      </c>
      <c r="E432">
        <v>29700</v>
      </c>
      <c r="F432" t="s">
        <v>722</v>
      </c>
      <c r="G432">
        <v>529</v>
      </c>
    </row>
    <row r="433" spans="1:7" x14ac:dyDescent="0.3">
      <c r="A433" t="s">
        <v>433</v>
      </c>
      <c r="B433" t="s">
        <v>231</v>
      </c>
      <c r="C433">
        <v>25</v>
      </c>
      <c r="D433" s="1">
        <v>45856</v>
      </c>
      <c r="E433">
        <v>99000</v>
      </c>
      <c r="F433" t="s">
        <v>730</v>
      </c>
      <c r="G433">
        <v>534</v>
      </c>
    </row>
    <row r="434" spans="1:7" x14ac:dyDescent="0.3">
      <c r="A434" t="s">
        <v>433</v>
      </c>
      <c r="B434" t="s">
        <v>233</v>
      </c>
      <c r="C434">
        <v>25</v>
      </c>
      <c r="D434" s="1">
        <v>45859</v>
      </c>
      <c r="E434">
        <v>7700</v>
      </c>
      <c r="F434" t="s">
        <v>732</v>
      </c>
      <c r="G434">
        <v>560</v>
      </c>
    </row>
    <row r="435" spans="1:7" x14ac:dyDescent="0.3">
      <c r="A435" t="s">
        <v>433</v>
      </c>
      <c r="B435" t="s">
        <v>233</v>
      </c>
      <c r="C435">
        <v>25</v>
      </c>
      <c r="D435" s="1">
        <v>45858</v>
      </c>
      <c r="E435">
        <v>7700</v>
      </c>
      <c r="F435" t="s">
        <v>740</v>
      </c>
      <c r="G435">
        <v>498</v>
      </c>
    </row>
    <row r="436" spans="1:7" x14ac:dyDescent="0.3">
      <c r="A436" t="s">
        <v>433</v>
      </c>
      <c r="B436" t="s">
        <v>234</v>
      </c>
      <c r="C436">
        <v>25</v>
      </c>
      <c r="D436" s="1">
        <v>45854</v>
      </c>
      <c r="E436">
        <v>11000</v>
      </c>
      <c r="F436" t="s">
        <v>764</v>
      </c>
      <c r="G436">
        <v>471</v>
      </c>
    </row>
    <row r="437" spans="1:7" x14ac:dyDescent="0.3">
      <c r="A437" t="s">
        <v>433</v>
      </c>
      <c r="B437" t="s">
        <v>231</v>
      </c>
      <c r="C437">
        <v>25</v>
      </c>
      <c r="D437" s="1">
        <v>45857</v>
      </c>
      <c r="E437">
        <v>7700</v>
      </c>
      <c r="F437" t="s">
        <v>770</v>
      </c>
      <c r="G437">
        <v>479</v>
      </c>
    </row>
    <row r="438" spans="1:7" x14ac:dyDescent="0.3">
      <c r="A438" t="s">
        <v>433</v>
      </c>
      <c r="B438" t="s">
        <v>229</v>
      </c>
      <c r="C438">
        <v>25</v>
      </c>
      <c r="D438" s="1">
        <v>45858</v>
      </c>
      <c r="E438">
        <v>7700</v>
      </c>
      <c r="F438" t="s">
        <v>773</v>
      </c>
      <c r="G438">
        <v>462</v>
      </c>
    </row>
    <row r="439" spans="1:7" x14ac:dyDescent="0.3">
      <c r="A439" t="s">
        <v>433</v>
      </c>
      <c r="B439" t="s">
        <v>231</v>
      </c>
      <c r="C439">
        <v>25</v>
      </c>
      <c r="D439" s="1">
        <v>45858</v>
      </c>
      <c r="E439">
        <v>7700</v>
      </c>
      <c r="F439" t="s">
        <v>785</v>
      </c>
      <c r="G439">
        <v>465</v>
      </c>
    </row>
    <row r="440" spans="1:7" x14ac:dyDescent="0.3">
      <c r="A440" t="s">
        <v>433</v>
      </c>
      <c r="B440" t="s">
        <v>309</v>
      </c>
      <c r="C440">
        <v>25</v>
      </c>
      <c r="D440" s="1">
        <v>45857</v>
      </c>
      <c r="E440">
        <v>11000</v>
      </c>
      <c r="F440" t="s">
        <v>792</v>
      </c>
      <c r="G440">
        <v>445</v>
      </c>
    </row>
    <row r="441" spans="1:7" x14ac:dyDescent="0.3">
      <c r="A441" t="s">
        <v>433</v>
      </c>
      <c r="B441" t="s">
        <v>233</v>
      </c>
      <c r="C441">
        <v>25</v>
      </c>
      <c r="D441" s="1">
        <v>45857</v>
      </c>
      <c r="E441">
        <v>7700</v>
      </c>
      <c r="F441" t="s">
        <v>795</v>
      </c>
      <c r="G441">
        <v>453</v>
      </c>
    </row>
    <row r="442" spans="1:7" x14ac:dyDescent="0.3">
      <c r="A442" t="s">
        <v>433</v>
      </c>
      <c r="B442" t="s">
        <v>231</v>
      </c>
      <c r="C442">
        <v>25</v>
      </c>
      <c r="D442" s="1">
        <v>45857</v>
      </c>
      <c r="E442">
        <v>7700</v>
      </c>
      <c r="F442" t="s">
        <v>798</v>
      </c>
      <c r="G442">
        <v>452</v>
      </c>
    </row>
    <row r="443" spans="1:7" x14ac:dyDescent="0.3">
      <c r="A443" t="s">
        <v>433</v>
      </c>
      <c r="B443" t="s">
        <v>226</v>
      </c>
      <c r="C443">
        <v>25</v>
      </c>
      <c r="D443" s="1">
        <v>45856</v>
      </c>
      <c r="E443">
        <v>7700</v>
      </c>
      <c r="F443" t="s">
        <v>811</v>
      </c>
      <c r="G443">
        <v>424</v>
      </c>
    </row>
    <row r="444" spans="1:7" x14ac:dyDescent="0.3">
      <c r="A444" t="s">
        <v>433</v>
      </c>
      <c r="B444" t="s">
        <v>233</v>
      </c>
      <c r="C444">
        <v>25</v>
      </c>
      <c r="D444" s="1">
        <v>45856</v>
      </c>
      <c r="E444">
        <v>97900</v>
      </c>
      <c r="F444" t="s">
        <v>815</v>
      </c>
      <c r="G444">
        <v>422</v>
      </c>
    </row>
    <row r="445" spans="1:7" x14ac:dyDescent="0.3">
      <c r="A445" t="s">
        <v>433</v>
      </c>
      <c r="B445" t="s">
        <v>231</v>
      </c>
      <c r="C445">
        <v>25</v>
      </c>
      <c r="D445" s="1">
        <v>45857</v>
      </c>
      <c r="E445">
        <v>66000</v>
      </c>
      <c r="F445" t="s">
        <v>818</v>
      </c>
      <c r="G445">
        <v>417</v>
      </c>
    </row>
    <row r="446" spans="1:7" x14ac:dyDescent="0.3">
      <c r="A446" t="s">
        <v>433</v>
      </c>
      <c r="B446" t="s">
        <v>309</v>
      </c>
      <c r="C446">
        <v>25</v>
      </c>
      <c r="D446" s="1">
        <v>45856</v>
      </c>
      <c r="E446">
        <v>28600</v>
      </c>
      <c r="F446" t="s">
        <v>820</v>
      </c>
      <c r="G446">
        <v>414</v>
      </c>
    </row>
    <row r="447" spans="1:7" x14ac:dyDescent="0.3">
      <c r="A447" t="s">
        <v>433</v>
      </c>
      <c r="B447" t="s">
        <v>236</v>
      </c>
      <c r="C447">
        <v>25</v>
      </c>
      <c r="D447" s="1">
        <v>45857</v>
      </c>
      <c r="E447">
        <v>7700</v>
      </c>
      <c r="F447" t="s">
        <v>827</v>
      </c>
      <c r="G447">
        <v>411</v>
      </c>
    </row>
    <row r="448" spans="1:7" x14ac:dyDescent="0.3">
      <c r="A448" t="s">
        <v>433</v>
      </c>
      <c r="B448" t="s">
        <v>235</v>
      </c>
      <c r="C448">
        <v>25</v>
      </c>
      <c r="D448" s="1">
        <v>45856</v>
      </c>
      <c r="E448">
        <v>27500</v>
      </c>
      <c r="F448" t="s">
        <v>835</v>
      </c>
      <c r="G448">
        <v>400</v>
      </c>
    </row>
    <row r="449" spans="1:7" x14ac:dyDescent="0.3">
      <c r="A449" t="s">
        <v>433</v>
      </c>
      <c r="B449" t="s">
        <v>233</v>
      </c>
      <c r="C449">
        <v>25</v>
      </c>
      <c r="D449" s="1">
        <v>45857</v>
      </c>
      <c r="E449">
        <v>16500</v>
      </c>
      <c r="F449" t="s">
        <v>843</v>
      </c>
      <c r="G449">
        <v>402</v>
      </c>
    </row>
    <row r="450" spans="1:7" x14ac:dyDescent="0.3">
      <c r="A450" t="s">
        <v>433</v>
      </c>
      <c r="B450" t="s">
        <v>313</v>
      </c>
      <c r="C450">
        <v>25</v>
      </c>
      <c r="D450" s="1">
        <v>45857</v>
      </c>
      <c r="E450">
        <v>25300</v>
      </c>
      <c r="F450" t="s">
        <v>844</v>
      </c>
      <c r="G450">
        <v>390</v>
      </c>
    </row>
    <row r="451" spans="1:7" x14ac:dyDescent="0.3">
      <c r="A451" t="s">
        <v>433</v>
      </c>
      <c r="B451" t="s">
        <v>233</v>
      </c>
      <c r="C451">
        <v>25</v>
      </c>
      <c r="D451" s="1">
        <v>45856</v>
      </c>
      <c r="E451">
        <v>7700</v>
      </c>
      <c r="F451" t="s">
        <v>851</v>
      </c>
      <c r="G451">
        <v>383</v>
      </c>
    </row>
    <row r="452" spans="1:7" x14ac:dyDescent="0.3">
      <c r="A452" t="s">
        <v>433</v>
      </c>
      <c r="B452" t="s">
        <v>310</v>
      </c>
      <c r="C452">
        <v>25</v>
      </c>
      <c r="D452" s="1">
        <v>45856</v>
      </c>
      <c r="E452">
        <v>7700</v>
      </c>
      <c r="F452" t="s">
        <v>866</v>
      </c>
      <c r="G452">
        <v>370</v>
      </c>
    </row>
    <row r="453" spans="1:7" x14ac:dyDescent="0.3">
      <c r="A453" t="s">
        <v>433</v>
      </c>
      <c r="B453" t="s">
        <v>310</v>
      </c>
      <c r="C453">
        <v>25</v>
      </c>
      <c r="D453" s="1">
        <v>45856</v>
      </c>
      <c r="E453">
        <v>33000</v>
      </c>
      <c r="F453" t="s">
        <v>869</v>
      </c>
      <c r="G453">
        <v>367</v>
      </c>
    </row>
    <row r="454" spans="1:7" x14ac:dyDescent="0.3">
      <c r="A454" t="s">
        <v>433</v>
      </c>
      <c r="B454" t="s">
        <v>310</v>
      </c>
      <c r="C454">
        <v>25</v>
      </c>
      <c r="D454" s="1">
        <v>45856</v>
      </c>
      <c r="E454">
        <v>7700</v>
      </c>
      <c r="F454" t="s">
        <v>871</v>
      </c>
      <c r="G454">
        <v>365</v>
      </c>
    </row>
    <row r="455" spans="1:7" x14ac:dyDescent="0.3">
      <c r="A455" t="s">
        <v>433</v>
      </c>
      <c r="B455" t="s">
        <v>310</v>
      </c>
      <c r="C455">
        <v>25</v>
      </c>
      <c r="D455" s="1">
        <v>45856</v>
      </c>
      <c r="E455">
        <v>62700</v>
      </c>
      <c r="F455" t="s">
        <v>874</v>
      </c>
      <c r="G455">
        <v>361</v>
      </c>
    </row>
    <row r="456" spans="1:7" x14ac:dyDescent="0.3">
      <c r="A456" t="s">
        <v>433</v>
      </c>
      <c r="B456" t="s">
        <v>310</v>
      </c>
      <c r="C456">
        <v>25</v>
      </c>
      <c r="D456" s="1">
        <v>45856</v>
      </c>
      <c r="E456">
        <v>29700</v>
      </c>
      <c r="F456" t="s">
        <v>875</v>
      </c>
      <c r="G456">
        <v>369</v>
      </c>
    </row>
    <row r="457" spans="1:7" x14ac:dyDescent="0.3">
      <c r="A457" t="s">
        <v>433</v>
      </c>
      <c r="B457" t="s">
        <v>229</v>
      </c>
      <c r="C457">
        <v>25</v>
      </c>
      <c r="D457" s="1">
        <v>45854</v>
      </c>
      <c r="E457">
        <v>105600</v>
      </c>
      <c r="F457" t="s">
        <v>881</v>
      </c>
      <c r="G457">
        <v>349</v>
      </c>
    </row>
    <row r="458" spans="1:7" x14ac:dyDescent="0.3">
      <c r="A458" t="s">
        <v>433</v>
      </c>
      <c r="B458" t="s">
        <v>226</v>
      </c>
      <c r="C458">
        <v>25</v>
      </c>
      <c r="D458" s="1">
        <v>45856</v>
      </c>
      <c r="E458">
        <v>95700</v>
      </c>
      <c r="F458" t="s">
        <v>882</v>
      </c>
      <c r="G458">
        <v>359</v>
      </c>
    </row>
    <row r="459" spans="1:7" x14ac:dyDescent="0.3">
      <c r="A459" t="s">
        <v>433</v>
      </c>
      <c r="B459" t="s">
        <v>309</v>
      </c>
      <c r="C459">
        <v>25</v>
      </c>
      <c r="D459" s="1">
        <v>45855</v>
      </c>
      <c r="E459">
        <v>60500</v>
      </c>
      <c r="F459" t="s">
        <v>884</v>
      </c>
      <c r="G459">
        <v>369</v>
      </c>
    </row>
    <row r="460" spans="1:7" x14ac:dyDescent="0.3">
      <c r="A460" t="s">
        <v>433</v>
      </c>
      <c r="B460" t="s">
        <v>236</v>
      </c>
      <c r="C460">
        <v>25</v>
      </c>
      <c r="D460" s="1">
        <v>45856</v>
      </c>
      <c r="E460">
        <v>13200</v>
      </c>
      <c r="F460" t="s">
        <v>889</v>
      </c>
      <c r="G460">
        <v>355</v>
      </c>
    </row>
    <row r="461" spans="1:7" x14ac:dyDescent="0.3">
      <c r="A461" t="s">
        <v>433</v>
      </c>
      <c r="B461" t="s">
        <v>310</v>
      </c>
      <c r="C461">
        <v>25</v>
      </c>
      <c r="D461" s="1">
        <v>45855</v>
      </c>
      <c r="E461">
        <v>18700</v>
      </c>
      <c r="F461" t="s">
        <v>891</v>
      </c>
      <c r="G461">
        <v>372</v>
      </c>
    </row>
    <row r="462" spans="1:7" x14ac:dyDescent="0.3">
      <c r="A462" t="s">
        <v>433</v>
      </c>
      <c r="B462" t="s">
        <v>310</v>
      </c>
      <c r="C462">
        <v>25</v>
      </c>
      <c r="D462" s="1">
        <v>45854</v>
      </c>
      <c r="E462">
        <v>7700</v>
      </c>
      <c r="F462" t="s">
        <v>903</v>
      </c>
      <c r="G462">
        <v>368</v>
      </c>
    </row>
    <row r="463" spans="1:7" x14ac:dyDescent="0.3">
      <c r="A463" t="s">
        <v>433</v>
      </c>
      <c r="B463" t="s">
        <v>226</v>
      </c>
      <c r="C463">
        <v>25</v>
      </c>
      <c r="D463" s="1">
        <v>45855</v>
      </c>
      <c r="E463">
        <v>7700</v>
      </c>
      <c r="F463" t="s">
        <v>914</v>
      </c>
      <c r="G463">
        <v>360</v>
      </c>
    </row>
    <row r="464" spans="1:7" x14ac:dyDescent="0.3">
      <c r="A464" t="s">
        <v>433</v>
      </c>
      <c r="B464" t="s">
        <v>310</v>
      </c>
      <c r="C464">
        <v>25</v>
      </c>
      <c r="D464" s="1">
        <v>45855</v>
      </c>
      <c r="E464">
        <v>151800</v>
      </c>
      <c r="F464" t="s">
        <v>923</v>
      </c>
      <c r="G464">
        <v>305</v>
      </c>
    </row>
    <row r="465" spans="1:7" x14ac:dyDescent="0.3">
      <c r="A465" t="s">
        <v>433</v>
      </c>
      <c r="B465" t="s">
        <v>236</v>
      </c>
      <c r="C465">
        <v>25</v>
      </c>
      <c r="D465" s="1">
        <v>45855</v>
      </c>
      <c r="E465">
        <v>40700</v>
      </c>
      <c r="F465" t="s">
        <v>929</v>
      </c>
      <c r="G465">
        <v>324</v>
      </c>
    </row>
    <row r="466" spans="1:7" x14ac:dyDescent="0.3">
      <c r="A466" t="s">
        <v>433</v>
      </c>
      <c r="B466" t="s">
        <v>233</v>
      </c>
      <c r="C466">
        <v>25</v>
      </c>
      <c r="D466" s="1">
        <v>45854</v>
      </c>
      <c r="E466">
        <v>91300</v>
      </c>
      <c r="F466" t="s">
        <v>940</v>
      </c>
      <c r="G466">
        <v>287</v>
      </c>
    </row>
    <row r="467" spans="1:7" x14ac:dyDescent="0.3">
      <c r="A467" t="s">
        <v>433</v>
      </c>
      <c r="B467" t="s">
        <v>309</v>
      </c>
      <c r="C467">
        <v>26</v>
      </c>
      <c r="D467" s="1">
        <v>45861</v>
      </c>
      <c r="E467">
        <v>7700</v>
      </c>
      <c r="F467" t="s">
        <v>449</v>
      </c>
      <c r="G467">
        <v>796</v>
      </c>
    </row>
    <row r="468" spans="1:7" x14ac:dyDescent="0.3">
      <c r="A468" t="s">
        <v>433</v>
      </c>
      <c r="B468" t="s">
        <v>310</v>
      </c>
      <c r="C468">
        <v>26</v>
      </c>
      <c r="D468" s="1">
        <v>45862</v>
      </c>
      <c r="E468">
        <v>7700</v>
      </c>
      <c r="F468" t="s">
        <v>488</v>
      </c>
      <c r="G468">
        <v>744</v>
      </c>
    </row>
    <row r="469" spans="1:7" x14ac:dyDescent="0.3">
      <c r="A469" t="s">
        <v>433</v>
      </c>
      <c r="B469" t="s">
        <v>309</v>
      </c>
      <c r="C469">
        <v>26</v>
      </c>
      <c r="D469" s="1">
        <v>45861</v>
      </c>
      <c r="E469">
        <v>29700</v>
      </c>
      <c r="F469" t="s">
        <v>499</v>
      </c>
      <c r="G469">
        <v>758</v>
      </c>
    </row>
    <row r="470" spans="1:7" x14ac:dyDescent="0.3">
      <c r="A470" t="s">
        <v>433</v>
      </c>
      <c r="B470" t="s">
        <v>225</v>
      </c>
      <c r="C470">
        <v>26</v>
      </c>
      <c r="D470" s="1">
        <v>45861</v>
      </c>
      <c r="E470">
        <v>7700</v>
      </c>
      <c r="F470" t="s">
        <v>520</v>
      </c>
      <c r="G470">
        <v>717</v>
      </c>
    </row>
    <row r="471" spans="1:7" x14ac:dyDescent="0.3">
      <c r="A471" t="s">
        <v>433</v>
      </c>
      <c r="B471" t="s">
        <v>310</v>
      </c>
      <c r="C471">
        <v>26</v>
      </c>
      <c r="D471" s="1">
        <v>45860</v>
      </c>
      <c r="E471">
        <v>29700</v>
      </c>
      <c r="F471" t="s">
        <v>524</v>
      </c>
      <c r="G471">
        <v>716</v>
      </c>
    </row>
    <row r="472" spans="1:7" x14ac:dyDescent="0.3">
      <c r="A472" t="s">
        <v>433</v>
      </c>
      <c r="B472" t="s">
        <v>233</v>
      </c>
      <c r="C472">
        <v>26</v>
      </c>
      <c r="D472" s="1">
        <v>45860</v>
      </c>
      <c r="E472">
        <v>7700</v>
      </c>
      <c r="F472" t="s">
        <v>535</v>
      </c>
      <c r="G472">
        <v>700</v>
      </c>
    </row>
    <row r="473" spans="1:7" x14ac:dyDescent="0.3">
      <c r="A473" t="s">
        <v>433</v>
      </c>
      <c r="B473" t="s">
        <v>231</v>
      </c>
      <c r="C473">
        <v>26</v>
      </c>
      <c r="D473" s="1">
        <v>45860</v>
      </c>
      <c r="E473">
        <v>27500</v>
      </c>
      <c r="F473" t="s">
        <v>573</v>
      </c>
      <c r="G473">
        <v>716</v>
      </c>
    </row>
    <row r="474" spans="1:7" x14ac:dyDescent="0.3">
      <c r="A474" t="s">
        <v>433</v>
      </c>
      <c r="B474" t="s">
        <v>309</v>
      </c>
      <c r="C474">
        <v>26</v>
      </c>
      <c r="D474" s="1">
        <v>45859</v>
      </c>
      <c r="E474">
        <v>7700</v>
      </c>
      <c r="F474" t="s">
        <v>575</v>
      </c>
      <c r="G474">
        <v>715</v>
      </c>
    </row>
    <row r="475" spans="1:7" x14ac:dyDescent="0.3">
      <c r="A475" t="s">
        <v>433</v>
      </c>
      <c r="B475" t="s">
        <v>310</v>
      </c>
      <c r="C475">
        <v>26</v>
      </c>
      <c r="D475" s="1">
        <v>45858</v>
      </c>
      <c r="E475">
        <v>7700</v>
      </c>
      <c r="F475" t="s">
        <v>652</v>
      </c>
      <c r="G475">
        <v>581</v>
      </c>
    </row>
    <row r="476" spans="1:7" x14ac:dyDescent="0.3">
      <c r="A476" t="s">
        <v>433</v>
      </c>
      <c r="B476" t="s">
        <v>311</v>
      </c>
      <c r="C476">
        <v>26</v>
      </c>
      <c r="D476" s="1">
        <v>45858</v>
      </c>
      <c r="E476">
        <v>90200</v>
      </c>
      <c r="F476" t="s">
        <v>656</v>
      </c>
      <c r="G476">
        <v>515</v>
      </c>
    </row>
    <row r="477" spans="1:7" x14ac:dyDescent="0.3">
      <c r="A477" t="s">
        <v>433</v>
      </c>
      <c r="B477" t="s">
        <v>230</v>
      </c>
      <c r="C477">
        <v>26</v>
      </c>
      <c r="D477" s="1">
        <v>45858</v>
      </c>
      <c r="E477">
        <v>40700</v>
      </c>
      <c r="F477" t="s">
        <v>663</v>
      </c>
      <c r="G477">
        <v>580</v>
      </c>
    </row>
    <row r="478" spans="1:7" x14ac:dyDescent="0.3">
      <c r="A478" t="s">
        <v>433</v>
      </c>
      <c r="B478" t="s">
        <v>233</v>
      </c>
      <c r="C478">
        <v>26</v>
      </c>
      <c r="D478" s="1">
        <v>45858</v>
      </c>
      <c r="E478">
        <v>69300</v>
      </c>
      <c r="F478" t="s">
        <v>682</v>
      </c>
      <c r="G478">
        <v>572</v>
      </c>
    </row>
    <row r="479" spans="1:7" x14ac:dyDescent="0.3">
      <c r="A479" t="s">
        <v>433</v>
      </c>
      <c r="B479" t="s">
        <v>226</v>
      </c>
      <c r="C479">
        <v>26</v>
      </c>
      <c r="D479" s="1">
        <v>45858</v>
      </c>
      <c r="E479">
        <v>7700</v>
      </c>
      <c r="F479" t="s">
        <v>687</v>
      </c>
      <c r="G479">
        <v>567</v>
      </c>
    </row>
    <row r="480" spans="1:7" x14ac:dyDescent="0.3">
      <c r="A480" t="s">
        <v>433</v>
      </c>
      <c r="B480" t="s">
        <v>310</v>
      </c>
      <c r="C480">
        <v>26</v>
      </c>
      <c r="D480" s="1">
        <v>45856</v>
      </c>
      <c r="E480">
        <v>44000</v>
      </c>
      <c r="F480" t="s">
        <v>691</v>
      </c>
      <c r="G480">
        <v>563</v>
      </c>
    </row>
    <row r="481" spans="1:7" x14ac:dyDescent="0.3">
      <c r="A481" t="s">
        <v>433</v>
      </c>
      <c r="B481" t="s">
        <v>235</v>
      </c>
      <c r="C481">
        <v>26</v>
      </c>
      <c r="D481" s="1">
        <v>45856</v>
      </c>
      <c r="E481">
        <v>14300</v>
      </c>
      <c r="F481" t="s">
        <v>694</v>
      </c>
      <c r="G481">
        <v>1153</v>
      </c>
    </row>
    <row r="482" spans="1:7" x14ac:dyDescent="0.3">
      <c r="A482" t="s">
        <v>433</v>
      </c>
      <c r="B482" t="s">
        <v>233</v>
      </c>
      <c r="C482">
        <v>26</v>
      </c>
      <c r="D482" s="1">
        <v>45858</v>
      </c>
      <c r="E482">
        <v>29700</v>
      </c>
      <c r="F482" t="s">
        <v>710</v>
      </c>
      <c r="G482">
        <v>520</v>
      </c>
    </row>
    <row r="483" spans="1:7" x14ac:dyDescent="0.3">
      <c r="A483" t="s">
        <v>433</v>
      </c>
      <c r="B483" t="s">
        <v>231</v>
      </c>
      <c r="C483">
        <v>26</v>
      </c>
      <c r="D483" s="1">
        <v>45857</v>
      </c>
      <c r="E483">
        <v>8800</v>
      </c>
      <c r="F483" t="s">
        <v>726</v>
      </c>
      <c r="G483">
        <v>506</v>
      </c>
    </row>
    <row r="484" spans="1:7" x14ac:dyDescent="0.3">
      <c r="A484" t="s">
        <v>433</v>
      </c>
      <c r="B484" t="s">
        <v>310</v>
      </c>
      <c r="C484">
        <v>26</v>
      </c>
      <c r="D484" s="1">
        <v>45854</v>
      </c>
      <c r="E484">
        <v>0</v>
      </c>
      <c r="F484" t="s">
        <v>733</v>
      </c>
      <c r="G484">
        <v>597</v>
      </c>
    </row>
    <row r="485" spans="1:7" x14ac:dyDescent="0.3">
      <c r="A485" t="s">
        <v>433</v>
      </c>
      <c r="B485" t="s">
        <v>309</v>
      </c>
      <c r="C485">
        <v>26</v>
      </c>
      <c r="D485" s="1">
        <v>45858</v>
      </c>
      <c r="E485">
        <v>7700</v>
      </c>
      <c r="F485" t="s">
        <v>738</v>
      </c>
      <c r="G485">
        <v>553</v>
      </c>
    </row>
    <row r="486" spans="1:7" x14ac:dyDescent="0.3">
      <c r="A486" t="s">
        <v>433</v>
      </c>
      <c r="B486" t="s">
        <v>231</v>
      </c>
      <c r="C486">
        <v>26</v>
      </c>
      <c r="D486" s="1">
        <v>45857</v>
      </c>
      <c r="E486">
        <v>40700</v>
      </c>
      <c r="F486" t="s">
        <v>745</v>
      </c>
      <c r="G486">
        <v>523</v>
      </c>
    </row>
    <row r="487" spans="1:7" x14ac:dyDescent="0.3">
      <c r="A487" t="s">
        <v>433</v>
      </c>
      <c r="B487" t="s">
        <v>231</v>
      </c>
      <c r="C487">
        <v>26</v>
      </c>
      <c r="D487" s="1">
        <v>45857</v>
      </c>
      <c r="E487">
        <v>7700</v>
      </c>
      <c r="F487" t="s">
        <v>757</v>
      </c>
      <c r="G487">
        <v>494</v>
      </c>
    </row>
    <row r="488" spans="1:7" x14ac:dyDescent="0.3">
      <c r="A488" t="s">
        <v>433</v>
      </c>
      <c r="B488" t="s">
        <v>310</v>
      </c>
      <c r="C488">
        <v>26</v>
      </c>
      <c r="D488" s="1">
        <v>45856</v>
      </c>
      <c r="E488">
        <v>7700</v>
      </c>
      <c r="F488" t="s">
        <v>758</v>
      </c>
      <c r="G488">
        <v>476</v>
      </c>
    </row>
    <row r="489" spans="1:7" x14ac:dyDescent="0.3">
      <c r="A489" t="s">
        <v>433</v>
      </c>
      <c r="B489" t="s">
        <v>310</v>
      </c>
      <c r="C489">
        <v>26</v>
      </c>
      <c r="D489" s="1">
        <v>45857</v>
      </c>
      <c r="E489">
        <v>7700</v>
      </c>
      <c r="F489" t="s">
        <v>762</v>
      </c>
      <c r="G489">
        <v>590</v>
      </c>
    </row>
    <row r="490" spans="1:7" x14ac:dyDescent="0.3">
      <c r="A490" t="s">
        <v>433</v>
      </c>
      <c r="B490" t="s">
        <v>310</v>
      </c>
      <c r="C490">
        <v>26</v>
      </c>
      <c r="D490" s="1">
        <v>45857</v>
      </c>
      <c r="E490">
        <v>7700</v>
      </c>
      <c r="F490" t="s">
        <v>766</v>
      </c>
      <c r="G490">
        <v>469</v>
      </c>
    </row>
    <row r="491" spans="1:7" x14ac:dyDescent="0.3">
      <c r="A491" t="s">
        <v>433</v>
      </c>
      <c r="B491" t="s">
        <v>235</v>
      </c>
      <c r="C491">
        <v>26</v>
      </c>
      <c r="D491" s="1">
        <v>45857</v>
      </c>
      <c r="E491">
        <v>29700</v>
      </c>
      <c r="F491" t="s">
        <v>771</v>
      </c>
      <c r="G491">
        <v>716</v>
      </c>
    </row>
    <row r="492" spans="1:7" x14ac:dyDescent="0.3">
      <c r="A492" t="s">
        <v>433</v>
      </c>
      <c r="B492" t="s">
        <v>310</v>
      </c>
      <c r="C492">
        <v>26</v>
      </c>
      <c r="D492" s="1">
        <v>45857</v>
      </c>
      <c r="E492">
        <v>7700</v>
      </c>
      <c r="F492" t="s">
        <v>786</v>
      </c>
      <c r="G492">
        <v>464</v>
      </c>
    </row>
    <row r="493" spans="1:7" x14ac:dyDescent="0.3">
      <c r="A493" t="s">
        <v>433</v>
      </c>
      <c r="B493" t="s">
        <v>310</v>
      </c>
      <c r="C493">
        <v>26</v>
      </c>
      <c r="D493" s="1">
        <v>45857</v>
      </c>
      <c r="E493">
        <v>40700</v>
      </c>
      <c r="F493" t="s">
        <v>790</v>
      </c>
      <c r="G493">
        <v>448</v>
      </c>
    </row>
    <row r="494" spans="1:7" x14ac:dyDescent="0.3">
      <c r="A494" t="s">
        <v>433</v>
      </c>
      <c r="B494" t="s">
        <v>309</v>
      </c>
      <c r="C494">
        <v>26</v>
      </c>
      <c r="D494" s="1">
        <v>45855</v>
      </c>
      <c r="E494">
        <v>7700</v>
      </c>
      <c r="F494" t="s">
        <v>796</v>
      </c>
      <c r="G494">
        <v>475</v>
      </c>
    </row>
    <row r="495" spans="1:7" x14ac:dyDescent="0.3">
      <c r="A495" t="s">
        <v>433</v>
      </c>
      <c r="B495" t="s">
        <v>229</v>
      </c>
      <c r="C495">
        <v>26</v>
      </c>
      <c r="D495" s="1">
        <v>45856</v>
      </c>
      <c r="E495">
        <v>7700</v>
      </c>
      <c r="F495" t="s">
        <v>805</v>
      </c>
      <c r="G495">
        <v>433</v>
      </c>
    </row>
    <row r="496" spans="1:7" x14ac:dyDescent="0.3">
      <c r="A496" t="s">
        <v>433</v>
      </c>
      <c r="B496" t="s">
        <v>310</v>
      </c>
      <c r="C496">
        <v>26</v>
      </c>
      <c r="D496" s="1">
        <v>45855</v>
      </c>
      <c r="E496">
        <v>7700</v>
      </c>
      <c r="F496" t="s">
        <v>813</v>
      </c>
      <c r="G496">
        <v>417</v>
      </c>
    </row>
    <row r="497" spans="1:7" x14ac:dyDescent="0.3">
      <c r="A497" t="s">
        <v>433</v>
      </c>
      <c r="B497" t="s">
        <v>309</v>
      </c>
      <c r="C497">
        <v>26</v>
      </c>
      <c r="D497" s="1">
        <v>45856</v>
      </c>
      <c r="E497">
        <v>29700</v>
      </c>
      <c r="F497" t="s">
        <v>819</v>
      </c>
      <c r="G497">
        <v>417</v>
      </c>
    </row>
    <row r="498" spans="1:7" x14ac:dyDescent="0.3">
      <c r="A498" t="s">
        <v>433</v>
      </c>
      <c r="B498" t="s">
        <v>311</v>
      </c>
      <c r="C498">
        <v>26</v>
      </c>
      <c r="D498" s="1">
        <v>45856</v>
      </c>
      <c r="E498">
        <v>16500</v>
      </c>
      <c r="F498" t="s">
        <v>833</v>
      </c>
      <c r="G498">
        <v>416</v>
      </c>
    </row>
    <row r="499" spans="1:7" x14ac:dyDescent="0.3">
      <c r="A499" t="s">
        <v>433</v>
      </c>
      <c r="B499" t="s">
        <v>236</v>
      </c>
      <c r="C499">
        <v>26</v>
      </c>
      <c r="D499" s="1">
        <v>45856</v>
      </c>
      <c r="E499">
        <v>7700</v>
      </c>
      <c r="F499" t="s">
        <v>836</v>
      </c>
      <c r="G499">
        <v>411</v>
      </c>
    </row>
    <row r="500" spans="1:7" x14ac:dyDescent="0.3">
      <c r="A500" t="s">
        <v>433</v>
      </c>
      <c r="B500" t="s">
        <v>310</v>
      </c>
      <c r="C500">
        <v>26</v>
      </c>
      <c r="D500" s="1">
        <v>45856</v>
      </c>
      <c r="E500">
        <v>7700</v>
      </c>
      <c r="F500" t="s">
        <v>845</v>
      </c>
      <c r="G500">
        <v>402</v>
      </c>
    </row>
    <row r="501" spans="1:7" x14ac:dyDescent="0.3">
      <c r="A501" t="s">
        <v>433</v>
      </c>
      <c r="B501" t="s">
        <v>233</v>
      </c>
      <c r="C501">
        <v>26</v>
      </c>
      <c r="D501" s="1">
        <v>45855</v>
      </c>
      <c r="E501">
        <v>196900</v>
      </c>
      <c r="F501" t="s">
        <v>857</v>
      </c>
      <c r="G501">
        <v>413</v>
      </c>
    </row>
    <row r="502" spans="1:7" x14ac:dyDescent="0.3">
      <c r="A502" t="s">
        <v>433</v>
      </c>
      <c r="B502" t="s">
        <v>231</v>
      </c>
      <c r="C502">
        <v>26</v>
      </c>
      <c r="D502" s="1">
        <v>45855</v>
      </c>
      <c r="E502">
        <v>73700</v>
      </c>
      <c r="F502" t="s">
        <v>863</v>
      </c>
      <c r="G502">
        <v>491</v>
      </c>
    </row>
    <row r="503" spans="1:7" x14ac:dyDescent="0.3">
      <c r="A503" t="s">
        <v>433</v>
      </c>
      <c r="B503" t="s">
        <v>226</v>
      </c>
      <c r="C503">
        <v>26</v>
      </c>
      <c r="D503" s="1">
        <v>45855</v>
      </c>
      <c r="E503">
        <v>69300</v>
      </c>
      <c r="F503" t="s">
        <v>864</v>
      </c>
      <c r="G503">
        <v>388</v>
      </c>
    </row>
    <row r="504" spans="1:7" x14ac:dyDescent="0.3">
      <c r="A504" t="s">
        <v>433</v>
      </c>
      <c r="B504" t="s">
        <v>310</v>
      </c>
      <c r="C504">
        <v>26</v>
      </c>
      <c r="D504" s="1">
        <v>45855</v>
      </c>
      <c r="E504">
        <v>71500</v>
      </c>
      <c r="F504" t="s">
        <v>868</v>
      </c>
      <c r="G504">
        <v>367</v>
      </c>
    </row>
    <row r="505" spans="1:7" x14ac:dyDescent="0.3">
      <c r="A505" t="s">
        <v>433</v>
      </c>
      <c r="B505" t="s">
        <v>224</v>
      </c>
      <c r="C505">
        <v>26</v>
      </c>
      <c r="D505" s="1">
        <v>45855</v>
      </c>
      <c r="E505">
        <v>49500</v>
      </c>
      <c r="F505" t="s">
        <v>887</v>
      </c>
      <c r="G505">
        <v>341</v>
      </c>
    </row>
    <row r="506" spans="1:7" x14ac:dyDescent="0.3">
      <c r="A506" t="s">
        <v>433</v>
      </c>
      <c r="B506" t="s">
        <v>310</v>
      </c>
      <c r="C506">
        <v>26</v>
      </c>
      <c r="D506" s="1">
        <v>45854</v>
      </c>
      <c r="E506">
        <v>44000</v>
      </c>
      <c r="F506" t="s">
        <v>899</v>
      </c>
      <c r="G506">
        <v>341</v>
      </c>
    </row>
    <row r="507" spans="1:7" x14ac:dyDescent="0.3">
      <c r="A507" t="s">
        <v>433</v>
      </c>
      <c r="B507" t="s">
        <v>310</v>
      </c>
      <c r="C507">
        <v>26</v>
      </c>
      <c r="D507" s="1">
        <v>45854</v>
      </c>
      <c r="E507">
        <v>27500</v>
      </c>
      <c r="F507" t="s">
        <v>902</v>
      </c>
      <c r="G507">
        <v>340</v>
      </c>
    </row>
    <row r="508" spans="1:7" x14ac:dyDescent="0.3">
      <c r="A508" t="s">
        <v>433</v>
      </c>
      <c r="B508" t="s">
        <v>309</v>
      </c>
      <c r="C508">
        <v>26</v>
      </c>
      <c r="D508" s="1">
        <v>45854</v>
      </c>
      <c r="E508">
        <v>7700</v>
      </c>
      <c r="F508" t="s">
        <v>912</v>
      </c>
      <c r="G508">
        <v>348</v>
      </c>
    </row>
    <row r="509" spans="1:7" x14ac:dyDescent="0.3">
      <c r="A509" t="s">
        <v>433</v>
      </c>
      <c r="B509" t="s">
        <v>310</v>
      </c>
      <c r="C509">
        <v>26</v>
      </c>
      <c r="D509" s="1">
        <v>45854</v>
      </c>
      <c r="E509">
        <v>7700</v>
      </c>
      <c r="F509" t="s">
        <v>921</v>
      </c>
      <c r="G509">
        <v>323</v>
      </c>
    </row>
    <row r="510" spans="1:7" x14ac:dyDescent="0.3">
      <c r="A510" t="s">
        <v>433</v>
      </c>
      <c r="B510" t="s">
        <v>233</v>
      </c>
      <c r="C510">
        <v>26</v>
      </c>
      <c r="D510" s="1">
        <v>45853</v>
      </c>
      <c r="E510">
        <v>7700</v>
      </c>
      <c r="F510" t="s">
        <v>927</v>
      </c>
      <c r="G510">
        <v>327</v>
      </c>
    </row>
    <row r="511" spans="1:7" x14ac:dyDescent="0.3">
      <c r="A511" t="s">
        <v>433</v>
      </c>
      <c r="B511" t="s">
        <v>233</v>
      </c>
      <c r="C511">
        <v>26</v>
      </c>
      <c r="D511" s="1">
        <v>45854</v>
      </c>
      <c r="E511">
        <v>0</v>
      </c>
      <c r="F511" t="s">
        <v>935</v>
      </c>
      <c r="G511">
        <v>303</v>
      </c>
    </row>
    <row r="512" spans="1:7" x14ac:dyDescent="0.3">
      <c r="A512" t="s">
        <v>433</v>
      </c>
      <c r="B512" t="s">
        <v>309</v>
      </c>
      <c r="C512">
        <v>27</v>
      </c>
      <c r="D512" s="1">
        <v>45859</v>
      </c>
      <c r="E512">
        <v>38500</v>
      </c>
      <c r="F512" t="s">
        <v>465</v>
      </c>
      <c r="G512">
        <v>1024</v>
      </c>
    </row>
    <row r="513" spans="1:7" x14ac:dyDescent="0.3">
      <c r="A513" t="s">
        <v>433</v>
      </c>
      <c r="B513" t="s">
        <v>310</v>
      </c>
      <c r="C513">
        <v>27</v>
      </c>
      <c r="D513" s="1">
        <v>45861</v>
      </c>
      <c r="E513">
        <v>56100</v>
      </c>
      <c r="F513" t="s">
        <v>475</v>
      </c>
      <c r="G513">
        <v>755</v>
      </c>
    </row>
    <row r="514" spans="1:7" x14ac:dyDescent="0.3">
      <c r="A514" t="s">
        <v>433</v>
      </c>
      <c r="B514" t="s">
        <v>309</v>
      </c>
      <c r="C514">
        <v>27</v>
      </c>
      <c r="D514" s="1">
        <v>45861</v>
      </c>
      <c r="E514">
        <v>7700</v>
      </c>
      <c r="F514" t="s">
        <v>489</v>
      </c>
      <c r="G514">
        <v>793</v>
      </c>
    </row>
    <row r="515" spans="1:7" x14ac:dyDescent="0.3">
      <c r="A515" t="s">
        <v>433</v>
      </c>
      <c r="B515" t="s">
        <v>309</v>
      </c>
      <c r="C515">
        <v>27</v>
      </c>
      <c r="D515" s="1">
        <v>45861</v>
      </c>
      <c r="E515">
        <v>7700</v>
      </c>
      <c r="F515" t="s">
        <v>492</v>
      </c>
      <c r="G515">
        <v>766</v>
      </c>
    </row>
    <row r="516" spans="1:7" x14ac:dyDescent="0.3">
      <c r="A516" t="s">
        <v>433</v>
      </c>
      <c r="B516" t="s">
        <v>310</v>
      </c>
      <c r="C516">
        <v>27</v>
      </c>
      <c r="D516" s="1">
        <v>45858</v>
      </c>
      <c r="E516">
        <v>51700</v>
      </c>
      <c r="F516" t="s">
        <v>496</v>
      </c>
      <c r="G516">
        <v>738</v>
      </c>
    </row>
    <row r="517" spans="1:7" x14ac:dyDescent="0.3">
      <c r="A517" t="s">
        <v>433</v>
      </c>
      <c r="B517" t="s">
        <v>309</v>
      </c>
      <c r="C517">
        <v>27</v>
      </c>
      <c r="D517" s="1">
        <v>45858</v>
      </c>
      <c r="E517">
        <v>25300</v>
      </c>
      <c r="F517" t="s">
        <v>498</v>
      </c>
      <c r="G517">
        <v>738</v>
      </c>
    </row>
    <row r="518" spans="1:7" x14ac:dyDescent="0.3">
      <c r="A518" t="s">
        <v>433</v>
      </c>
      <c r="B518" t="s">
        <v>224</v>
      </c>
      <c r="C518">
        <v>27</v>
      </c>
      <c r="D518" s="1">
        <v>45860</v>
      </c>
      <c r="E518">
        <v>7700</v>
      </c>
      <c r="F518" t="s">
        <v>512</v>
      </c>
      <c r="G518">
        <v>740</v>
      </c>
    </row>
    <row r="519" spans="1:7" x14ac:dyDescent="0.3">
      <c r="A519" t="s">
        <v>433</v>
      </c>
      <c r="B519" t="s">
        <v>310</v>
      </c>
      <c r="C519">
        <v>27</v>
      </c>
      <c r="D519" s="1">
        <v>45860</v>
      </c>
      <c r="E519">
        <v>7700</v>
      </c>
      <c r="F519" t="s">
        <v>550</v>
      </c>
      <c r="G519">
        <v>729</v>
      </c>
    </row>
    <row r="520" spans="1:7" x14ac:dyDescent="0.3">
      <c r="A520" t="s">
        <v>433</v>
      </c>
      <c r="B520" t="s">
        <v>226</v>
      </c>
      <c r="C520">
        <v>27</v>
      </c>
      <c r="D520" s="1">
        <v>45860</v>
      </c>
      <c r="E520">
        <v>62700</v>
      </c>
      <c r="F520" t="s">
        <v>554</v>
      </c>
      <c r="G520">
        <v>704</v>
      </c>
    </row>
    <row r="521" spans="1:7" x14ac:dyDescent="0.3">
      <c r="A521" t="s">
        <v>433</v>
      </c>
      <c r="B521" t="s">
        <v>310</v>
      </c>
      <c r="C521">
        <v>27</v>
      </c>
      <c r="D521" s="1">
        <v>45857</v>
      </c>
      <c r="E521">
        <v>7700</v>
      </c>
      <c r="F521" t="s">
        <v>576</v>
      </c>
      <c r="G521">
        <v>683</v>
      </c>
    </row>
    <row r="522" spans="1:7" x14ac:dyDescent="0.3">
      <c r="A522" t="s">
        <v>433</v>
      </c>
      <c r="B522" t="s">
        <v>233</v>
      </c>
      <c r="C522">
        <v>27</v>
      </c>
      <c r="D522" s="1">
        <v>45858</v>
      </c>
      <c r="E522">
        <v>30800</v>
      </c>
      <c r="F522" t="s">
        <v>584</v>
      </c>
      <c r="G522">
        <v>681</v>
      </c>
    </row>
    <row r="523" spans="1:7" x14ac:dyDescent="0.3">
      <c r="A523" t="s">
        <v>433</v>
      </c>
      <c r="B523" t="s">
        <v>310</v>
      </c>
      <c r="C523">
        <v>27</v>
      </c>
      <c r="D523" s="1">
        <v>45858</v>
      </c>
      <c r="E523">
        <v>7700</v>
      </c>
      <c r="F523" t="s">
        <v>588</v>
      </c>
      <c r="G523">
        <v>727</v>
      </c>
    </row>
    <row r="524" spans="1:7" x14ac:dyDescent="0.3">
      <c r="A524" t="s">
        <v>433</v>
      </c>
      <c r="B524" t="s">
        <v>309</v>
      </c>
      <c r="C524">
        <v>27</v>
      </c>
      <c r="D524" s="1">
        <v>45859</v>
      </c>
      <c r="E524">
        <v>7700</v>
      </c>
      <c r="F524" t="s">
        <v>591</v>
      </c>
      <c r="G524">
        <v>638</v>
      </c>
    </row>
    <row r="525" spans="1:7" x14ac:dyDescent="0.3">
      <c r="A525" t="s">
        <v>433</v>
      </c>
      <c r="B525" t="s">
        <v>229</v>
      </c>
      <c r="C525">
        <v>27</v>
      </c>
      <c r="D525" s="1">
        <v>45856</v>
      </c>
      <c r="E525">
        <v>7700</v>
      </c>
      <c r="F525" t="s">
        <v>600</v>
      </c>
      <c r="G525">
        <v>656</v>
      </c>
    </row>
    <row r="526" spans="1:7" x14ac:dyDescent="0.3">
      <c r="A526" t="s">
        <v>433</v>
      </c>
      <c r="B526" t="s">
        <v>309</v>
      </c>
      <c r="C526">
        <v>27</v>
      </c>
      <c r="D526" s="1">
        <v>45859</v>
      </c>
      <c r="E526">
        <v>7700</v>
      </c>
      <c r="F526" t="s">
        <v>606</v>
      </c>
      <c r="G526">
        <v>812</v>
      </c>
    </row>
    <row r="527" spans="1:7" x14ac:dyDescent="0.3">
      <c r="A527" t="s">
        <v>433</v>
      </c>
      <c r="B527" t="s">
        <v>231</v>
      </c>
      <c r="C527">
        <v>27</v>
      </c>
      <c r="D527" s="1">
        <v>45859</v>
      </c>
      <c r="E527">
        <v>7700</v>
      </c>
      <c r="F527" t="s">
        <v>613</v>
      </c>
      <c r="G527">
        <v>636</v>
      </c>
    </row>
    <row r="528" spans="1:7" x14ac:dyDescent="0.3">
      <c r="A528" t="s">
        <v>433</v>
      </c>
      <c r="B528" t="s">
        <v>310</v>
      </c>
      <c r="C528">
        <v>27</v>
      </c>
      <c r="D528" s="1">
        <v>45859</v>
      </c>
      <c r="E528">
        <v>256300</v>
      </c>
      <c r="F528" t="s">
        <v>624</v>
      </c>
      <c r="G528">
        <v>627</v>
      </c>
    </row>
    <row r="529" spans="1:7" x14ac:dyDescent="0.3">
      <c r="A529" t="s">
        <v>433</v>
      </c>
      <c r="B529" t="s">
        <v>310</v>
      </c>
      <c r="C529">
        <v>27</v>
      </c>
      <c r="D529" s="1">
        <v>45857</v>
      </c>
      <c r="E529">
        <v>7700</v>
      </c>
      <c r="F529" t="s">
        <v>627</v>
      </c>
      <c r="G529">
        <v>649</v>
      </c>
    </row>
    <row r="530" spans="1:7" x14ac:dyDescent="0.3">
      <c r="A530" t="s">
        <v>433</v>
      </c>
      <c r="B530" t="s">
        <v>309</v>
      </c>
      <c r="C530">
        <v>27</v>
      </c>
      <c r="D530" s="1">
        <v>45858</v>
      </c>
      <c r="E530">
        <v>7700</v>
      </c>
      <c r="F530" t="s">
        <v>628</v>
      </c>
      <c r="G530">
        <v>610</v>
      </c>
    </row>
    <row r="531" spans="1:7" x14ac:dyDescent="0.3">
      <c r="A531" t="s">
        <v>433</v>
      </c>
      <c r="B531" t="s">
        <v>309</v>
      </c>
      <c r="C531">
        <v>27</v>
      </c>
      <c r="D531" s="1">
        <v>45857</v>
      </c>
      <c r="E531">
        <v>7700</v>
      </c>
      <c r="F531" t="s">
        <v>633</v>
      </c>
      <c r="G531">
        <v>643</v>
      </c>
    </row>
    <row r="532" spans="1:7" x14ac:dyDescent="0.3">
      <c r="A532" t="s">
        <v>433</v>
      </c>
      <c r="B532" t="s">
        <v>309</v>
      </c>
      <c r="C532">
        <v>27</v>
      </c>
      <c r="D532" s="1">
        <v>45857</v>
      </c>
      <c r="E532">
        <v>66000</v>
      </c>
      <c r="F532" t="s">
        <v>639</v>
      </c>
      <c r="G532">
        <v>600</v>
      </c>
    </row>
    <row r="533" spans="1:7" x14ac:dyDescent="0.3">
      <c r="A533" t="s">
        <v>433</v>
      </c>
      <c r="B533" t="s">
        <v>314</v>
      </c>
      <c r="C533">
        <v>27</v>
      </c>
      <c r="D533" s="1">
        <v>45858</v>
      </c>
      <c r="E533">
        <v>0</v>
      </c>
      <c r="F533" t="s">
        <v>640</v>
      </c>
      <c r="G533">
        <v>598</v>
      </c>
    </row>
    <row r="534" spans="1:7" x14ac:dyDescent="0.3">
      <c r="A534" t="s">
        <v>433</v>
      </c>
      <c r="B534" t="s">
        <v>230</v>
      </c>
      <c r="C534">
        <v>27</v>
      </c>
      <c r="D534" s="1">
        <v>45858</v>
      </c>
      <c r="E534">
        <v>7700</v>
      </c>
      <c r="F534" t="s">
        <v>645</v>
      </c>
      <c r="G534">
        <v>586</v>
      </c>
    </row>
    <row r="535" spans="1:7" x14ac:dyDescent="0.3">
      <c r="A535" t="s">
        <v>433</v>
      </c>
      <c r="B535" t="s">
        <v>309</v>
      </c>
      <c r="C535">
        <v>27</v>
      </c>
      <c r="D535" s="1">
        <v>45857</v>
      </c>
      <c r="E535">
        <v>20900</v>
      </c>
      <c r="F535" t="s">
        <v>658</v>
      </c>
      <c r="G535">
        <v>577</v>
      </c>
    </row>
    <row r="536" spans="1:7" x14ac:dyDescent="0.3">
      <c r="A536" t="s">
        <v>433</v>
      </c>
      <c r="B536" t="s">
        <v>233</v>
      </c>
      <c r="C536">
        <v>27</v>
      </c>
      <c r="D536" s="1">
        <v>45858</v>
      </c>
      <c r="E536">
        <v>7700</v>
      </c>
      <c r="F536" t="s">
        <v>677</v>
      </c>
      <c r="G536">
        <v>597</v>
      </c>
    </row>
    <row r="537" spans="1:7" x14ac:dyDescent="0.3">
      <c r="A537" t="s">
        <v>433</v>
      </c>
      <c r="B537" t="s">
        <v>228</v>
      </c>
      <c r="C537">
        <v>27</v>
      </c>
      <c r="D537" s="1">
        <v>45857</v>
      </c>
      <c r="E537">
        <v>7700</v>
      </c>
      <c r="F537" t="s">
        <v>693</v>
      </c>
      <c r="G537">
        <v>545</v>
      </c>
    </row>
    <row r="538" spans="1:7" x14ac:dyDescent="0.3">
      <c r="A538" t="s">
        <v>433</v>
      </c>
      <c r="B538" t="s">
        <v>233</v>
      </c>
      <c r="C538">
        <v>27</v>
      </c>
      <c r="D538" s="1">
        <v>45857</v>
      </c>
      <c r="E538">
        <v>0</v>
      </c>
      <c r="F538" t="s">
        <v>697</v>
      </c>
      <c r="G538">
        <v>553</v>
      </c>
    </row>
    <row r="539" spans="1:7" x14ac:dyDescent="0.3">
      <c r="A539" t="s">
        <v>433</v>
      </c>
      <c r="B539" t="s">
        <v>310</v>
      </c>
      <c r="C539">
        <v>27</v>
      </c>
      <c r="D539" s="1">
        <v>45857</v>
      </c>
      <c r="E539">
        <v>7700</v>
      </c>
      <c r="F539" t="s">
        <v>698</v>
      </c>
      <c r="G539">
        <v>529</v>
      </c>
    </row>
    <row r="540" spans="1:7" x14ac:dyDescent="0.3">
      <c r="A540" t="s">
        <v>433</v>
      </c>
      <c r="B540" t="s">
        <v>233</v>
      </c>
      <c r="C540">
        <v>27</v>
      </c>
      <c r="D540" s="1">
        <v>45857</v>
      </c>
      <c r="E540">
        <v>14300</v>
      </c>
      <c r="F540" t="s">
        <v>702</v>
      </c>
      <c r="G540">
        <v>534</v>
      </c>
    </row>
    <row r="541" spans="1:7" x14ac:dyDescent="0.3">
      <c r="A541" t="s">
        <v>433</v>
      </c>
      <c r="B541" t="s">
        <v>230</v>
      </c>
      <c r="C541">
        <v>27</v>
      </c>
      <c r="D541" s="1">
        <v>45857</v>
      </c>
      <c r="E541">
        <v>0</v>
      </c>
      <c r="F541" t="s">
        <v>709</v>
      </c>
      <c r="G541">
        <v>541</v>
      </c>
    </row>
    <row r="542" spans="1:7" x14ac:dyDescent="0.3">
      <c r="A542" t="s">
        <v>433</v>
      </c>
      <c r="B542" t="s">
        <v>226</v>
      </c>
      <c r="C542">
        <v>27</v>
      </c>
      <c r="D542" s="1">
        <v>45856</v>
      </c>
      <c r="E542">
        <v>7700</v>
      </c>
      <c r="F542" t="s">
        <v>724</v>
      </c>
      <c r="G542">
        <v>604</v>
      </c>
    </row>
    <row r="543" spans="1:7" x14ac:dyDescent="0.3">
      <c r="A543" t="s">
        <v>433</v>
      </c>
      <c r="B543" t="s">
        <v>236</v>
      </c>
      <c r="C543">
        <v>27</v>
      </c>
      <c r="D543" s="1">
        <v>45857</v>
      </c>
      <c r="E543">
        <v>29700</v>
      </c>
      <c r="F543" t="s">
        <v>736</v>
      </c>
      <c r="G543">
        <v>501</v>
      </c>
    </row>
    <row r="544" spans="1:7" x14ac:dyDescent="0.3">
      <c r="A544" t="s">
        <v>433</v>
      </c>
      <c r="B544" t="s">
        <v>231</v>
      </c>
      <c r="C544">
        <v>27</v>
      </c>
      <c r="D544" s="1">
        <v>45857</v>
      </c>
      <c r="E544">
        <v>68200</v>
      </c>
      <c r="F544" t="s">
        <v>739</v>
      </c>
      <c r="G544">
        <v>553</v>
      </c>
    </row>
    <row r="545" spans="1:7" x14ac:dyDescent="0.3">
      <c r="A545" t="s">
        <v>433</v>
      </c>
      <c r="B545" t="s">
        <v>310</v>
      </c>
      <c r="C545">
        <v>27</v>
      </c>
      <c r="D545" s="1">
        <v>45856</v>
      </c>
      <c r="E545">
        <v>27500</v>
      </c>
      <c r="F545" t="s">
        <v>744</v>
      </c>
      <c r="G545">
        <v>494</v>
      </c>
    </row>
    <row r="546" spans="1:7" x14ac:dyDescent="0.3">
      <c r="A546" t="s">
        <v>433</v>
      </c>
      <c r="B546" t="s">
        <v>310</v>
      </c>
      <c r="C546">
        <v>27</v>
      </c>
      <c r="D546" s="1">
        <v>45856</v>
      </c>
      <c r="E546">
        <v>40700</v>
      </c>
      <c r="F546" t="s">
        <v>746</v>
      </c>
      <c r="G546">
        <v>491</v>
      </c>
    </row>
    <row r="547" spans="1:7" x14ac:dyDescent="0.3">
      <c r="A547" t="s">
        <v>433</v>
      </c>
      <c r="B547" t="s">
        <v>229</v>
      </c>
      <c r="C547">
        <v>27</v>
      </c>
      <c r="D547" s="1">
        <v>45856</v>
      </c>
      <c r="E547">
        <v>0</v>
      </c>
      <c r="F547" t="s">
        <v>756</v>
      </c>
      <c r="G547">
        <v>480</v>
      </c>
    </row>
    <row r="548" spans="1:7" x14ac:dyDescent="0.3">
      <c r="A548" t="s">
        <v>433</v>
      </c>
      <c r="B548" t="s">
        <v>310</v>
      </c>
      <c r="C548">
        <v>27</v>
      </c>
      <c r="D548" s="1">
        <v>45856</v>
      </c>
      <c r="E548">
        <v>7700</v>
      </c>
      <c r="F548" t="s">
        <v>772</v>
      </c>
      <c r="G548">
        <v>476</v>
      </c>
    </row>
    <row r="549" spans="1:7" x14ac:dyDescent="0.3">
      <c r="A549" t="s">
        <v>433</v>
      </c>
      <c r="B549" t="s">
        <v>233</v>
      </c>
      <c r="C549">
        <v>27</v>
      </c>
      <c r="D549" s="1">
        <v>45856</v>
      </c>
      <c r="E549">
        <v>7700</v>
      </c>
      <c r="F549" t="s">
        <v>776</v>
      </c>
      <c r="G549">
        <v>472</v>
      </c>
    </row>
    <row r="550" spans="1:7" x14ac:dyDescent="0.3">
      <c r="A550" t="s">
        <v>433</v>
      </c>
      <c r="B550" t="s">
        <v>231</v>
      </c>
      <c r="C550">
        <v>27</v>
      </c>
      <c r="D550" s="1">
        <v>45856</v>
      </c>
      <c r="E550">
        <v>40700</v>
      </c>
      <c r="F550" t="s">
        <v>777</v>
      </c>
      <c r="G550">
        <v>487</v>
      </c>
    </row>
    <row r="551" spans="1:7" x14ac:dyDescent="0.3">
      <c r="A551" t="s">
        <v>433</v>
      </c>
      <c r="B551" t="s">
        <v>236</v>
      </c>
      <c r="C551">
        <v>27</v>
      </c>
      <c r="D551" s="1">
        <v>45856</v>
      </c>
      <c r="E551">
        <v>89100</v>
      </c>
      <c r="F551" t="s">
        <v>781</v>
      </c>
      <c r="G551">
        <v>468</v>
      </c>
    </row>
    <row r="552" spans="1:7" x14ac:dyDescent="0.3">
      <c r="A552" t="s">
        <v>433</v>
      </c>
      <c r="B552" t="s">
        <v>233</v>
      </c>
      <c r="C552">
        <v>27</v>
      </c>
      <c r="D552" s="1">
        <v>45855</v>
      </c>
      <c r="E552">
        <v>7700</v>
      </c>
      <c r="F552" t="s">
        <v>807</v>
      </c>
      <c r="G552">
        <v>430</v>
      </c>
    </row>
    <row r="553" spans="1:7" x14ac:dyDescent="0.3">
      <c r="A553" t="s">
        <v>433</v>
      </c>
      <c r="B553" t="s">
        <v>309</v>
      </c>
      <c r="C553">
        <v>27</v>
      </c>
      <c r="D553" s="1">
        <v>45855</v>
      </c>
      <c r="E553">
        <v>11000</v>
      </c>
      <c r="F553" t="s">
        <v>808</v>
      </c>
      <c r="G553">
        <v>465</v>
      </c>
    </row>
    <row r="554" spans="1:7" x14ac:dyDescent="0.3">
      <c r="A554" t="s">
        <v>433</v>
      </c>
      <c r="B554" t="s">
        <v>224</v>
      </c>
      <c r="C554">
        <v>27</v>
      </c>
      <c r="D554" s="1">
        <v>45855</v>
      </c>
      <c r="E554">
        <v>242000</v>
      </c>
      <c r="F554" t="s">
        <v>809</v>
      </c>
      <c r="G554">
        <v>428</v>
      </c>
    </row>
    <row r="555" spans="1:7" x14ac:dyDescent="0.3">
      <c r="A555" t="s">
        <v>433</v>
      </c>
      <c r="B555" t="s">
        <v>229</v>
      </c>
      <c r="C555">
        <v>27</v>
      </c>
      <c r="D555" s="1">
        <v>45854</v>
      </c>
      <c r="E555">
        <v>14300</v>
      </c>
      <c r="F555" t="s">
        <v>822</v>
      </c>
      <c r="G555">
        <v>431</v>
      </c>
    </row>
    <row r="556" spans="1:7" x14ac:dyDescent="0.3">
      <c r="A556" t="s">
        <v>433</v>
      </c>
      <c r="B556" t="s">
        <v>311</v>
      </c>
      <c r="C556">
        <v>27</v>
      </c>
      <c r="D556" s="1">
        <v>45854</v>
      </c>
      <c r="E556">
        <v>113300</v>
      </c>
      <c r="F556">
        <v>13453</v>
      </c>
      <c r="G556">
        <v>398</v>
      </c>
    </row>
    <row r="557" spans="1:7" x14ac:dyDescent="0.3">
      <c r="A557" t="s">
        <v>433</v>
      </c>
      <c r="B557" t="s">
        <v>310</v>
      </c>
      <c r="C557">
        <v>27</v>
      </c>
      <c r="D557" s="1">
        <v>45855</v>
      </c>
      <c r="E557">
        <v>0</v>
      </c>
      <c r="F557" t="s">
        <v>837</v>
      </c>
      <c r="G557">
        <v>396</v>
      </c>
    </row>
    <row r="558" spans="1:7" x14ac:dyDescent="0.3">
      <c r="A558" t="s">
        <v>433</v>
      </c>
      <c r="B558" t="s">
        <v>310</v>
      </c>
      <c r="C558">
        <v>27</v>
      </c>
      <c r="D558" s="1">
        <v>45854</v>
      </c>
      <c r="E558">
        <v>62700</v>
      </c>
      <c r="F558" t="s">
        <v>846</v>
      </c>
      <c r="G558">
        <v>376</v>
      </c>
    </row>
    <row r="559" spans="1:7" x14ac:dyDescent="0.3">
      <c r="A559" t="s">
        <v>433</v>
      </c>
      <c r="B559" t="s">
        <v>436</v>
      </c>
      <c r="C559">
        <v>27</v>
      </c>
      <c r="D559" s="1">
        <v>45854</v>
      </c>
      <c r="E559">
        <v>7700</v>
      </c>
      <c r="F559" t="s">
        <v>849</v>
      </c>
      <c r="G559">
        <v>417</v>
      </c>
    </row>
    <row r="560" spans="1:7" x14ac:dyDescent="0.3">
      <c r="A560" t="s">
        <v>433</v>
      </c>
      <c r="B560" t="s">
        <v>233</v>
      </c>
      <c r="C560">
        <v>27</v>
      </c>
      <c r="D560" s="1">
        <v>45854</v>
      </c>
      <c r="E560">
        <v>7700</v>
      </c>
      <c r="F560" t="s">
        <v>865</v>
      </c>
      <c r="G560">
        <v>372</v>
      </c>
    </row>
    <row r="561" spans="1:7" x14ac:dyDescent="0.3">
      <c r="A561" t="s">
        <v>433</v>
      </c>
      <c r="B561" t="s">
        <v>311</v>
      </c>
      <c r="C561">
        <v>27</v>
      </c>
      <c r="D561" s="1">
        <v>45854</v>
      </c>
      <c r="E561">
        <v>7700</v>
      </c>
      <c r="F561" t="s">
        <v>890</v>
      </c>
      <c r="G561">
        <v>348</v>
      </c>
    </row>
    <row r="562" spans="1:7" x14ac:dyDescent="0.3">
      <c r="A562" t="s">
        <v>433</v>
      </c>
      <c r="B562" t="s">
        <v>311</v>
      </c>
      <c r="C562">
        <v>27</v>
      </c>
      <c r="D562" s="1">
        <v>45854</v>
      </c>
      <c r="E562">
        <v>7700</v>
      </c>
      <c r="F562" t="s">
        <v>893</v>
      </c>
      <c r="G562">
        <v>330</v>
      </c>
    </row>
    <row r="563" spans="1:7" x14ac:dyDescent="0.3">
      <c r="A563" t="s">
        <v>433</v>
      </c>
      <c r="B563" t="s">
        <v>309</v>
      </c>
      <c r="C563">
        <v>27</v>
      </c>
      <c r="D563" s="1">
        <v>45853</v>
      </c>
      <c r="E563">
        <v>22000</v>
      </c>
      <c r="F563" t="s">
        <v>901</v>
      </c>
      <c r="G563">
        <v>330</v>
      </c>
    </row>
    <row r="564" spans="1:7" x14ac:dyDescent="0.3">
      <c r="A564" t="s">
        <v>433</v>
      </c>
      <c r="B564" t="s">
        <v>231</v>
      </c>
      <c r="C564">
        <v>28</v>
      </c>
      <c r="D564" s="1">
        <v>45858</v>
      </c>
      <c r="E564">
        <v>7700</v>
      </c>
      <c r="F564" t="s">
        <v>451</v>
      </c>
      <c r="G564">
        <v>773</v>
      </c>
    </row>
    <row r="565" spans="1:7" x14ac:dyDescent="0.3">
      <c r="A565" t="s">
        <v>433</v>
      </c>
      <c r="B565" t="s">
        <v>231</v>
      </c>
      <c r="C565">
        <v>28</v>
      </c>
      <c r="D565" s="1">
        <v>45860</v>
      </c>
      <c r="E565">
        <v>7700</v>
      </c>
      <c r="F565" t="s">
        <v>454</v>
      </c>
      <c r="G565">
        <v>770</v>
      </c>
    </row>
    <row r="566" spans="1:7" x14ac:dyDescent="0.3">
      <c r="A566" t="s">
        <v>433</v>
      </c>
      <c r="B566" t="s">
        <v>236</v>
      </c>
      <c r="C566">
        <v>28</v>
      </c>
      <c r="D566" s="1">
        <v>45859</v>
      </c>
      <c r="E566">
        <v>7700</v>
      </c>
      <c r="F566" t="s">
        <v>455</v>
      </c>
      <c r="G566">
        <v>770</v>
      </c>
    </row>
    <row r="567" spans="1:7" x14ac:dyDescent="0.3">
      <c r="A567" t="s">
        <v>433</v>
      </c>
      <c r="B567" t="s">
        <v>231</v>
      </c>
      <c r="C567">
        <v>28</v>
      </c>
      <c r="D567" s="1">
        <v>45858</v>
      </c>
      <c r="E567">
        <v>7700</v>
      </c>
      <c r="F567" t="s">
        <v>457</v>
      </c>
      <c r="G567">
        <v>841</v>
      </c>
    </row>
    <row r="568" spans="1:7" x14ac:dyDescent="0.3">
      <c r="A568" t="s">
        <v>433</v>
      </c>
      <c r="B568" t="s">
        <v>230</v>
      </c>
      <c r="C568">
        <v>28</v>
      </c>
      <c r="D568" s="1">
        <v>45859</v>
      </c>
      <c r="E568">
        <v>48400</v>
      </c>
      <c r="F568" t="s">
        <v>509</v>
      </c>
      <c r="G568">
        <v>728</v>
      </c>
    </row>
    <row r="569" spans="1:7" x14ac:dyDescent="0.3">
      <c r="A569" t="s">
        <v>433</v>
      </c>
      <c r="B569" t="s">
        <v>309</v>
      </c>
      <c r="C569">
        <v>28</v>
      </c>
      <c r="D569" s="1">
        <v>45859</v>
      </c>
      <c r="E569">
        <v>7700</v>
      </c>
      <c r="F569" t="s">
        <v>536</v>
      </c>
      <c r="G569">
        <v>769</v>
      </c>
    </row>
    <row r="570" spans="1:7" x14ac:dyDescent="0.3">
      <c r="A570" t="s">
        <v>433</v>
      </c>
      <c r="B570" t="s">
        <v>309</v>
      </c>
      <c r="C570">
        <v>28</v>
      </c>
      <c r="D570" s="1">
        <v>45857</v>
      </c>
      <c r="E570">
        <v>7700</v>
      </c>
      <c r="F570" t="s">
        <v>552</v>
      </c>
      <c r="G570">
        <v>681</v>
      </c>
    </row>
    <row r="571" spans="1:7" x14ac:dyDescent="0.3">
      <c r="A571" t="s">
        <v>433</v>
      </c>
      <c r="B571" t="s">
        <v>309</v>
      </c>
      <c r="C571">
        <v>28</v>
      </c>
      <c r="D571" s="1">
        <v>45858</v>
      </c>
      <c r="E571">
        <v>7700</v>
      </c>
      <c r="F571" t="s">
        <v>557</v>
      </c>
      <c r="G571">
        <v>682</v>
      </c>
    </row>
    <row r="572" spans="1:7" x14ac:dyDescent="0.3">
      <c r="A572" t="s">
        <v>433</v>
      </c>
      <c r="B572" t="s">
        <v>235</v>
      </c>
      <c r="C572">
        <v>28</v>
      </c>
      <c r="D572" s="1">
        <v>45858</v>
      </c>
      <c r="E572">
        <v>7700</v>
      </c>
      <c r="F572" t="s">
        <v>564</v>
      </c>
      <c r="G572">
        <v>676</v>
      </c>
    </row>
    <row r="573" spans="1:7" x14ac:dyDescent="0.3">
      <c r="A573" t="s">
        <v>433</v>
      </c>
      <c r="B573" t="s">
        <v>310</v>
      </c>
      <c r="C573">
        <v>28</v>
      </c>
      <c r="D573" s="1">
        <v>45858</v>
      </c>
      <c r="E573">
        <v>7700</v>
      </c>
      <c r="F573" t="s">
        <v>569</v>
      </c>
      <c r="G573">
        <v>671</v>
      </c>
    </row>
    <row r="574" spans="1:7" x14ac:dyDescent="0.3">
      <c r="A574" t="s">
        <v>433</v>
      </c>
      <c r="B574" t="s">
        <v>434</v>
      </c>
      <c r="C574">
        <v>28</v>
      </c>
      <c r="D574" s="1">
        <v>45858</v>
      </c>
      <c r="E574">
        <v>18700</v>
      </c>
      <c r="F574" t="s">
        <v>582</v>
      </c>
      <c r="G574">
        <v>675</v>
      </c>
    </row>
    <row r="575" spans="1:7" x14ac:dyDescent="0.3">
      <c r="A575" t="s">
        <v>433</v>
      </c>
      <c r="B575" t="s">
        <v>231</v>
      </c>
      <c r="C575">
        <v>28</v>
      </c>
      <c r="D575" s="1">
        <v>45858</v>
      </c>
      <c r="E575">
        <v>62700</v>
      </c>
      <c r="F575" t="s">
        <v>587</v>
      </c>
      <c r="G575">
        <v>646</v>
      </c>
    </row>
    <row r="576" spans="1:7" x14ac:dyDescent="0.3">
      <c r="A576" t="s">
        <v>433</v>
      </c>
      <c r="B576" t="s">
        <v>310</v>
      </c>
      <c r="C576">
        <v>28</v>
      </c>
      <c r="D576" s="1">
        <v>45858</v>
      </c>
      <c r="E576">
        <v>7700</v>
      </c>
      <c r="F576" t="s">
        <v>590</v>
      </c>
      <c r="G576">
        <v>641</v>
      </c>
    </row>
    <row r="577" spans="1:7" x14ac:dyDescent="0.3">
      <c r="A577" t="s">
        <v>433</v>
      </c>
      <c r="B577" t="s">
        <v>231</v>
      </c>
      <c r="C577">
        <v>28</v>
      </c>
      <c r="D577" s="1">
        <v>45858</v>
      </c>
      <c r="E577">
        <v>7700</v>
      </c>
      <c r="F577" t="s">
        <v>595</v>
      </c>
      <c r="G577">
        <v>635</v>
      </c>
    </row>
    <row r="578" spans="1:7" x14ac:dyDescent="0.3">
      <c r="A578" t="s">
        <v>433</v>
      </c>
      <c r="B578" t="s">
        <v>235</v>
      </c>
      <c r="C578">
        <v>28</v>
      </c>
      <c r="D578" s="1">
        <v>45858</v>
      </c>
      <c r="E578">
        <v>7700</v>
      </c>
      <c r="F578" t="s">
        <v>596</v>
      </c>
      <c r="G578">
        <v>718</v>
      </c>
    </row>
    <row r="579" spans="1:7" x14ac:dyDescent="0.3">
      <c r="A579" t="s">
        <v>433</v>
      </c>
      <c r="B579" t="s">
        <v>310</v>
      </c>
      <c r="C579">
        <v>28</v>
      </c>
      <c r="D579" s="1">
        <v>45858</v>
      </c>
      <c r="E579">
        <v>7700</v>
      </c>
      <c r="F579" t="s">
        <v>599</v>
      </c>
      <c r="G579">
        <v>632</v>
      </c>
    </row>
    <row r="580" spans="1:7" x14ac:dyDescent="0.3">
      <c r="A580" t="s">
        <v>433</v>
      </c>
      <c r="B580" t="s">
        <v>226</v>
      </c>
      <c r="C580">
        <v>28</v>
      </c>
      <c r="D580" s="1">
        <v>45858</v>
      </c>
      <c r="E580">
        <v>7700</v>
      </c>
      <c r="F580" t="s">
        <v>601</v>
      </c>
      <c r="G580">
        <v>609</v>
      </c>
    </row>
    <row r="581" spans="1:7" x14ac:dyDescent="0.3">
      <c r="A581" t="s">
        <v>433</v>
      </c>
      <c r="B581" t="s">
        <v>231</v>
      </c>
      <c r="C581">
        <v>28</v>
      </c>
      <c r="D581" s="1">
        <v>45858</v>
      </c>
      <c r="E581">
        <v>16500</v>
      </c>
      <c r="F581" t="s">
        <v>605</v>
      </c>
      <c r="G581">
        <v>677</v>
      </c>
    </row>
    <row r="582" spans="1:7" x14ac:dyDescent="0.3">
      <c r="A582" t="s">
        <v>433</v>
      </c>
      <c r="B582" t="s">
        <v>309</v>
      </c>
      <c r="C582">
        <v>28</v>
      </c>
      <c r="D582" s="1">
        <v>45857</v>
      </c>
      <c r="E582">
        <v>18700</v>
      </c>
      <c r="F582" t="s">
        <v>608</v>
      </c>
      <c r="G582">
        <v>650</v>
      </c>
    </row>
    <row r="583" spans="1:7" x14ac:dyDescent="0.3">
      <c r="A583" t="s">
        <v>433</v>
      </c>
      <c r="B583" t="s">
        <v>309</v>
      </c>
      <c r="C583">
        <v>28</v>
      </c>
      <c r="D583" s="1">
        <v>45858</v>
      </c>
      <c r="E583">
        <v>7700</v>
      </c>
      <c r="F583" t="s">
        <v>617</v>
      </c>
      <c r="G583">
        <v>688</v>
      </c>
    </row>
    <row r="584" spans="1:7" x14ac:dyDescent="0.3">
      <c r="A584" t="s">
        <v>433</v>
      </c>
      <c r="B584" t="s">
        <v>309</v>
      </c>
      <c r="C584">
        <v>28</v>
      </c>
      <c r="D584" s="1">
        <v>45857</v>
      </c>
      <c r="E584">
        <v>7700</v>
      </c>
      <c r="F584" t="s">
        <v>618</v>
      </c>
      <c r="G584">
        <v>655</v>
      </c>
    </row>
    <row r="585" spans="1:7" x14ac:dyDescent="0.3">
      <c r="A585" t="s">
        <v>433</v>
      </c>
      <c r="B585" t="s">
        <v>309</v>
      </c>
      <c r="C585">
        <v>28</v>
      </c>
      <c r="D585" s="1">
        <v>45856</v>
      </c>
      <c r="E585">
        <v>7700</v>
      </c>
      <c r="F585" t="s">
        <v>622</v>
      </c>
      <c r="G585">
        <v>653</v>
      </c>
    </row>
    <row r="586" spans="1:7" x14ac:dyDescent="0.3">
      <c r="A586" t="s">
        <v>433</v>
      </c>
      <c r="B586" t="s">
        <v>234</v>
      </c>
      <c r="C586">
        <v>28</v>
      </c>
      <c r="D586" s="1">
        <v>45856</v>
      </c>
      <c r="E586">
        <v>29700</v>
      </c>
      <c r="F586" t="s">
        <v>629</v>
      </c>
      <c r="G586">
        <v>625</v>
      </c>
    </row>
    <row r="587" spans="1:7" x14ac:dyDescent="0.3">
      <c r="A587" t="s">
        <v>433</v>
      </c>
      <c r="B587" t="s">
        <v>311</v>
      </c>
      <c r="C587">
        <v>28</v>
      </c>
      <c r="D587" s="1">
        <v>45856</v>
      </c>
      <c r="E587">
        <v>36300</v>
      </c>
      <c r="F587" t="s">
        <v>651</v>
      </c>
      <c r="G587">
        <v>582</v>
      </c>
    </row>
    <row r="588" spans="1:7" x14ac:dyDescent="0.3">
      <c r="A588" t="s">
        <v>433</v>
      </c>
      <c r="B588" t="s">
        <v>233</v>
      </c>
      <c r="C588">
        <v>28</v>
      </c>
      <c r="D588" s="1">
        <v>45856</v>
      </c>
      <c r="E588">
        <v>7700</v>
      </c>
      <c r="F588" t="s">
        <v>653</v>
      </c>
      <c r="G588">
        <v>592</v>
      </c>
    </row>
    <row r="589" spans="1:7" x14ac:dyDescent="0.3">
      <c r="A589" t="s">
        <v>433</v>
      </c>
      <c r="B589" t="s">
        <v>233</v>
      </c>
      <c r="C589">
        <v>28</v>
      </c>
      <c r="D589" s="1">
        <v>45856</v>
      </c>
      <c r="E589">
        <v>7700</v>
      </c>
      <c r="F589" t="s">
        <v>673</v>
      </c>
      <c r="G589">
        <v>568</v>
      </c>
    </row>
    <row r="590" spans="1:7" x14ac:dyDescent="0.3">
      <c r="A590" t="s">
        <v>433</v>
      </c>
      <c r="B590" t="s">
        <v>230</v>
      </c>
      <c r="C590">
        <v>28</v>
      </c>
      <c r="D590" s="1">
        <v>45856</v>
      </c>
      <c r="E590">
        <v>7700</v>
      </c>
      <c r="F590" t="s">
        <v>680</v>
      </c>
      <c r="G590">
        <v>681</v>
      </c>
    </row>
    <row r="591" spans="1:7" x14ac:dyDescent="0.3">
      <c r="A591" t="s">
        <v>433</v>
      </c>
      <c r="B591" t="s">
        <v>435</v>
      </c>
      <c r="C591">
        <v>28</v>
      </c>
      <c r="D591" s="1">
        <v>45856</v>
      </c>
      <c r="E591">
        <v>7700</v>
      </c>
      <c r="F591" t="s">
        <v>713</v>
      </c>
      <c r="G591">
        <v>516</v>
      </c>
    </row>
    <row r="592" spans="1:7" x14ac:dyDescent="0.3">
      <c r="A592" t="s">
        <v>433</v>
      </c>
      <c r="B592" t="s">
        <v>309</v>
      </c>
      <c r="C592">
        <v>28</v>
      </c>
      <c r="D592" s="1">
        <v>45856</v>
      </c>
      <c r="E592">
        <v>93500</v>
      </c>
      <c r="F592" t="s">
        <v>718</v>
      </c>
      <c r="G592">
        <v>513</v>
      </c>
    </row>
    <row r="593" spans="1:7" x14ac:dyDescent="0.3">
      <c r="A593" t="s">
        <v>433</v>
      </c>
      <c r="B593" t="s">
        <v>231</v>
      </c>
      <c r="C593">
        <v>28</v>
      </c>
      <c r="D593" s="1">
        <v>45856</v>
      </c>
      <c r="E593">
        <v>7700</v>
      </c>
      <c r="F593" t="s">
        <v>725</v>
      </c>
      <c r="G593">
        <v>529</v>
      </c>
    </row>
    <row r="594" spans="1:7" x14ac:dyDescent="0.3">
      <c r="A594" t="s">
        <v>433</v>
      </c>
      <c r="B594" t="s">
        <v>231</v>
      </c>
      <c r="C594">
        <v>28</v>
      </c>
      <c r="D594" s="1">
        <v>45856</v>
      </c>
      <c r="E594">
        <v>7700</v>
      </c>
      <c r="F594" t="s">
        <v>731</v>
      </c>
      <c r="G594">
        <v>525</v>
      </c>
    </row>
    <row r="595" spans="1:7" x14ac:dyDescent="0.3">
      <c r="A595" t="s">
        <v>433</v>
      </c>
      <c r="B595" t="s">
        <v>311</v>
      </c>
      <c r="C595">
        <v>28</v>
      </c>
      <c r="D595" s="1">
        <v>45855</v>
      </c>
      <c r="E595">
        <v>66000</v>
      </c>
      <c r="F595" t="s">
        <v>737</v>
      </c>
      <c r="G595">
        <v>528</v>
      </c>
    </row>
    <row r="596" spans="1:7" x14ac:dyDescent="0.3">
      <c r="A596" t="s">
        <v>433</v>
      </c>
      <c r="B596" t="s">
        <v>309</v>
      </c>
      <c r="C596">
        <v>28</v>
      </c>
      <c r="D596" s="1">
        <v>45855</v>
      </c>
      <c r="E596">
        <v>7700</v>
      </c>
      <c r="F596" t="s">
        <v>741</v>
      </c>
      <c r="G596">
        <v>528</v>
      </c>
    </row>
    <row r="597" spans="1:7" x14ac:dyDescent="0.3">
      <c r="A597" t="s">
        <v>433</v>
      </c>
      <c r="B597" t="s">
        <v>309</v>
      </c>
      <c r="C597">
        <v>28</v>
      </c>
      <c r="D597" s="1">
        <v>45855</v>
      </c>
      <c r="E597">
        <v>30800</v>
      </c>
      <c r="F597" t="s">
        <v>748</v>
      </c>
      <c r="G597">
        <v>508</v>
      </c>
    </row>
    <row r="598" spans="1:7" x14ac:dyDescent="0.3">
      <c r="A598" t="s">
        <v>433</v>
      </c>
      <c r="B598" t="s">
        <v>310</v>
      </c>
      <c r="C598">
        <v>28</v>
      </c>
      <c r="D598" s="1">
        <v>45855</v>
      </c>
      <c r="E598">
        <v>7700</v>
      </c>
      <c r="F598" t="s">
        <v>749</v>
      </c>
      <c r="G598">
        <v>489</v>
      </c>
    </row>
    <row r="599" spans="1:7" x14ac:dyDescent="0.3">
      <c r="A599" t="s">
        <v>433</v>
      </c>
      <c r="B599" t="s">
        <v>309</v>
      </c>
      <c r="C599">
        <v>28</v>
      </c>
      <c r="D599" s="1">
        <v>45855</v>
      </c>
      <c r="E599">
        <v>7700</v>
      </c>
      <c r="F599" t="s">
        <v>763</v>
      </c>
      <c r="G599">
        <v>496</v>
      </c>
    </row>
    <row r="600" spans="1:7" x14ac:dyDescent="0.3">
      <c r="A600" t="s">
        <v>433</v>
      </c>
      <c r="B600" t="s">
        <v>309</v>
      </c>
      <c r="C600">
        <v>28</v>
      </c>
      <c r="D600" s="1">
        <v>45856</v>
      </c>
      <c r="E600">
        <v>7700</v>
      </c>
      <c r="F600" t="s">
        <v>765</v>
      </c>
      <c r="G600">
        <v>469</v>
      </c>
    </row>
    <row r="601" spans="1:7" x14ac:dyDescent="0.3">
      <c r="A601" t="s">
        <v>433</v>
      </c>
      <c r="B601" t="s">
        <v>231</v>
      </c>
      <c r="C601">
        <v>28</v>
      </c>
      <c r="D601" s="1">
        <v>45855</v>
      </c>
      <c r="E601">
        <v>7700</v>
      </c>
      <c r="F601" t="s">
        <v>767</v>
      </c>
      <c r="G601">
        <v>475</v>
      </c>
    </row>
    <row r="602" spans="1:7" x14ac:dyDescent="0.3">
      <c r="A602" t="s">
        <v>433</v>
      </c>
      <c r="B602" t="s">
        <v>224</v>
      </c>
      <c r="C602">
        <v>28</v>
      </c>
      <c r="D602" s="1">
        <v>45855</v>
      </c>
      <c r="E602">
        <v>29700</v>
      </c>
      <c r="F602" t="s">
        <v>768</v>
      </c>
      <c r="G602">
        <v>579</v>
      </c>
    </row>
    <row r="603" spans="1:7" x14ac:dyDescent="0.3">
      <c r="A603" t="s">
        <v>433</v>
      </c>
      <c r="B603" t="s">
        <v>311</v>
      </c>
      <c r="C603">
        <v>28</v>
      </c>
      <c r="D603" s="1">
        <v>45854</v>
      </c>
      <c r="E603">
        <v>33000</v>
      </c>
      <c r="F603" t="s">
        <v>769</v>
      </c>
      <c r="G603">
        <v>463</v>
      </c>
    </row>
    <row r="604" spans="1:7" x14ac:dyDescent="0.3">
      <c r="A604" t="s">
        <v>433</v>
      </c>
      <c r="B604" t="s">
        <v>309</v>
      </c>
      <c r="C604">
        <v>28</v>
      </c>
      <c r="D604" s="1">
        <v>45855</v>
      </c>
      <c r="E604">
        <v>7700</v>
      </c>
      <c r="F604" t="s">
        <v>774</v>
      </c>
      <c r="G604">
        <v>474</v>
      </c>
    </row>
    <row r="605" spans="1:7" x14ac:dyDescent="0.3">
      <c r="A605" t="s">
        <v>433</v>
      </c>
      <c r="B605" t="s">
        <v>309</v>
      </c>
      <c r="C605">
        <v>28</v>
      </c>
      <c r="D605" s="1">
        <v>45855</v>
      </c>
      <c r="E605">
        <v>7700</v>
      </c>
      <c r="F605" t="s">
        <v>775</v>
      </c>
      <c r="G605">
        <v>473</v>
      </c>
    </row>
    <row r="606" spans="1:7" x14ac:dyDescent="0.3">
      <c r="A606" t="s">
        <v>433</v>
      </c>
      <c r="B606" t="s">
        <v>310</v>
      </c>
      <c r="C606">
        <v>28</v>
      </c>
      <c r="D606" s="1">
        <v>45855</v>
      </c>
      <c r="E606">
        <v>0</v>
      </c>
      <c r="F606" t="s">
        <v>783</v>
      </c>
      <c r="G606">
        <v>454</v>
      </c>
    </row>
    <row r="607" spans="1:7" x14ac:dyDescent="0.3">
      <c r="A607" t="s">
        <v>433</v>
      </c>
      <c r="B607" t="s">
        <v>233</v>
      </c>
      <c r="C607">
        <v>28</v>
      </c>
      <c r="D607" s="1">
        <v>45855</v>
      </c>
      <c r="E607">
        <v>7700</v>
      </c>
      <c r="F607" t="s">
        <v>791</v>
      </c>
      <c r="G607">
        <v>479</v>
      </c>
    </row>
    <row r="608" spans="1:7" x14ac:dyDescent="0.3">
      <c r="A608" t="s">
        <v>433</v>
      </c>
      <c r="B608" t="s">
        <v>311</v>
      </c>
      <c r="C608">
        <v>28</v>
      </c>
      <c r="D608" s="1">
        <v>45854</v>
      </c>
      <c r="E608">
        <v>11000</v>
      </c>
      <c r="F608" t="s">
        <v>803</v>
      </c>
      <c r="G608">
        <v>450</v>
      </c>
    </row>
    <row r="609" spans="1:7" x14ac:dyDescent="0.3">
      <c r="A609" t="s">
        <v>433</v>
      </c>
      <c r="B609" t="s">
        <v>309</v>
      </c>
      <c r="C609">
        <v>28</v>
      </c>
      <c r="D609" s="1">
        <v>45854</v>
      </c>
      <c r="E609">
        <v>7700</v>
      </c>
      <c r="F609" t="s">
        <v>804</v>
      </c>
      <c r="G609">
        <v>448</v>
      </c>
    </row>
    <row r="610" spans="1:7" x14ac:dyDescent="0.3">
      <c r="A610" t="s">
        <v>433</v>
      </c>
      <c r="B610" t="s">
        <v>310</v>
      </c>
      <c r="C610">
        <v>28</v>
      </c>
      <c r="D610" s="1">
        <v>45854</v>
      </c>
      <c r="E610">
        <v>12100</v>
      </c>
      <c r="F610" t="s">
        <v>814</v>
      </c>
      <c r="G610">
        <v>422</v>
      </c>
    </row>
    <row r="611" spans="1:7" x14ac:dyDescent="0.3">
      <c r="A611" t="s">
        <v>433</v>
      </c>
      <c r="B611" t="s">
        <v>311</v>
      </c>
      <c r="C611">
        <v>28</v>
      </c>
      <c r="D611" s="1">
        <v>45854</v>
      </c>
      <c r="E611">
        <v>82500</v>
      </c>
      <c r="F611" t="s">
        <v>817</v>
      </c>
      <c r="G611">
        <v>436</v>
      </c>
    </row>
    <row r="612" spans="1:7" x14ac:dyDescent="0.3">
      <c r="A612" t="s">
        <v>433</v>
      </c>
      <c r="B612" t="s">
        <v>309</v>
      </c>
      <c r="C612">
        <v>28</v>
      </c>
      <c r="D612" s="1">
        <v>45854</v>
      </c>
      <c r="E612">
        <v>7700</v>
      </c>
      <c r="F612" t="s">
        <v>832</v>
      </c>
      <c r="G612">
        <v>417</v>
      </c>
    </row>
    <row r="613" spans="1:7" x14ac:dyDescent="0.3">
      <c r="A613" t="s">
        <v>433</v>
      </c>
      <c r="B613" t="s">
        <v>236</v>
      </c>
      <c r="C613">
        <v>28</v>
      </c>
      <c r="D613" s="1">
        <v>45854</v>
      </c>
      <c r="E613">
        <v>41800</v>
      </c>
      <c r="F613" t="s">
        <v>840</v>
      </c>
      <c r="G613">
        <v>390</v>
      </c>
    </row>
    <row r="614" spans="1:7" x14ac:dyDescent="0.3">
      <c r="A614" t="s">
        <v>433</v>
      </c>
      <c r="B614" t="s">
        <v>233</v>
      </c>
      <c r="C614">
        <v>28</v>
      </c>
      <c r="D614" s="1">
        <v>45853</v>
      </c>
      <c r="E614">
        <v>8800</v>
      </c>
      <c r="F614" t="s">
        <v>848</v>
      </c>
      <c r="G614">
        <v>1453</v>
      </c>
    </row>
    <row r="615" spans="1:7" x14ac:dyDescent="0.3">
      <c r="A615" t="s">
        <v>433</v>
      </c>
      <c r="B615" t="s">
        <v>310</v>
      </c>
      <c r="C615">
        <v>28</v>
      </c>
      <c r="D615" s="1">
        <v>45853</v>
      </c>
      <c r="E615">
        <v>40700</v>
      </c>
      <c r="F615" t="s">
        <v>854</v>
      </c>
      <c r="G615">
        <v>1370</v>
      </c>
    </row>
    <row r="616" spans="1:7" x14ac:dyDescent="0.3">
      <c r="A616" t="s">
        <v>433</v>
      </c>
      <c r="B616" t="s">
        <v>231</v>
      </c>
      <c r="C616">
        <v>29</v>
      </c>
      <c r="D616" s="1">
        <v>45859</v>
      </c>
      <c r="E616">
        <v>29700</v>
      </c>
      <c r="F616" t="s">
        <v>452</v>
      </c>
      <c r="G616">
        <v>812</v>
      </c>
    </row>
    <row r="617" spans="1:7" x14ac:dyDescent="0.3">
      <c r="A617" t="s">
        <v>433</v>
      </c>
      <c r="B617" t="s">
        <v>234</v>
      </c>
      <c r="C617">
        <v>29</v>
      </c>
      <c r="D617" s="1">
        <v>45857</v>
      </c>
      <c r="E617">
        <v>7700</v>
      </c>
      <c r="F617" t="s">
        <v>476</v>
      </c>
      <c r="G617">
        <v>907</v>
      </c>
    </row>
    <row r="618" spans="1:7" x14ac:dyDescent="0.3">
      <c r="A618" t="s">
        <v>433</v>
      </c>
      <c r="B618" t="s">
        <v>231</v>
      </c>
      <c r="C618">
        <v>29</v>
      </c>
      <c r="D618" s="1">
        <v>45857</v>
      </c>
      <c r="E618">
        <v>7700</v>
      </c>
      <c r="F618" t="s">
        <v>478</v>
      </c>
      <c r="G618">
        <v>826</v>
      </c>
    </row>
    <row r="619" spans="1:7" x14ac:dyDescent="0.3">
      <c r="A619" t="s">
        <v>433</v>
      </c>
      <c r="B619" t="s">
        <v>234</v>
      </c>
      <c r="C619">
        <v>29</v>
      </c>
      <c r="D619" s="1">
        <v>45858</v>
      </c>
      <c r="E619">
        <v>7700</v>
      </c>
      <c r="F619" t="s">
        <v>503</v>
      </c>
      <c r="G619">
        <v>735</v>
      </c>
    </row>
    <row r="620" spans="1:7" x14ac:dyDescent="0.3">
      <c r="A620" t="s">
        <v>433</v>
      </c>
      <c r="B620" t="s">
        <v>229</v>
      </c>
      <c r="C620">
        <v>29</v>
      </c>
      <c r="D620" s="1">
        <v>45858</v>
      </c>
      <c r="E620">
        <v>7700</v>
      </c>
      <c r="F620" t="s">
        <v>505</v>
      </c>
      <c r="G620">
        <v>782</v>
      </c>
    </row>
    <row r="621" spans="1:7" x14ac:dyDescent="0.3">
      <c r="A621" t="s">
        <v>433</v>
      </c>
      <c r="B621" t="s">
        <v>228</v>
      </c>
      <c r="C621">
        <v>29</v>
      </c>
      <c r="D621" s="1">
        <v>45857</v>
      </c>
      <c r="E621">
        <v>117700</v>
      </c>
      <c r="F621" t="s">
        <v>511</v>
      </c>
      <c r="G621">
        <v>881</v>
      </c>
    </row>
    <row r="622" spans="1:7" x14ac:dyDescent="0.3">
      <c r="A622" t="s">
        <v>433</v>
      </c>
      <c r="B622" t="s">
        <v>233</v>
      </c>
      <c r="C622">
        <v>29</v>
      </c>
      <c r="D622" s="1">
        <v>45857</v>
      </c>
      <c r="E622">
        <v>58300</v>
      </c>
      <c r="F622" t="s">
        <v>515</v>
      </c>
      <c r="G622">
        <v>719</v>
      </c>
    </row>
    <row r="623" spans="1:7" x14ac:dyDescent="0.3">
      <c r="A623" t="s">
        <v>433</v>
      </c>
      <c r="B623" t="s">
        <v>310</v>
      </c>
      <c r="C623">
        <v>29</v>
      </c>
      <c r="D623" s="1">
        <v>45856</v>
      </c>
      <c r="E623">
        <v>11000</v>
      </c>
      <c r="F623" t="s">
        <v>517</v>
      </c>
      <c r="G623">
        <v>732</v>
      </c>
    </row>
    <row r="624" spans="1:7" x14ac:dyDescent="0.3">
      <c r="A624" t="s">
        <v>433</v>
      </c>
      <c r="B624" t="s">
        <v>310</v>
      </c>
      <c r="C624">
        <v>29</v>
      </c>
      <c r="D624" s="1">
        <v>45856</v>
      </c>
      <c r="E624">
        <v>80300</v>
      </c>
      <c r="F624" t="s">
        <v>526</v>
      </c>
      <c r="G624">
        <v>710</v>
      </c>
    </row>
    <row r="625" spans="1:7" x14ac:dyDescent="0.3">
      <c r="A625" t="s">
        <v>433</v>
      </c>
      <c r="B625" t="s">
        <v>310</v>
      </c>
      <c r="C625">
        <v>29</v>
      </c>
      <c r="D625" s="1">
        <v>45855</v>
      </c>
      <c r="E625">
        <v>7700</v>
      </c>
      <c r="F625" t="s">
        <v>541</v>
      </c>
      <c r="G625">
        <v>713</v>
      </c>
    </row>
    <row r="626" spans="1:7" x14ac:dyDescent="0.3">
      <c r="A626" t="s">
        <v>433</v>
      </c>
      <c r="B626" t="s">
        <v>231</v>
      </c>
      <c r="C626">
        <v>29</v>
      </c>
      <c r="D626" s="1">
        <v>45857</v>
      </c>
      <c r="E626">
        <v>7700</v>
      </c>
      <c r="F626" t="s">
        <v>543</v>
      </c>
      <c r="G626">
        <v>692</v>
      </c>
    </row>
    <row r="627" spans="1:7" x14ac:dyDescent="0.3">
      <c r="A627" t="s">
        <v>433</v>
      </c>
      <c r="B627" t="s">
        <v>231</v>
      </c>
      <c r="C627">
        <v>29</v>
      </c>
      <c r="D627" s="1">
        <v>45857</v>
      </c>
      <c r="E627">
        <v>7700</v>
      </c>
      <c r="F627" t="s">
        <v>546</v>
      </c>
      <c r="G627">
        <v>709</v>
      </c>
    </row>
    <row r="628" spans="1:7" x14ac:dyDescent="0.3">
      <c r="A628" t="s">
        <v>433</v>
      </c>
      <c r="B628" t="s">
        <v>310</v>
      </c>
      <c r="C628">
        <v>29</v>
      </c>
      <c r="D628" s="1">
        <v>45856</v>
      </c>
      <c r="E628">
        <v>7700</v>
      </c>
      <c r="F628" t="s">
        <v>560</v>
      </c>
      <c r="G628">
        <v>679</v>
      </c>
    </row>
    <row r="629" spans="1:7" x14ac:dyDescent="0.3">
      <c r="A629" t="s">
        <v>433</v>
      </c>
      <c r="B629" t="s">
        <v>310</v>
      </c>
      <c r="C629">
        <v>29</v>
      </c>
      <c r="D629" s="1">
        <v>45857</v>
      </c>
      <c r="E629">
        <v>0</v>
      </c>
      <c r="F629" t="s">
        <v>562</v>
      </c>
      <c r="G629">
        <v>676</v>
      </c>
    </row>
    <row r="630" spans="1:7" x14ac:dyDescent="0.3">
      <c r="A630" t="s">
        <v>433</v>
      </c>
      <c r="B630" t="s">
        <v>309</v>
      </c>
      <c r="C630">
        <v>29</v>
      </c>
      <c r="D630" s="1">
        <v>45856</v>
      </c>
      <c r="E630">
        <v>7700</v>
      </c>
      <c r="F630" t="s">
        <v>563</v>
      </c>
      <c r="G630">
        <v>702</v>
      </c>
    </row>
    <row r="631" spans="1:7" x14ac:dyDescent="0.3">
      <c r="A631" t="s">
        <v>433</v>
      </c>
      <c r="B631" t="s">
        <v>309</v>
      </c>
      <c r="C631">
        <v>29</v>
      </c>
      <c r="D631" s="1">
        <v>45857</v>
      </c>
      <c r="E631">
        <v>7700</v>
      </c>
      <c r="F631" t="s">
        <v>568</v>
      </c>
      <c r="G631">
        <v>753</v>
      </c>
    </row>
    <row r="632" spans="1:7" x14ac:dyDescent="0.3">
      <c r="A632" t="s">
        <v>433</v>
      </c>
      <c r="B632" t="s">
        <v>230</v>
      </c>
      <c r="C632">
        <v>29</v>
      </c>
      <c r="D632" s="1">
        <v>45857</v>
      </c>
      <c r="E632">
        <v>36300</v>
      </c>
      <c r="F632" t="s">
        <v>572</v>
      </c>
      <c r="G632">
        <v>668</v>
      </c>
    </row>
    <row r="633" spans="1:7" x14ac:dyDescent="0.3">
      <c r="A633" t="s">
        <v>433</v>
      </c>
      <c r="B633" t="s">
        <v>229</v>
      </c>
      <c r="C633">
        <v>29</v>
      </c>
      <c r="D633" s="1">
        <v>45857</v>
      </c>
      <c r="E633">
        <v>18700</v>
      </c>
      <c r="F633" t="s">
        <v>578</v>
      </c>
      <c r="G633">
        <v>654</v>
      </c>
    </row>
    <row r="634" spans="1:7" x14ac:dyDescent="0.3">
      <c r="A634" t="s">
        <v>433</v>
      </c>
      <c r="B634" t="s">
        <v>310</v>
      </c>
      <c r="C634">
        <v>29</v>
      </c>
      <c r="D634" s="1">
        <v>45856</v>
      </c>
      <c r="E634">
        <v>7700</v>
      </c>
      <c r="F634" t="s">
        <v>581</v>
      </c>
      <c r="G634">
        <v>623</v>
      </c>
    </row>
    <row r="635" spans="1:7" x14ac:dyDescent="0.3">
      <c r="A635" t="s">
        <v>433</v>
      </c>
      <c r="B635" t="s">
        <v>309</v>
      </c>
      <c r="C635">
        <v>29</v>
      </c>
      <c r="D635" s="1">
        <v>45857</v>
      </c>
      <c r="E635">
        <v>7700</v>
      </c>
      <c r="F635" t="s">
        <v>598</v>
      </c>
      <c r="G635">
        <v>632</v>
      </c>
    </row>
    <row r="636" spans="1:7" x14ac:dyDescent="0.3">
      <c r="A636" t="s">
        <v>433</v>
      </c>
      <c r="B636" t="s">
        <v>224</v>
      </c>
      <c r="C636">
        <v>29</v>
      </c>
      <c r="D636" s="1">
        <v>45857</v>
      </c>
      <c r="E636">
        <v>22000</v>
      </c>
      <c r="F636" t="s">
        <v>604</v>
      </c>
      <c r="G636">
        <v>707</v>
      </c>
    </row>
    <row r="637" spans="1:7" x14ac:dyDescent="0.3">
      <c r="A637" t="s">
        <v>433</v>
      </c>
      <c r="B637" t="s">
        <v>310</v>
      </c>
      <c r="C637">
        <v>29</v>
      </c>
      <c r="D637" s="1">
        <v>45857</v>
      </c>
      <c r="E637">
        <v>7700</v>
      </c>
      <c r="F637" t="s">
        <v>620</v>
      </c>
      <c r="G637">
        <v>633</v>
      </c>
    </row>
    <row r="638" spans="1:7" x14ac:dyDescent="0.3">
      <c r="A638" t="s">
        <v>433</v>
      </c>
      <c r="B638" t="s">
        <v>309</v>
      </c>
      <c r="C638">
        <v>29</v>
      </c>
      <c r="D638" s="1">
        <v>45856</v>
      </c>
      <c r="E638">
        <v>0</v>
      </c>
      <c r="F638" t="s">
        <v>621</v>
      </c>
      <c r="G638">
        <v>650</v>
      </c>
    </row>
    <row r="639" spans="1:7" x14ac:dyDescent="0.3">
      <c r="A639" t="s">
        <v>433</v>
      </c>
      <c r="B639" t="s">
        <v>311</v>
      </c>
      <c r="C639">
        <v>29</v>
      </c>
      <c r="D639" s="1">
        <v>45856</v>
      </c>
      <c r="E639">
        <v>40700</v>
      </c>
      <c r="F639" t="s">
        <v>634</v>
      </c>
      <c r="G639">
        <v>671</v>
      </c>
    </row>
    <row r="640" spans="1:7" x14ac:dyDescent="0.3">
      <c r="A640" t="s">
        <v>433</v>
      </c>
      <c r="B640" t="s">
        <v>310</v>
      </c>
      <c r="C640">
        <v>29</v>
      </c>
      <c r="D640" s="1">
        <v>45856</v>
      </c>
      <c r="E640">
        <v>51700</v>
      </c>
      <c r="F640" t="s">
        <v>643</v>
      </c>
      <c r="G640">
        <v>767</v>
      </c>
    </row>
    <row r="641" spans="1:7" x14ac:dyDescent="0.3">
      <c r="A641" t="s">
        <v>433</v>
      </c>
      <c r="B641" t="s">
        <v>225</v>
      </c>
      <c r="C641">
        <v>29</v>
      </c>
      <c r="D641" s="1">
        <v>45856</v>
      </c>
      <c r="E641">
        <v>7700</v>
      </c>
      <c r="F641" t="s">
        <v>646</v>
      </c>
      <c r="G641">
        <v>598</v>
      </c>
    </row>
    <row r="642" spans="1:7" x14ac:dyDescent="0.3">
      <c r="A642" t="s">
        <v>433</v>
      </c>
      <c r="B642" t="s">
        <v>231</v>
      </c>
      <c r="C642">
        <v>29</v>
      </c>
      <c r="D642" s="1">
        <v>45856</v>
      </c>
      <c r="E642">
        <v>18700</v>
      </c>
      <c r="F642" t="s">
        <v>661</v>
      </c>
      <c r="G642">
        <v>626</v>
      </c>
    </row>
    <row r="643" spans="1:7" x14ac:dyDescent="0.3">
      <c r="A643" t="s">
        <v>433</v>
      </c>
      <c r="B643" t="s">
        <v>236</v>
      </c>
      <c r="C643">
        <v>29</v>
      </c>
      <c r="D643" s="1">
        <v>45854</v>
      </c>
      <c r="E643">
        <v>7700</v>
      </c>
      <c r="F643" t="s">
        <v>666</v>
      </c>
      <c r="G643">
        <v>572</v>
      </c>
    </row>
    <row r="644" spans="1:7" x14ac:dyDescent="0.3">
      <c r="A644" t="s">
        <v>433</v>
      </c>
      <c r="B644" t="s">
        <v>233</v>
      </c>
      <c r="C644">
        <v>29</v>
      </c>
      <c r="D644" s="1">
        <v>45856</v>
      </c>
      <c r="E644">
        <v>7700</v>
      </c>
      <c r="F644" t="s">
        <v>669</v>
      </c>
      <c r="G644">
        <v>579</v>
      </c>
    </row>
    <row r="645" spans="1:7" x14ac:dyDescent="0.3">
      <c r="A645" t="s">
        <v>433</v>
      </c>
      <c r="B645" t="s">
        <v>226</v>
      </c>
      <c r="C645">
        <v>29</v>
      </c>
      <c r="D645" s="1">
        <v>45855</v>
      </c>
      <c r="E645">
        <v>7700</v>
      </c>
      <c r="F645" t="s">
        <v>674</v>
      </c>
      <c r="G645">
        <v>573</v>
      </c>
    </row>
    <row r="646" spans="1:7" x14ac:dyDescent="0.3">
      <c r="A646" t="s">
        <v>433</v>
      </c>
      <c r="B646" t="s">
        <v>236</v>
      </c>
      <c r="C646">
        <v>29</v>
      </c>
      <c r="D646" s="1">
        <v>45855</v>
      </c>
      <c r="E646">
        <v>11000</v>
      </c>
      <c r="F646" t="s">
        <v>678</v>
      </c>
      <c r="G646">
        <v>562</v>
      </c>
    </row>
    <row r="647" spans="1:7" x14ac:dyDescent="0.3">
      <c r="A647" t="s">
        <v>433</v>
      </c>
      <c r="B647" t="s">
        <v>231</v>
      </c>
      <c r="C647">
        <v>29</v>
      </c>
      <c r="D647" s="1">
        <v>45854</v>
      </c>
      <c r="E647">
        <v>36300</v>
      </c>
      <c r="F647" t="s">
        <v>685</v>
      </c>
      <c r="G647">
        <v>648</v>
      </c>
    </row>
    <row r="648" spans="1:7" x14ac:dyDescent="0.3">
      <c r="A648" t="s">
        <v>433</v>
      </c>
      <c r="B648" t="s">
        <v>310</v>
      </c>
      <c r="C648">
        <v>29</v>
      </c>
      <c r="D648" s="1">
        <v>45855</v>
      </c>
      <c r="E648">
        <v>7700</v>
      </c>
      <c r="F648" t="s">
        <v>690</v>
      </c>
      <c r="G648">
        <v>550</v>
      </c>
    </row>
    <row r="649" spans="1:7" x14ac:dyDescent="0.3">
      <c r="A649" t="s">
        <v>433</v>
      </c>
      <c r="B649" t="s">
        <v>309</v>
      </c>
      <c r="C649">
        <v>29</v>
      </c>
      <c r="D649" s="1">
        <v>45854</v>
      </c>
      <c r="E649">
        <v>75900</v>
      </c>
      <c r="F649" t="s">
        <v>692</v>
      </c>
      <c r="G649">
        <v>581</v>
      </c>
    </row>
    <row r="650" spans="1:7" x14ac:dyDescent="0.3">
      <c r="A650" t="s">
        <v>433</v>
      </c>
      <c r="B650" t="s">
        <v>309</v>
      </c>
      <c r="C650">
        <v>29</v>
      </c>
      <c r="D650" s="1">
        <v>45855</v>
      </c>
      <c r="E650">
        <v>7700</v>
      </c>
      <c r="F650" t="s">
        <v>706</v>
      </c>
      <c r="G650">
        <v>557</v>
      </c>
    </row>
    <row r="651" spans="1:7" x14ac:dyDescent="0.3">
      <c r="A651" t="s">
        <v>433</v>
      </c>
      <c r="B651" t="s">
        <v>309</v>
      </c>
      <c r="C651">
        <v>29</v>
      </c>
      <c r="D651" s="1">
        <v>45855</v>
      </c>
      <c r="E651">
        <v>7700</v>
      </c>
      <c r="F651" t="s">
        <v>712</v>
      </c>
      <c r="G651">
        <v>518</v>
      </c>
    </row>
    <row r="652" spans="1:7" x14ac:dyDescent="0.3">
      <c r="A652" t="s">
        <v>433</v>
      </c>
      <c r="B652" t="s">
        <v>229</v>
      </c>
      <c r="C652">
        <v>29</v>
      </c>
      <c r="D652" s="1">
        <v>45854</v>
      </c>
      <c r="E652">
        <v>27500</v>
      </c>
      <c r="F652" t="s">
        <v>715</v>
      </c>
      <c r="G652">
        <v>515</v>
      </c>
    </row>
    <row r="653" spans="1:7" x14ac:dyDescent="0.3">
      <c r="A653" t="s">
        <v>433</v>
      </c>
      <c r="B653" t="s">
        <v>310</v>
      </c>
      <c r="C653">
        <v>29</v>
      </c>
      <c r="D653" s="1">
        <v>45855</v>
      </c>
      <c r="E653">
        <v>7700</v>
      </c>
      <c r="F653" t="s">
        <v>719</v>
      </c>
      <c r="G653">
        <v>514</v>
      </c>
    </row>
    <row r="654" spans="1:7" x14ac:dyDescent="0.3">
      <c r="A654" t="s">
        <v>433</v>
      </c>
      <c r="B654" t="s">
        <v>309</v>
      </c>
      <c r="C654">
        <v>29</v>
      </c>
      <c r="D654" s="1">
        <v>45855</v>
      </c>
      <c r="E654">
        <v>7700</v>
      </c>
      <c r="F654" t="s">
        <v>727</v>
      </c>
      <c r="G654">
        <v>677</v>
      </c>
    </row>
    <row r="655" spans="1:7" x14ac:dyDescent="0.3">
      <c r="A655" t="s">
        <v>433</v>
      </c>
      <c r="B655" t="s">
        <v>233</v>
      </c>
      <c r="C655">
        <v>29</v>
      </c>
      <c r="D655" s="1">
        <v>45854</v>
      </c>
      <c r="E655">
        <v>7700</v>
      </c>
      <c r="F655" t="s">
        <v>728</v>
      </c>
      <c r="G655">
        <v>669</v>
      </c>
    </row>
    <row r="656" spans="1:7" x14ac:dyDescent="0.3">
      <c r="A656" t="s">
        <v>433</v>
      </c>
      <c r="B656" t="s">
        <v>226</v>
      </c>
      <c r="C656">
        <v>29</v>
      </c>
      <c r="D656" s="1">
        <v>45855</v>
      </c>
      <c r="E656">
        <v>7700</v>
      </c>
      <c r="F656" t="s">
        <v>734</v>
      </c>
      <c r="G656">
        <v>503</v>
      </c>
    </row>
    <row r="657" spans="1:7" x14ac:dyDescent="0.3">
      <c r="A657" t="s">
        <v>433</v>
      </c>
      <c r="B657" t="s">
        <v>226</v>
      </c>
      <c r="C657">
        <v>29</v>
      </c>
      <c r="D657" s="1">
        <v>45854</v>
      </c>
      <c r="E657">
        <v>128700</v>
      </c>
      <c r="F657" t="s">
        <v>750</v>
      </c>
      <c r="G657">
        <v>489</v>
      </c>
    </row>
    <row r="658" spans="1:7" x14ac:dyDescent="0.3">
      <c r="A658" t="s">
        <v>433</v>
      </c>
      <c r="B658" t="s">
        <v>309</v>
      </c>
      <c r="C658">
        <v>30</v>
      </c>
      <c r="D658" s="1">
        <v>45856</v>
      </c>
      <c r="E658">
        <v>7700</v>
      </c>
      <c r="F658" t="s">
        <v>441</v>
      </c>
      <c r="G658">
        <v>794</v>
      </c>
    </row>
    <row r="659" spans="1:7" x14ac:dyDescent="0.3">
      <c r="A659" t="s">
        <v>433</v>
      </c>
      <c r="B659" t="s">
        <v>310</v>
      </c>
      <c r="C659">
        <v>30</v>
      </c>
      <c r="D659" s="1">
        <v>45858</v>
      </c>
      <c r="E659">
        <v>31900</v>
      </c>
      <c r="F659" t="s">
        <v>446</v>
      </c>
      <c r="G659">
        <v>786</v>
      </c>
    </row>
    <row r="660" spans="1:7" x14ac:dyDescent="0.3">
      <c r="A660" t="s">
        <v>433</v>
      </c>
      <c r="B660" t="s">
        <v>309</v>
      </c>
      <c r="C660">
        <v>30</v>
      </c>
      <c r="D660" s="1">
        <v>45858</v>
      </c>
      <c r="E660">
        <v>7700</v>
      </c>
      <c r="F660" t="s">
        <v>493</v>
      </c>
      <c r="G660">
        <v>743</v>
      </c>
    </row>
    <row r="661" spans="1:7" x14ac:dyDescent="0.3">
      <c r="A661" t="s">
        <v>433</v>
      </c>
      <c r="B661" t="s">
        <v>310</v>
      </c>
      <c r="C661">
        <v>30</v>
      </c>
      <c r="D661" s="1">
        <v>45856</v>
      </c>
      <c r="E661">
        <v>11000</v>
      </c>
      <c r="F661" t="s">
        <v>501</v>
      </c>
      <c r="G661">
        <v>756</v>
      </c>
    </row>
    <row r="662" spans="1:7" x14ac:dyDescent="0.3">
      <c r="A662" t="s">
        <v>433</v>
      </c>
      <c r="B662" t="s">
        <v>236</v>
      </c>
      <c r="C662">
        <v>30</v>
      </c>
      <c r="D662" s="1">
        <v>45857</v>
      </c>
      <c r="E662">
        <v>14300</v>
      </c>
      <c r="F662" t="s">
        <v>502</v>
      </c>
      <c r="G662">
        <v>735</v>
      </c>
    </row>
    <row r="663" spans="1:7" x14ac:dyDescent="0.3">
      <c r="A663" t="s">
        <v>433</v>
      </c>
      <c r="B663" t="s">
        <v>310</v>
      </c>
      <c r="C663">
        <v>30</v>
      </c>
      <c r="D663" s="1">
        <v>45856</v>
      </c>
      <c r="E663">
        <v>7700</v>
      </c>
      <c r="F663" t="s">
        <v>504</v>
      </c>
      <c r="G663">
        <v>846</v>
      </c>
    </row>
    <row r="664" spans="1:7" x14ac:dyDescent="0.3">
      <c r="A664" t="s">
        <v>433</v>
      </c>
      <c r="B664" t="s">
        <v>235</v>
      </c>
      <c r="C664">
        <v>30</v>
      </c>
      <c r="D664" s="1">
        <v>45856</v>
      </c>
      <c r="E664">
        <v>7700</v>
      </c>
      <c r="F664" t="s">
        <v>506</v>
      </c>
      <c r="G664">
        <v>742</v>
      </c>
    </row>
    <row r="665" spans="1:7" x14ac:dyDescent="0.3">
      <c r="A665" t="s">
        <v>433</v>
      </c>
      <c r="B665" t="s">
        <v>233</v>
      </c>
      <c r="C665">
        <v>30</v>
      </c>
      <c r="D665" s="1">
        <v>45857</v>
      </c>
      <c r="E665">
        <v>8800</v>
      </c>
      <c r="F665" t="s">
        <v>508</v>
      </c>
      <c r="G665">
        <v>803</v>
      </c>
    </row>
    <row r="666" spans="1:7" x14ac:dyDescent="0.3">
      <c r="A666" t="s">
        <v>433</v>
      </c>
      <c r="B666" t="s">
        <v>309</v>
      </c>
      <c r="C666">
        <v>30</v>
      </c>
      <c r="D666" s="1">
        <v>45857</v>
      </c>
      <c r="E666">
        <v>40700</v>
      </c>
      <c r="F666" t="s">
        <v>521</v>
      </c>
      <c r="G666">
        <v>756</v>
      </c>
    </row>
    <row r="667" spans="1:7" x14ac:dyDescent="0.3">
      <c r="A667" t="s">
        <v>433</v>
      </c>
      <c r="B667" t="s">
        <v>309</v>
      </c>
      <c r="C667">
        <v>30</v>
      </c>
      <c r="D667" s="1">
        <v>45857</v>
      </c>
      <c r="E667">
        <v>7700</v>
      </c>
      <c r="F667" t="s">
        <v>542</v>
      </c>
      <c r="G667">
        <v>711</v>
      </c>
    </row>
    <row r="668" spans="1:7" x14ac:dyDescent="0.3">
      <c r="A668" t="s">
        <v>433</v>
      </c>
      <c r="B668" t="s">
        <v>309</v>
      </c>
      <c r="C668">
        <v>30</v>
      </c>
      <c r="D668" s="1">
        <v>45857</v>
      </c>
      <c r="E668">
        <v>7700</v>
      </c>
      <c r="F668" t="s">
        <v>547</v>
      </c>
      <c r="G668">
        <v>690</v>
      </c>
    </row>
    <row r="669" spans="1:7" x14ac:dyDescent="0.3">
      <c r="A669" t="s">
        <v>433</v>
      </c>
      <c r="B669" t="s">
        <v>309</v>
      </c>
      <c r="C669">
        <v>30</v>
      </c>
      <c r="D669" s="1">
        <v>45857</v>
      </c>
      <c r="E669">
        <v>40700</v>
      </c>
      <c r="F669" t="s">
        <v>551</v>
      </c>
      <c r="G669">
        <v>704</v>
      </c>
    </row>
    <row r="670" spans="1:7" x14ac:dyDescent="0.3">
      <c r="A670" t="s">
        <v>433</v>
      </c>
      <c r="B670" t="s">
        <v>309</v>
      </c>
      <c r="C670">
        <v>30</v>
      </c>
      <c r="D670" s="1">
        <v>45857</v>
      </c>
      <c r="E670">
        <v>7700</v>
      </c>
      <c r="F670" t="s">
        <v>555</v>
      </c>
      <c r="G670">
        <v>729</v>
      </c>
    </row>
    <row r="671" spans="1:7" x14ac:dyDescent="0.3">
      <c r="A671" t="s">
        <v>433</v>
      </c>
      <c r="B671" t="s">
        <v>309</v>
      </c>
      <c r="C671">
        <v>30</v>
      </c>
      <c r="D671" s="1">
        <v>45856</v>
      </c>
      <c r="E671">
        <v>7700</v>
      </c>
      <c r="F671" t="s">
        <v>558</v>
      </c>
      <c r="G671">
        <v>657</v>
      </c>
    </row>
    <row r="672" spans="1:7" x14ac:dyDescent="0.3">
      <c r="A672" t="s">
        <v>433</v>
      </c>
      <c r="B672" t="s">
        <v>236</v>
      </c>
      <c r="C672">
        <v>30</v>
      </c>
      <c r="D672" s="1">
        <v>45856</v>
      </c>
      <c r="E672">
        <v>11000</v>
      </c>
      <c r="F672" t="s">
        <v>561</v>
      </c>
      <c r="G672">
        <v>678</v>
      </c>
    </row>
    <row r="673" spans="1:7" x14ac:dyDescent="0.3">
      <c r="A673" t="s">
        <v>433</v>
      </c>
      <c r="B673" t="s">
        <v>235</v>
      </c>
      <c r="C673">
        <v>30</v>
      </c>
      <c r="D673" s="1">
        <v>45854</v>
      </c>
      <c r="E673">
        <v>53900</v>
      </c>
      <c r="F673" t="s">
        <v>566</v>
      </c>
      <c r="G673">
        <v>697</v>
      </c>
    </row>
    <row r="674" spans="1:7" x14ac:dyDescent="0.3">
      <c r="A674" t="s">
        <v>433</v>
      </c>
      <c r="B674" t="s">
        <v>226</v>
      </c>
      <c r="C674">
        <v>30</v>
      </c>
      <c r="D674" s="1">
        <v>45856</v>
      </c>
      <c r="E674">
        <v>7700</v>
      </c>
      <c r="F674" t="s">
        <v>571</v>
      </c>
      <c r="G674">
        <v>693</v>
      </c>
    </row>
    <row r="675" spans="1:7" x14ac:dyDescent="0.3">
      <c r="A675" t="s">
        <v>433</v>
      </c>
      <c r="B675" t="s">
        <v>233</v>
      </c>
      <c r="C675">
        <v>30</v>
      </c>
      <c r="D675" s="1">
        <v>45855</v>
      </c>
      <c r="E675">
        <v>7700</v>
      </c>
      <c r="F675" t="s">
        <v>583</v>
      </c>
      <c r="G675">
        <v>675</v>
      </c>
    </row>
    <row r="676" spans="1:7" x14ac:dyDescent="0.3">
      <c r="A676" t="s">
        <v>433</v>
      </c>
      <c r="B676" t="s">
        <v>233</v>
      </c>
      <c r="C676">
        <v>30</v>
      </c>
      <c r="D676" s="1">
        <v>45856</v>
      </c>
      <c r="E676">
        <v>7700</v>
      </c>
      <c r="F676" t="s">
        <v>585</v>
      </c>
      <c r="G676">
        <v>646</v>
      </c>
    </row>
    <row r="677" spans="1:7" x14ac:dyDescent="0.3">
      <c r="A677" t="s">
        <v>433</v>
      </c>
      <c r="B677" t="s">
        <v>309</v>
      </c>
      <c r="C677">
        <v>30</v>
      </c>
      <c r="D677" s="1">
        <v>45856</v>
      </c>
      <c r="E677">
        <v>7700</v>
      </c>
      <c r="F677" t="s">
        <v>589</v>
      </c>
      <c r="G677">
        <v>697</v>
      </c>
    </row>
    <row r="678" spans="1:7" x14ac:dyDescent="0.3">
      <c r="A678" t="s">
        <v>433</v>
      </c>
      <c r="B678" t="s">
        <v>309</v>
      </c>
      <c r="C678">
        <v>30</v>
      </c>
      <c r="D678" s="1">
        <v>45856</v>
      </c>
      <c r="E678">
        <v>41800</v>
      </c>
      <c r="F678" t="s">
        <v>603</v>
      </c>
      <c r="G678">
        <v>630</v>
      </c>
    </row>
    <row r="679" spans="1:7" x14ac:dyDescent="0.3">
      <c r="A679" t="s">
        <v>433</v>
      </c>
      <c r="B679" t="s">
        <v>309</v>
      </c>
      <c r="C679">
        <v>30</v>
      </c>
      <c r="D679" s="1">
        <v>45856</v>
      </c>
      <c r="E679">
        <v>7700</v>
      </c>
      <c r="F679" t="s">
        <v>619</v>
      </c>
      <c r="G679">
        <v>629</v>
      </c>
    </row>
    <row r="680" spans="1:7" x14ac:dyDescent="0.3">
      <c r="A680" t="s">
        <v>433</v>
      </c>
      <c r="B680" t="s">
        <v>234</v>
      </c>
      <c r="C680">
        <v>30</v>
      </c>
      <c r="D680" s="1">
        <v>45855</v>
      </c>
      <c r="E680">
        <v>227700</v>
      </c>
      <c r="F680" t="s">
        <v>623</v>
      </c>
      <c r="G680">
        <v>680</v>
      </c>
    </row>
    <row r="681" spans="1:7" x14ac:dyDescent="0.3">
      <c r="A681" t="s">
        <v>433</v>
      </c>
      <c r="B681" t="s">
        <v>229</v>
      </c>
      <c r="C681">
        <v>30</v>
      </c>
      <c r="D681" s="1">
        <v>45854</v>
      </c>
      <c r="E681">
        <v>0</v>
      </c>
      <c r="F681" t="s">
        <v>631</v>
      </c>
      <c r="G681">
        <v>609</v>
      </c>
    </row>
    <row r="682" spans="1:7" x14ac:dyDescent="0.3">
      <c r="A682" t="s">
        <v>433</v>
      </c>
      <c r="B682" t="s">
        <v>233</v>
      </c>
      <c r="C682">
        <v>30</v>
      </c>
      <c r="D682" s="1">
        <v>45855</v>
      </c>
      <c r="E682">
        <v>7700</v>
      </c>
      <c r="F682" t="s">
        <v>659</v>
      </c>
      <c r="G682">
        <v>611</v>
      </c>
    </row>
    <row r="683" spans="1:7" x14ac:dyDescent="0.3">
      <c r="A683" t="s">
        <v>433</v>
      </c>
      <c r="B683" t="s">
        <v>309</v>
      </c>
      <c r="C683">
        <v>30</v>
      </c>
      <c r="D683" s="1">
        <v>45855</v>
      </c>
      <c r="E683">
        <v>7700</v>
      </c>
      <c r="F683" t="s">
        <v>672</v>
      </c>
      <c r="G683">
        <v>601</v>
      </c>
    </row>
    <row r="684" spans="1:7" x14ac:dyDescent="0.3">
      <c r="A684" t="s">
        <v>433</v>
      </c>
      <c r="B684" t="s">
        <v>226</v>
      </c>
      <c r="C684">
        <v>30</v>
      </c>
      <c r="D684" s="1">
        <v>45854</v>
      </c>
      <c r="E684">
        <v>7700</v>
      </c>
      <c r="F684" t="s">
        <v>735</v>
      </c>
      <c r="G684">
        <v>502</v>
      </c>
    </row>
    <row r="685" spans="1:7" x14ac:dyDescent="0.3">
      <c r="A685" t="s">
        <v>433</v>
      </c>
      <c r="B685" t="s">
        <v>311</v>
      </c>
      <c r="C685">
        <v>30</v>
      </c>
      <c r="D685" s="1">
        <v>45853</v>
      </c>
      <c r="E685">
        <v>7700</v>
      </c>
      <c r="F685" t="s">
        <v>789</v>
      </c>
      <c r="G685">
        <v>1372</v>
      </c>
    </row>
    <row r="686" spans="1:7" x14ac:dyDescent="0.3">
      <c r="A686" t="s">
        <v>433</v>
      </c>
      <c r="B686" t="s">
        <v>226</v>
      </c>
      <c r="C686">
        <v>31</v>
      </c>
      <c r="D686" s="1">
        <v>45857</v>
      </c>
      <c r="E686">
        <v>7700</v>
      </c>
      <c r="F686" t="s">
        <v>450</v>
      </c>
      <c r="G686">
        <v>845</v>
      </c>
    </row>
    <row r="687" spans="1:7" x14ac:dyDescent="0.3">
      <c r="A687" t="s">
        <v>433</v>
      </c>
      <c r="B687" t="s">
        <v>309</v>
      </c>
      <c r="C687">
        <v>31</v>
      </c>
      <c r="D687" s="1">
        <v>45857</v>
      </c>
      <c r="E687">
        <v>7700</v>
      </c>
      <c r="F687" t="s">
        <v>459</v>
      </c>
      <c r="G687">
        <v>823</v>
      </c>
    </row>
    <row r="688" spans="1:7" x14ac:dyDescent="0.3">
      <c r="A688" t="s">
        <v>433</v>
      </c>
      <c r="B688" t="s">
        <v>226</v>
      </c>
      <c r="C688">
        <v>31</v>
      </c>
      <c r="D688" s="1">
        <v>45857</v>
      </c>
      <c r="E688">
        <v>25300</v>
      </c>
      <c r="F688" t="s">
        <v>461</v>
      </c>
      <c r="G688">
        <v>838</v>
      </c>
    </row>
    <row r="689" spans="1:7" x14ac:dyDescent="0.3">
      <c r="A689" t="s">
        <v>433</v>
      </c>
      <c r="B689" t="s">
        <v>224</v>
      </c>
      <c r="C689">
        <v>31</v>
      </c>
      <c r="D689" s="1">
        <v>45857</v>
      </c>
      <c r="E689">
        <v>7700</v>
      </c>
      <c r="F689" t="s">
        <v>463</v>
      </c>
      <c r="G689">
        <v>765</v>
      </c>
    </row>
    <row r="690" spans="1:7" x14ac:dyDescent="0.3">
      <c r="A690" t="s">
        <v>433</v>
      </c>
      <c r="B690" t="s">
        <v>231</v>
      </c>
      <c r="C690">
        <v>31</v>
      </c>
      <c r="D690" s="1">
        <v>45857</v>
      </c>
      <c r="E690">
        <v>7700</v>
      </c>
      <c r="F690" t="s">
        <v>464</v>
      </c>
      <c r="G690">
        <v>785</v>
      </c>
    </row>
    <row r="691" spans="1:7" x14ac:dyDescent="0.3">
      <c r="A691" t="s">
        <v>433</v>
      </c>
      <c r="B691" t="s">
        <v>309</v>
      </c>
      <c r="C691">
        <v>31</v>
      </c>
      <c r="D691" s="1">
        <v>45856</v>
      </c>
      <c r="E691">
        <v>7700</v>
      </c>
      <c r="F691" t="s">
        <v>479</v>
      </c>
      <c r="G691">
        <v>795</v>
      </c>
    </row>
    <row r="692" spans="1:7" x14ac:dyDescent="0.3">
      <c r="A692" t="s">
        <v>433</v>
      </c>
      <c r="B692" t="s">
        <v>231</v>
      </c>
      <c r="C692">
        <v>31</v>
      </c>
      <c r="D692" s="1">
        <v>45856</v>
      </c>
      <c r="E692">
        <v>7700</v>
      </c>
      <c r="F692" t="s">
        <v>480</v>
      </c>
      <c r="G692">
        <v>740</v>
      </c>
    </row>
    <row r="693" spans="1:7" x14ac:dyDescent="0.3">
      <c r="A693" t="s">
        <v>433</v>
      </c>
      <c r="B693" t="s">
        <v>310</v>
      </c>
      <c r="C693">
        <v>31</v>
      </c>
      <c r="D693" s="1">
        <v>45856</v>
      </c>
      <c r="E693">
        <v>11000</v>
      </c>
      <c r="F693" t="s">
        <v>483</v>
      </c>
      <c r="G693">
        <v>747</v>
      </c>
    </row>
    <row r="694" spans="1:7" x14ac:dyDescent="0.3">
      <c r="A694" t="s">
        <v>433</v>
      </c>
      <c r="B694" t="s">
        <v>231</v>
      </c>
      <c r="C694">
        <v>31</v>
      </c>
      <c r="D694" s="1">
        <v>45857</v>
      </c>
      <c r="E694">
        <v>8800</v>
      </c>
      <c r="F694" t="s">
        <v>484</v>
      </c>
      <c r="G694">
        <v>825</v>
      </c>
    </row>
    <row r="695" spans="1:7" x14ac:dyDescent="0.3">
      <c r="A695" t="s">
        <v>433</v>
      </c>
      <c r="B695" t="s">
        <v>231</v>
      </c>
      <c r="C695">
        <v>31</v>
      </c>
      <c r="D695" s="1">
        <v>45856</v>
      </c>
      <c r="E695">
        <v>7700</v>
      </c>
      <c r="F695" t="s">
        <v>487</v>
      </c>
      <c r="G695">
        <v>765</v>
      </c>
    </row>
    <row r="696" spans="1:7" x14ac:dyDescent="0.3">
      <c r="A696" t="s">
        <v>433</v>
      </c>
      <c r="B696" t="s">
        <v>309</v>
      </c>
      <c r="C696">
        <v>31</v>
      </c>
      <c r="D696" s="1">
        <v>45857</v>
      </c>
      <c r="E696">
        <v>7700</v>
      </c>
      <c r="F696" t="s">
        <v>490</v>
      </c>
      <c r="G696">
        <v>860</v>
      </c>
    </row>
    <row r="697" spans="1:7" x14ac:dyDescent="0.3">
      <c r="A697" t="s">
        <v>433</v>
      </c>
      <c r="B697" t="s">
        <v>309</v>
      </c>
      <c r="C697">
        <v>31</v>
      </c>
      <c r="D697" s="1">
        <v>45856</v>
      </c>
      <c r="E697">
        <v>7700</v>
      </c>
      <c r="F697" t="s">
        <v>497</v>
      </c>
      <c r="G697">
        <v>761</v>
      </c>
    </row>
    <row r="698" spans="1:7" x14ac:dyDescent="0.3">
      <c r="A698" t="s">
        <v>433</v>
      </c>
      <c r="B698" t="s">
        <v>226</v>
      </c>
      <c r="C698">
        <v>31</v>
      </c>
      <c r="D698" s="1">
        <v>45856</v>
      </c>
      <c r="E698">
        <v>7700</v>
      </c>
      <c r="F698" t="s">
        <v>523</v>
      </c>
      <c r="G698">
        <v>732</v>
      </c>
    </row>
    <row r="699" spans="1:7" x14ac:dyDescent="0.3">
      <c r="A699" t="s">
        <v>433</v>
      </c>
      <c r="B699" t="s">
        <v>226</v>
      </c>
      <c r="C699">
        <v>31</v>
      </c>
      <c r="D699" s="1">
        <v>45856</v>
      </c>
      <c r="E699">
        <v>0</v>
      </c>
      <c r="F699" t="s">
        <v>525</v>
      </c>
      <c r="G699">
        <v>712</v>
      </c>
    </row>
    <row r="700" spans="1:7" x14ac:dyDescent="0.3">
      <c r="A700" t="s">
        <v>433</v>
      </c>
      <c r="B700" t="s">
        <v>224</v>
      </c>
      <c r="C700">
        <v>31</v>
      </c>
      <c r="D700" s="1">
        <v>45856</v>
      </c>
      <c r="E700">
        <v>11000</v>
      </c>
      <c r="F700" t="s">
        <v>530</v>
      </c>
      <c r="G700">
        <v>706</v>
      </c>
    </row>
    <row r="701" spans="1:7" x14ac:dyDescent="0.3">
      <c r="A701" t="s">
        <v>433</v>
      </c>
      <c r="B701" t="s">
        <v>309</v>
      </c>
      <c r="C701">
        <v>31</v>
      </c>
      <c r="D701" s="1">
        <v>45855</v>
      </c>
      <c r="E701">
        <v>7700</v>
      </c>
      <c r="F701" t="s">
        <v>567</v>
      </c>
      <c r="G701">
        <v>672</v>
      </c>
    </row>
    <row r="702" spans="1:7" x14ac:dyDescent="0.3">
      <c r="A702" t="s">
        <v>433</v>
      </c>
      <c r="B702" t="s">
        <v>231</v>
      </c>
      <c r="C702">
        <v>31</v>
      </c>
      <c r="D702" s="1">
        <v>45855</v>
      </c>
      <c r="E702">
        <v>7700</v>
      </c>
      <c r="F702" t="s">
        <v>580</v>
      </c>
      <c r="G702">
        <v>652</v>
      </c>
    </row>
    <row r="703" spans="1:7" x14ac:dyDescent="0.3">
      <c r="A703" t="s">
        <v>433</v>
      </c>
      <c r="B703" t="s">
        <v>231</v>
      </c>
      <c r="C703">
        <v>32</v>
      </c>
      <c r="D703" s="1">
        <v>45856</v>
      </c>
      <c r="E703">
        <v>7700</v>
      </c>
      <c r="F703" t="s">
        <v>444</v>
      </c>
      <c r="G703">
        <v>810</v>
      </c>
    </row>
    <row r="704" spans="1:7" x14ac:dyDescent="0.3">
      <c r="A704" t="s">
        <v>433</v>
      </c>
      <c r="B704" t="s">
        <v>230</v>
      </c>
      <c r="C704">
        <v>32</v>
      </c>
      <c r="D704" s="1">
        <v>45856</v>
      </c>
      <c r="E704">
        <v>7700</v>
      </c>
      <c r="F704" t="s">
        <v>453</v>
      </c>
      <c r="G704">
        <v>843</v>
      </c>
    </row>
    <row r="705" spans="1:7" x14ac:dyDescent="0.3">
      <c r="A705" t="s">
        <v>433</v>
      </c>
      <c r="B705" t="s">
        <v>226</v>
      </c>
      <c r="C705">
        <v>32</v>
      </c>
      <c r="D705" s="1">
        <v>45856</v>
      </c>
      <c r="E705">
        <v>62700</v>
      </c>
      <c r="F705" t="s">
        <v>460</v>
      </c>
      <c r="G705">
        <v>788</v>
      </c>
    </row>
    <row r="706" spans="1:7" x14ac:dyDescent="0.3">
      <c r="A706" t="s">
        <v>433</v>
      </c>
      <c r="B706" t="s">
        <v>309</v>
      </c>
      <c r="C706">
        <v>32</v>
      </c>
      <c r="D706" s="1">
        <v>45855</v>
      </c>
      <c r="E706">
        <v>7700</v>
      </c>
      <c r="F706" t="s">
        <v>467</v>
      </c>
      <c r="G706">
        <v>835</v>
      </c>
    </row>
    <row r="707" spans="1:7" x14ac:dyDescent="0.3">
      <c r="A707" t="s">
        <v>433</v>
      </c>
      <c r="B707" t="s">
        <v>309</v>
      </c>
      <c r="C707">
        <v>32</v>
      </c>
      <c r="D707" s="1">
        <v>45856</v>
      </c>
      <c r="E707">
        <v>0</v>
      </c>
      <c r="F707" t="s">
        <v>470</v>
      </c>
      <c r="G707">
        <v>833</v>
      </c>
    </row>
    <row r="708" spans="1:7" x14ac:dyDescent="0.3">
      <c r="A708" t="s">
        <v>433</v>
      </c>
      <c r="B708" t="s">
        <v>232</v>
      </c>
      <c r="C708">
        <v>32</v>
      </c>
      <c r="D708" s="1">
        <v>45856</v>
      </c>
      <c r="E708">
        <v>7700</v>
      </c>
      <c r="F708" t="s">
        <v>477</v>
      </c>
      <c r="G708">
        <v>752</v>
      </c>
    </row>
    <row r="709" spans="1:7" x14ac:dyDescent="0.3">
      <c r="A709" t="s">
        <v>433</v>
      </c>
      <c r="B709" t="s">
        <v>226</v>
      </c>
      <c r="C709">
        <v>32</v>
      </c>
      <c r="D709" s="1">
        <v>45856</v>
      </c>
      <c r="E709">
        <v>7700</v>
      </c>
      <c r="F709" t="s">
        <v>481</v>
      </c>
      <c r="G709">
        <v>772</v>
      </c>
    </row>
    <row r="710" spans="1:7" x14ac:dyDescent="0.3">
      <c r="A710" t="s">
        <v>433</v>
      </c>
      <c r="B710" t="s">
        <v>226</v>
      </c>
      <c r="C710">
        <v>32</v>
      </c>
      <c r="D710" s="1">
        <v>45855</v>
      </c>
      <c r="E710">
        <v>7700</v>
      </c>
      <c r="F710" t="s">
        <v>516</v>
      </c>
      <c r="G710">
        <v>732</v>
      </c>
    </row>
    <row r="711" spans="1:7" x14ac:dyDescent="0.3">
      <c r="A711" t="s">
        <v>433</v>
      </c>
      <c r="B711" t="s">
        <v>225</v>
      </c>
      <c r="C711">
        <v>32</v>
      </c>
      <c r="D711" s="1">
        <v>45854</v>
      </c>
      <c r="E711">
        <v>77000</v>
      </c>
      <c r="F711" t="s">
        <v>602</v>
      </c>
      <c r="G711">
        <v>631</v>
      </c>
    </row>
    <row r="712" spans="1:7" x14ac:dyDescent="0.3">
      <c r="A712" t="s">
        <v>433</v>
      </c>
      <c r="B712" t="s">
        <v>309</v>
      </c>
      <c r="C712">
        <v>32</v>
      </c>
      <c r="D712" s="1">
        <v>45854</v>
      </c>
      <c r="E712">
        <v>7700</v>
      </c>
      <c r="F712" t="s">
        <v>625</v>
      </c>
      <c r="G712">
        <v>627</v>
      </c>
    </row>
    <row r="713" spans="1:7" x14ac:dyDescent="0.3">
      <c r="A713" t="s">
        <v>433</v>
      </c>
      <c r="B713" t="s">
        <v>309</v>
      </c>
      <c r="C713">
        <v>33</v>
      </c>
      <c r="D713" s="1">
        <v>45855</v>
      </c>
      <c r="E713">
        <v>64900</v>
      </c>
      <c r="F713" t="s">
        <v>447</v>
      </c>
      <c r="G713">
        <v>784</v>
      </c>
    </row>
    <row r="714" spans="1:7" x14ac:dyDescent="0.3">
      <c r="A714" t="s">
        <v>433</v>
      </c>
      <c r="B714" t="s">
        <v>229</v>
      </c>
      <c r="C714">
        <v>33</v>
      </c>
      <c r="D714" s="1">
        <v>45854</v>
      </c>
      <c r="E714">
        <v>0</v>
      </c>
      <c r="F714" t="s">
        <v>514</v>
      </c>
      <c r="G714">
        <v>721</v>
      </c>
    </row>
    <row r="715" spans="1:7" x14ac:dyDescent="0.3">
      <c r="A715" t="s">
        <v>433</v>
      </c>
      <c r="B715" t="s">
        <v>235</v>
      </c>
      <c r="C715">
        <v>33</v>
      </c>
      <c r="D715" s="1">
        <v>45854</v>
      </c>
      <c r="E715">
        <v>18700</v>
      </c>
      <c r="F715" t="s">
        <v>519</v>
      </c>
      <c r="G715">
        <v>756</v>
      </c>
    </row>
    <row r="716" spans="1:7" x14ac:dyDescent="0.3">
      <c r="A716" t="s">
        <v>433</v>
      </c>
      <c r="B716" t="s">
        <v>226</v>
      </c>
      <c r="C716">
        <v>33</v>
      </c>
      <c r="D716" s="1">
        <v>45854</v>
      </c>
      <c r="E716">
        <v>84700</v>
      </c>
      <c r="F716" t="s">
        <v>532</v>
      </c>
      <c r="G716">
        <v>704</v>
      </c>
    </row>
    <row r="717" spans="1:7" x14ac:dyDescent="0.3">
      <c r="A717" t="s">
        <v>433</v>
      </c>
      <c r="B717" t="s">
        <v>310</v>
      </c>
      <c r="C717">
        <v>49</v>
      </c>
      <c r="D717" s="1">
        <v>45625</v>
      </c>
      <c r="E717">
        <v>0</v>
      </c>
      <c r="F717" t="s">
        <v>948</v>
      </c>
      <c r="G717">
        <v>1381</v>
      </c>
    </row>
  </sheetData>
  <sortState xmlns:xlrd2="http://schemas.microsoft.com/office/spreadsheetml/2017/richdata2" ref="A1:G717">
    <sortCondition ref="C1:C717"/>
  </sortState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026E9-3251-4892-867C-C102F218219E}">
  <dimension ref="A1:T167"/>
  <sheetViews>
    <sheetView topLeftCell="A112" workbookViewId="0">
      <selection activeCell="T140" sqref="T140"/>
    </sheetView>
  </sheetViews>
  <sheetFormatPr defaultRowHeight="16.5" x14ac:dyDescent="0.3"/>
  <cols>
    <col min="1" max="1" width="30.875" customWidth="1"/>
    <col min="4" max="4" width="11.125" bestFit="1" customWidth="1"/>
    <col min="10" max="10" width="11.875" bestFit="1" customWidth="1"/>
    <col min="11" max="11" width="10.875" bestFit="1" customWidth="1"/>
    <col min="13" max="13" width="11.875" bestFit="1" customWidth="1"/>
    <col min="16" max="16" width="11.875" bestFit="1" customWidth="1"/>
    <col min="17" max="17" width="14.375" bestFit="1" customWidth="1"/>
    <col min="18" max="18" width="16.5" bestFit="1" customWidth="1"/>
    <col min="19" max="19" width="11.25" bestFit="1" customWidth="1"/>
    <col min="20" max="20" width="13.25" bestFit="1" customWidth="1"/>
    <col min="21" max="21" width="5.5" bestFit="1" customWidth="1"/>
    <col min="22" max="22" width="14.5" bestFit="1" customWidth="1"/>
    <col min="23" max="23" width="10.75" bestFit="1" customWidth="1"/>
  </cols>
  <sheetData>
    <row r="1" spans="1:20" x14ac:dyDescent="0.3">
      <c r="A1" t="s">
        <v>222</v>
      </c>
      <c r="C1" t="s">
        <v>237</v>
      </c>
      <c r="D1" t="s">
        <v>238</v>
      </c>
      <c r="E1" t="s">
        <v>239</v>
      </c>
      <c r="F1" t="s">
        <v>240</v>
      </c>
      <c r="G1" t="s">
        <v>242</v>
      </c>
      <c r="I1" t="s">
        <v>1772</v>
      </c>
      <c r="J1" t="s">
        <v>1773</v>
      </c>
    </row>
    <row r="2" spans="1:20" x14ac:dyDescent="0.3">
      <c r="A2" t="s">
        <v>308</v>
      </c>
      <c r="B2" t="s">
        <v>231</v>
      </c>
      <c r="C2">
        <v>13</v>
      </c>
      <c r="D2" s="1">
        <v>45874</v>
      </c>
      <c r="E2">
        <v>537900</v>
      </c>
      <c r="F2" t="s">
        <v>315</v>
      </c>
      <c r="G2">
        <v>209</v>
      </c>
      <c r="I2">
        <f>COUNTA(A:A)</f>
        <v>167</v>
      </c>
      <c r="J2" s="9">
        <f>SUM(E:E)</f>
        <v>69517200</v>
      </c>
      <c r="K2" s="9">
        <v>10000</v>
      </c>
      <c r="L2" cm="1">
        <f t="array" ref="L2:L30">FREQUENCY(E:E, K2:K29)</f>
        <v>7</v>
      </c>
      <c r="M2" s="9">
        <f>L2*K2</f>
        <v>70000</v>
      </c>
      <c r="N2" s="11">
        <f>L2/I$2</f>
        <v>4.1916167664670656E-2</v>
      </c>
      <c r="P2" s="15" t="s">
        <v>1804</v>
      </c>
      <c r="Q2" t="s">
        <v>1808</v>
      </c>
      <c r="R2" t="s">
        <v>1835</v>
      </c>
      <c r="S2" t="s">
        <v>1809</v>
      </c>
      <c r="T2" t="s">
        <v>1839</v>
      </c>
    </row>
    <row r="3" spans="1:20" x14ac:dyDescent="0.3">
      <c r="A3" t="s">
        <v>308</v>
      </c>
      <c r="B3" t="s">
        <v>309</v>
      </c>
      <c r="C3">
        <v>30</v>
      </c>
      <c r="D3" s="1">
        <v>45858</v>
      </c>
      <c r="E3">
        <v>121000</v>
      </c>
      <c r="F3" t="s">
        <v>316</v>
      </c>
      <c r="G3">
        <v>187</v>
      </c>
      <c r="K3" s="9">
        <v>50000</v>
      </c>
      <c r="L3">
        <v>12</v>
      </c>
      <c r="M3" s="9">
        <f t="shared" ref="M3:M29" si="0">L3*K3</f>
        <v>600000</v>
      </c>
      <c r="N3" s="11">
        <f t="shared" ref="N3:N18" si="1">L3/I$2</f>
        <v>7.1856287425149698E-2</v>
      </c>
      <c r="P3" s="16">
        <v>0</v>
      </c>
      <c r="Q3" s="17">
        <v>0</v>
      </c>
      <c r="R3" s="17">
        <v>0</v>
      </c>
      <c r="S3" s="17">
        <v>1</v>
      </c>
      <c r="T3" s="17">
        <v>128</v>
      </c>
    </row>
    <row r="4" spans="1:20" x14ac:dyDescent="0.3">
      <c r="A4" t="s">
        <v>308</v>
      </c>
      <c r="B4" t="s">
        <v>231</v>
      </c>
      <c r="C4">
        <v>29</v>
      </c>
      <c r="D4" s="1">
        <v>45858</v>
      </c>
      <c r="E4">
        <v>267300</v>
      </c>
      <c r="F4" t="s">
        <v>317</v>
      </c>
      <c r="G4">
        <v>228</v>
      </c>
      <c r="K4" s="9">
        <v>100000</v>
      </c>
      <c r="L4">
        <v>3</v>
      </c>
      <c r="M4" s="9">
        <f t="shared" si="0"/>
        <v>300000</v>
      </c>
      <c r="N4" s="11">
        <f t="shared" si="1"/>
        <v>1.7964071856287425E-2</v>
      </c>
      <c r="P4" s="16">
        <v>7700</v>
      </c>
      <c r="Q4" s="17">
        <v>38500</v>
      </c>
      <c r="R4" s="17">
        <v>7700</v>
      </c>
      <c r="S4" s="17">
        <v>5</v>
      </c>
      <c r="T4" s="17">
        <v>40.4</v>
      </c>
    </row>
    <row r="5" spans="1:20" x14ac:dyDescent="0.3">
      <c r="A5" t="s">
        <v>308</v>
      </c>
      <c r="B5" t="s">
        <v>231</v>
      </c>
      <c r="C5">
        <v>34</v>
      </c>
      <c r="D5" s="1">
        <v>45854</v>
      </c>
      <c r="E5">
        <v>29700</v>
      </c>
      <c r="F5" t="s">
        <v>318</v>
      </c>
      <c r="G5">
        <v>185</v>
      </c>
      <c r="K5" s="9">
        <v>200000</v>
      </c>
      <c r="L5">
        <v>25</v>
      </c>
      <c r="M5" s="9">
        <f t="shared" si="0"/>
        <v>5000000</v>
      </c>
      <c r="N5" s="11">
        <f t="shared" si="1"/>
        <v>0.1497005988023952</v>
      </c>
      <c r="P5" s="16">
        <v>8800</v>
      </c>
      <c r="Q5" s="17">
        <v>8800</v>
      </c>
      <c r="R5" s="17">
        <v>8800</v>
      </c>
      <c r="S5" s="17">
        <v>1</v>
      </c>
      <c r="T5" s="17">
        <v>63</v>
      </c>
    </row>
    <row r="6" spans="1:20" x14ac:dyDescent="0.3">
      <c r="A6" t="s">
        <v>308</v>
      </c>
      <c r="B6" t="s">
        <v>309</v>
      </c>
      <c r="C6">
        <v>18</v>
      </c>
      <c r="D6" s="1">
        <v>45870</v>
      </c>
      <c r="E6">
        <v>372900</v>
      </c>
      <c r="F6" t="s">
        <v>319</v>
      </c>
      <c r="G6">
        <v>191</v>
      </c>
      <c r="K6" s="9">
        <v>300000</v>
      </c>
      <c r="L6">
        <v>14</v>
      </c>
      <c r="M6" s="9">
        <f t="shared" si="0"/>
        <v>4200000</v>
      </c>
      <c r="N6" s="11">
        <f t="shared" si="1"/>
        <v>8.3832335329341312E-2</v>
      </c>
      <c r="P6" s="16">
        <v>11000</v>
      </c>
      <c r="Q6" s="17">
        <v>11000</v>
      </c>
      <c r="R6" s="17">
        <v>11000</v>
      </c>
      <c r="S6" s="17">
        <v>1</v>
      </c>
      <c r="T6" s="17">
        <v>46</v>
      </c>
    </row>
    <row r="7" spans="1:20" x14ac:dyDescent="0.3">
      <c r="A7" t="s">
        <v>308</v>
      </c>
      <c r="B7" t="s">
        <v>309</v>
      </c>
      <c r="C7">
        <v>33</v>
      </c>
      <c r="D7" s="1">
        <v>45854</v>
      </c>
      <c r="E7">
        <v>144100</v>
      </c>
      <c r="F7" t="s">
        <v>320</v>
      </c>
      <c r="G7">
        <v>203</v>
      </c>
      <c r="K7" s="9">
        <v>400000</v>
      </c>
      <c r="L7">
        <v>30</v>
      </c>
      <c r="M7" s="9">
        <f t="shared" si="0"/>
        <v>12000000</v>
      </c>
      <c r="N7" s="11">
        <f t="shared" si="1"/>
        <v>0.17964071856287425</v>
      </c>
      <c r="P7" s="16">
        <v>14300</v>
      </c>
      <c r="Q7" s="17">
        <v>14300</v>
      </c>
      <c r="R7" s="17">
        <v>14300</v>
      </c>
      <c r="S7" s="17">
        <v>1</v>
      </c>
      <c r="T7" s="17">
        <v>51</v>
      </c>
    </row>
    <row r="8" spans="1:20" x14ac:dyDescent="0.3">
      <c r="A8" t="s">
        <v>308</v>
      </c>
      <c r="B8" t="s">
        <v>224</v>
      </c>
      <c r="C8">
        <v>23</v>
      </c>
      <c r="D8" s="1">
        <v>45865</v>
      </c>
      <c r="E8">
        <v>711700</v>
      </c>
      <c r="F8" t="s">
        <v>321</v>
      </c>
      <c r="G8">
        <v>177</v>
      </c>
      <c r="K8" s="9">
        <v>500000</v>
      </c>
      <c r="L8">
        <v>18</v>
      </c>
      <c r="M8" s="9">
        <f t="shared" si="0"/>
        <v>9000000</v>
      </c>
      <c r="N8" s="11">
        <f t="shared" si="1"/>
        <v>0.10778443113772455</v>
      </c>
      <c r="P8" s="16">
        <v>16500</v>
      </c>
      <c r="Q8" s="17">
        <v>16500</v>
      </c>
      <c r="R8" s="17">
        <v>16500</v>
      </c>
      <c r="S8" s="17">
        <v>1</v>
      </c>
      <c r="T8" s="17">
        <v>144</v>
      </c>
    </row>
    <row r="9" spans="1:20" x14ac:dyDescent="0.3">
      <c r="A9" t="s">
        <v>308</v>
      </c>
      <c r="B9" t="s">
        <v>224</v>
      </c>
      <c r="C9">
        <v>6</v>
      </c>
      <c r="D9" s="1">
        <v>45882</v>
      </c>
      <c r="E9">
        <v>1005400</v>
      </c>
      <c r="F9" t="s">
        <v>322</v>
      </c>
      <c r="G9">
        <v>184</v>
      </c>
      <c r="K9" s="9">
        <v>600000</v>
      </c>
      <c r="L9">
        <v>15</v>
      </c>
      <c r="M9" s="9">
        <f t="shared" si="0"/>
        <v>9000000</v>
      </c>
      <c r="N9" s="11">
        <f t="shared" si="1"/>
        <v>8.9820359281437126E-2</v>
      </c>
      <c r="P9" s="16">
        <v>20900</v>
      </c>
      <c r="Q9" s="17">
        <v>20900</v>
      </c>
      <c r="R9" s="17">
        <v>20900</v>
      </c>
      <c r="S9" s="17">
        <v>1</v>
      </c>
      <c r="T9" s="17">
        <v>47</v>
      </c>
    </row>
    <row r="10" spans="1:20" x14ac:dyDescent="0.3">
      <c r="A10" t="s">
        <v>308</v>
      </c>
      <c r="B10" t="s">
        <v>309</v>
      </c>
      <c r="C10">
        <v>30</v>
      </c>
      <c r="D10" s="1">
        <v>45857</v>
      </c>
      <c r="E10">
        <v>144100</v>
      </c>
      <c r="F10" t="s">
        <v>323</v>
      </c>
      <c r="G10">
        <v>186</v>
      </c>
      <c r="K10" s="9">
        <v>700000</v>
      </c>
      <c r="L10">
        <v>12</v>
      </c>
      <c r="M10" s="9">
        <f t="shared" si="0"/>
        <v>8400000</v>
      </c>
      <c r="N10" s="11">
        <f t="shared" si="1"/>
        <v>7.1856287425149698E-2</v>
      </c>
      <c r="P10" s="16">
        <v>23100</v>
      </c>
      <c r="Q10" s="17">
        <v>23100</v>
      </c>
      <c r="R10" s="17">
        <v>23100</v>
      </c>
      <c r="S10" s="17">
        <v>1</v>
      </c>
      <c r="T10" s="17">
        <v>30</v>
      </c>
    </row>
    <row r="11" spans="1:20" x14ac:dyDescent="0.3">
      <c r="A11" t="s">
        <v>308</v>
      </c>
      <c r="B11" t="s">
        <v>309</v>
      </c>
      <c r="C11">
        <v>31</v>
      </c>
      <c r="D11" s="1">
        <v>45857</v>
      </c>
      <c r="E11">
        <v>44000</v>
      </c>
      <c r="F11" t="s">
        <v>324</v>
      </c>
      <c r="G11">
        <v>183</v>
      </c>
      <c r="K11" s="9">
        <v>800000</v>
      </c>
      <c r="L11">
        <v>10</v>
      </c>
      <c r="M11" s="9">
        <f t="shared" si="0"/>
        <v>8000000</v>
      </c>
      <c r="N11" s="11">
        <f t="shared" si="1"/>
        <v>5.9880239520958084E-2</v>
      </c>
      <c r="P11" s="16">
        <v>29700</v>
      </c>
      <c r="Q11" s="17">
        <v>148500</v>
      </c>
      <c r="R11" s="17">
        <v>29700</v>
      </c>
      <c r="S11" s="17">
        <v>5</v>
      </c>
      <c r="T11" s="17">
        <v>64.400000000000006</v>
      </c>
    </row>
    <row r="12" spans="1:20" x14ac:dyDescent="0.3">
      <c r="A12" t="s">
        <v>308</v>
      </c>
      <c r="B12" t="s">
        <v>224</v>
      </c>
      <c r="C12">
        <v>25</v>
      </c>
      <c r="D12" s="1">
        <v>45863</v>
      </c>
      <c r="E12">
        <v>198000</v>
      </c>
      <c r="F12" t="s">
        <v>325</v>
      </c>
      <c r="G12">
        <v>180</v>
      </c>
      <c r="K12" s="9">
        <v>900000</v>
      </c>
      <c r="L12">
        <v>8</v>
      </c>
      <c r="M12" s="9">
        <f t="shared" si="0"/>
        <v>7200000</v>
      </c>
      <c r="N12" s="11">
        <f t="shared" si="1"/>
        <v>4.790419161676647E-2</v>
      </c>
      <c r="P12" s="16">
        <v>33000</v>
      </c>
      <c r="Q12" s="17">
        <v>33000</v>
      </c>
      <c r="R12" s="17">
        <v>33000</v>
      </c>
      <c r="S12" s="17">
        <v>1</v>
      </c>
      <c r="T12" s="17">
        <v>29</v>
      </c>
    </row>
    <row r="13" spans="1:20" x14ac:dyDescent="0.3">
      <c r="A13" t="s">
        <v>308</v>
      </c>
      <c r="B13" t="s">
        <v>229</v>
      </c>
      <c r="C13">
        <v>30</v>
      </c>
      <c r="D13" s="1">
        <v>45857</v>
      </c>
      <c r="E13">
        <v>23100</v>
      </c>
      <c r="F13" t="s">
        <v>326</v>
      </c>
      <c r="G13">
        <v>178</v>
      </c>
      <c r="K13" s="9">
        <v>1000000</v>
      </c>
      <c r="L13">
        <v>2</v>
      </c>
      <c r="M13" s="9">
        <f t="shared" si="0"/>
        <v>2000000</v>
      </c>
      <c r="N13" s="11">
        <f t="shared" si="1"/>
        <v>1.1976047904191617E-2</v>
      </c>
      <c r="P13" s="16">
        <v>44000</v>
      </c>
      <c r="Q13" s="17">
        <v>44000</v>
      </c>
      <c r="R13" s="17">
        <v>44000</v>
      </c>
      <c r="S13" s="17">
        <v>1</v>
      </c>
      <c r="T13" s="17">
        <v>31</v>
      </c>
    </row>
    <row r="14" spans="1:20" x14ac:dyDescent="0.3">
      <c r="A14" t="s">
        <v>308</v>
      </c>
      <c r="B14" t="s">
        <v>236</v>
      </c>
      <c r="C14">
        <v>32</v>
      </c>
      <c r="D14" s="1">
        <v>45856</v>
      </c>
      <c r="E14">
        <v>52800</v>
      </c>
      <c r="F14" t="s">
        <v>327</v>
      </c>
      <c r="G14">
        <v>186</v>
      </c>
      <c r="K14" s="9">
        <v>1100000</v>
      </c>
      <c r="L14">
        <v>6</v>
      </c>
      <c r="M14" s="9">
        <f t="shared" si="0"/>
        <v>6600000</v>
      </c>
      <c r="N14" s="11">
        <f t="shared" si="1"/>
        <v>3.5928143712574849E-2</v>
      </c>
      <c r="P14" s="16">
        <v>52800</v>
      </c>
      <c r="Q14" s="17">
        <v>52800</v>
      </c>
      <c r="R14" s="17">
        <v>52800</v>
      </c>
      <c r="S14" s="17">
        <v>1</v>
      </c>
      <c r="T14" s="17">
        <v>32</v>
      </c>
    </row>
    <row r="15" spans="1:20" x14ac:dyDescent="0.3">
      <c r="A15" t="s">
        <v>308</v>
      </c>
      <c r="B15" t="s">
        <v>310</v>
      </c>
      <c r="C15">
        <v>26</v>
      </c>
      <c r="D15" s="1">
        <v>45862</v>
      </c>
      <c r="E15">
        <v>292600</v>
      </c>
      <c r="F15" t="s">
        <v>328</v>
      </c>
      <c r="G15">
        <v>178</v>
      </c>
      <c r="K15" s="9">
        <v>1200000</v>
      </c>
      <c r="L15">
        <v>3</v>
      </c>
      <c r="M15" s="9">
        <f t="shared" si="0"/>
        <v>3600000</v>
      </c>
      <c r="N15" s="11">
        <f t="shared" si="1"/>
        <v>1.7964071856287425E-2</v>
      </c>
      <c r="P15" s="16">
        <v>58300</v>
      </c>
      <c r="Q15" s="17">
        <v>58300</v>
      </c>
      <c r="R15" s="17">
        <v>58300</v>
      </c>
      <c r="S15" s="17">
        <v>1</v>
      </c>
      <c r="T15" s="17">
        <v>31</v>
      </c>
    </row>
    <row r="16" spans="1:20" x14ac:dyDescent="0.3">
      <c r="A16" t="s">
        <v>308</v>
      </c>
      <c r="B16" t="s">
        <v>231</v>
      </c>
      <c r="C16">
        <v>30</v>
      </c>
      <c r="D16" s="1">
        <v>45857</v>
      </c>
      <c r="E16">
        <v>326700</v>
      </c>
      <c r="F16" t="s">
        <v>329</v>
      </c>
      <c r="G16">
        <v>182</v>
      </c>
      <c r="K16" s="9">
        <v>1300000</v>
      </c>
      <c r="L16">
        <v>0</v>
      </c>
      <c r="M16" s="9">
        <f t="shared" si="0"/>
        <v>0</v>
      </c>
      <c r="N16" s="11">
        <f t="shared" si="1"/>
        <v>0</v>
      </c>
      <c r="P16" s="16">
        <v>95700</v>
      </c>
      <c r="Q16" s="17">
        <v>95700</v>
      </c>
      <c r="R16" s="17">
        <v>95700</v>
      </c>
      <c r="S16" s="17">
        <v>1</v>
      </c>
      <c r="T16" s="17">
        <v>46</v>
      </c>
    </row>
    <row r="17" spans="1:20" x14ac:dyDescent="0.3">
      <c r="A17" t="s">
        <v>308</v>
      </c>
      <c r="B17" t="s">
        <v>228</v>
      </c>
      <c r="C17">
        <v>31</v>
      </c>
      <c r="D17" s="1">
        <v>45856</v>
      </c>
      <c r="E17">
        <v>58300</v>
      </c>
      <c r="F17" t="s">
        <v>330</v>
      </c>
      <c r="G17">
        <v>178</v>
      </c>
      <c r="K17" s="9">
        <v>1400000</v>
      </c>
      <c r="L17">
        <v>0</v>
      </c>
      <c r="M17" s="9">
        <f t="shared" si="0"/>
        <v>0</v>
      </c>
      <c r="N17" s="11">
        <f t="shared" si="1"/>
        <v>0</v>
      </c>
      <c r="P17" s="16">
        <v>108900</v>
      </c>
      <c r="Q17" s="17">
        <v>108900</v>
      </c>
      <c r="R17" s="17">
        <v>108900</v>
      </c>
      <c r="S17" s="17">
        <v>1</v>
      </c>
      <c r="T17" s="17">
        <v>30</v>
      </c>
    </row>
    <row r="18" spans="1:20" x14ac:dyDescent="0.3">
      <c r="A18" t="s">
        <v>308</v>
      </c>
      <c r="B18" t="s">
        <v>234</v>
      </c>
      <c r="C18">
        <v>16</v>
      </c>
      <c r="D18" s="1">
        <v>45871</v>
      </c>
      <c r="E18">
        <v>667700</v>
      </c>
      <c r="F18" t="s">
        <v>331</v>
      </c>
      <c r="G18">
        <v>176</v>
      </c>
      <c r="K18" s="9">
        <v>1500000</v>
      </c>
      <c r="L18">
        <v>1</v>
      </c>
      <c r="M18" s="9">
        <f t="shared" si="0"/>
        <v>1500000</v>
      </c>
      <c r="N18" s="11">
        <f t="shared" si="1"/>
        <v>5.9880239520958087E-3</v>
      </c>
      <c r="P18" s="16">
        <v>110000</v>
      </c>
      <c r="Q18" s="17">
        <v>110000</v>
      </c>
      <c r="R18" s="17">
        <v>110000</v>
      </c>
      <c r="S18" s="17">
        <v>1</v>
      </c>
      <c r="T18" s="17">
        <v>28</v>
      </c>
    </row>
    <row r="19" spans="1:20" x14ac:dyDescent="0.3">
      <c r="A19" t="s">
        <v>308</v>
      </c>
      <c r="B19" t="s">
        <v>234</v>
      </c>
      <c r="C19">
        <v>32</v>
      </c>
      <c r="D19" s="1">
        <v>45855</v>
      </c>
      <c r="E19">
        <v>125400</v>
      </c>
      <c r="F19" t="s">
        <v>332</v>
      </c>
      <c r="G19">
        <v>179</v>
      </c>
      <c r="K19" s="9">
        <v>1600000</v>
      </c>
      <c r="L19">
        <v>0</v>
      </c>
      <c r="M19" s="9">
        <f t="shared" si="0"/>
        <v>0</v>
      </c>
      <c r="P19" s="16">
        <v>113300</v>
      </c>
      <c r="Q19" s="17">
        <v>113300</v>
      </c>
      <c r="R19" s="17">
        <v>113300</v>
      </c>
      <c r="S19" s="17">
        <v>1</v>
      </c>
      <c r="T19" s="17">
        <v>23</v>
      </c>
    </row>
    <row r="20" spans="1:20" x14ac:dyDescent="0.3">
      <c r="A20" t="s">
        <v>308</v>
      </c>
      <c r="B20" t="s">
        <v>229</v>
      </c>
      <c r="C20">
        <v>32</v>
      </c>
      <c r="D20" s="1">
        <v>45855</v>
      </c>
      <c r="E20">
        <v>29700</v>
      </c>
      <c r="F20" t="s">
        <v>333</v>
      </c>
      <c r="G20">
        <v>176</v>
      </c>
      <c r="K20" s="9">
        <v>1700000</v>
      </c>
      <c r="L20">
        <v>0</v>
      </c>
      <c r="M20" s="9">
        <f t="shared" si="0"/>
        <v>0</v>
      </c>
      <c r="P20" s="16">
        <v>117700</v>
      </c>
      <c r="Q20" s="17">
        <v>117700</v>
      </c>
      <c r="R20" s="17">
        <v>117700</v>
      </c>
      <c r="S20" s="17">
        <v>1</v>
      </c>
      <c r="T20" s="17">
        <v>28</v>
      </c>
    </row>
    <row r="21" spans="1:20" x14ac:dyDescent="0.3">
      <c r="A21" t="s">
        <v>308</v>
      </c>
      <c r="B21" t="s">
        <v>309</v>
      </c>
      <c r="C21">
        <v>28</v>
      </c>
      <c r="D21" s="1">
        <v>45859</v>
      </c>
      <c r="E21">
        <v>110000</v>
      </c>
      <c r="F21" t="s">
        <v>334</v>
      </c>
      <c r="G21">
        <v>174</v>
      </c>
      <c r="K21" s="9">
        <v>1800000</v>
      </c>
      <c r="L21">
        <v>0</v>
      </c>
      <c r="M21" s="9">
        <f t="shared" si="0"/>
        <v>0</v>
      </c>
      <c r="P21" s="16">
        <v>121000</v>
      </c>
      <c r="Q21" s="17">
        <v>121000</v>
      </c>
      <c r="R21" s="17">
        <v>121000</v>
      </c>
      <c r="S21" s="17">
        <v>1</v>
      </c>
      <c r="T21" s="17">
        <v>30</v>
      </c>
    </row>
    <row r="22" spans="1:20" x14ac:dyDescent="0.3">
      <c r="A22" t="s">
        <v>308</v>
      </c>
      <c r="B22" t="s">
        <v>235</v>
      </c>
      <c r="C22">
        <v>28</v>
      </c>
      <c r="D22" s="1">
        <v>45858</v>
      </c>
      <c r="E22">
        <v>117700</v>
      </c>
      <c r="F22" t="s">
        <v>335</v>
      </c>
      <c r="G22">
        <v>199</v>
      </c>
      <c r="K22" s="9">
        <v>1900000</v>
      </c>
      <c r="L22">
        <v>0</v>
      </c>
      <c r="M22" s="9">
        <f t="shared" si="0"/>
        <v>0</v>
      </c>
      <c r="P22" s="16">
        <v>124300</v>
      </c>
      <c r="Q22" s="17">
        <v>248600</v>
      </c>
      <c r="R22" s="17">
        <v>124300</v>
      </c>
      <c r="S22" s="17">
        <v>2</v>
      </c>
      <c r="T22" s="17">
        <v>34.5</v>
      </c>
    </row>
    <row r="23" spans="1:20" x14ac:dyDescent="0.3">
      <c r="A23" t="s">
        <v>308</v>
      </c>
      <c r="B23" t="s">
        <v>311</v>
      </c>
      <c r="C23">
        <v>30</v>
      </c>
      <c r="D23" s="1">
        <v>45857</v>
      </c>
      <c r="E23">
        <v>108900</v>
      </c>
      <c r="F23" t="s">
        <v>336</v>
      </c>
      <c r="G23">
        <v>173</v>
      </c>
      <c r="K23" s="9">
        <v>2000000</v>
      </c>
      <c r="L23">
        <v>0</v>
      </c>
      <c r="M23" s="9">
        <f t="shared" si="0"/>
        <v>0</v>
      </c>
      <c r="P23" s="16">
        <v>125400</v>
      </c>
      <c r="Q23" s="17">
        <v>125400</v>
      </c>
      <c r="R23" s="17">
        <v>125400</v>
      </c>
      <c r="S23" s="17">
        <v>1</v>
      </c>
      <c r="T23" s="17">
        <v>32</v>
      </c>
    </row>
    <row r="24" spans="1:20" x14ac:dyDescent="0.3">
      <c r="A24" t="s">
        <v>308</v>
      </c>
      <c r="B24" t="s">
        <v>226</v>
      </c>
      <c r="C24">
        <v>12</v>
      </c>
      <c r="D24" s="1">
        <v>45875</v>
      </c>
      <c r="E24">
        <v>825000</v>
      </c>
      <c r="F24" t="s">
        <v>337</v>
      </c>
      <c r="G24">
        <v>170</v>
      </c>
      <c r="K24" s="9">
        <v>2100000</v>
      </c>
      <c r="L24">
        <v>0</v>
      </c>
      <c r="M24" s="9">
        <f t="shared" si="0"/>
        <v>0</v>
      </c>
      <c r="P24" s="16">
        <v>139700</v>
      </c>
      <c r="Q24" s="17">
        <v>279400</v>
      </c>
      <c r="R24" s="17">
        <v>139700</v>
      </c>
      <c r="S24" s="17">
        <v>2</v>
      </c>
      <c r="T24" s="17">
        <v>30.5</v>
      </c>
    </row>
    <row r="25" spans="1:20" x14ac:dyDescent="0.3">
      <c r="A25" t="s">
        <v>308</v>
      </c>
      <c r="B25" t="s">
        <v>231</v>
      </c>
      <c r="C25">
        <v>26</v>
      </c>
      <c r="D25" s="1">
        <v>45861</v>
      </c>
      <c r="E25">
        <v>193600</v>
      </c>
      <c r="F25" t="s">
        <v>338</v>
      </c>
      <c r="G25">
        <v>168</v>
      </c>
      <c r="K25" s="9">
        <v>2200000</v>
      </c>
      <c r="L25">
        <v>0</v>
      </c>
      <c r="M25" s="9">
        <f t="shared" si="0"/>
        <v>0</v>
      </c>
      <c r="P25" s="16">
        <v>140800</v>
      </c>
      <c r="Q25" s="17">
        <v>140800</v>
      </c>
      <c r="R25" s="17">
        <v>140800</v>
      </c>
      <c r="S25" s="17">
        <v>1</v>
      </c>
      <c r="T25" s="17">
        <v>31</v>
      </c>
    </row>
    <row r="26" spans="1:20" x14ac:dyDescent="0.3">
      <c r="A26" t="s">
        <v>308</v>
      </c>
      <c r="B26" t="s">
        <v>236</v>
      </c>
      <c r="C26">
        <v>32</v>
      </c>
      <c r="D26" s="1">
        <v>45854</v>
      </c>
      <c r="E26">
        <v>139700</v>
      </c>
      <c r="F26" t="s">
        <v>339</v>
      </c>
      <c r="G26">
        <v>168</v>
      </c>
      <c r="K26" s="9">
        <v>2300000</v>
      </c>
      <c r="L26">
        <v>0</v>
      </c>
      <c r="M26" s="9">
        <f t="shared" si="0"/>
        <v>0</v>
      </c>
      <c r="P26" s="16">
        <v>144100</v>
      </c>
      <c r="Q26" s="17">
        <v>288200</v>
      </c>
      <c r="R26" s="17">
        <v>144100</v>
      </c>
      <c r="S26" s="17">
        <v>2</v>
      </c>
      <c r="T26" s="17">
        <v>31.5</v>
      </c>
    </row>
    <row r="27" spans="1:20" x14ac:dyDescent="0.3">
      <c r="A27" t="s">
        <v>308</v>
      </c>
      <c r="B27" t="s">
        <v>310</v>
      </c>
      <c r="C27">
        <v>20</v>
      </c>
      <c r="D27" s="1">
        <v>45867</v>
      </c>
      <c r="E27">
        <v>341000</v>
      </c>
      <c r="F27" t="s">
        <v>340</v>
      </c>
      <c r="G27">
        <v>167</v>
      </c>
      <c r="K27" s="9">
        <v>2400000</v>
      </c>
      <c r="L27">
        <v>0</v>
      </c>
      <c r="M27" s="9">
        <f t="shared" si="0"/>
        <v>0</v>
      </c>
      <c r="P27" s="16">
        <v>150700</v>
      </c>
      <c r="Q27" s="17">
        <v>150700</v>
      </c>
      <c r="R27" s="17">
        <v>150700</v>
      </c>
      <c r="S27" s="17">
        <v>1</v>
      </c>
      <c r="T27" s="17">
        <v>31</v>
      </c>
    </row>
    <row r="28" spans="1:20" x14ac:dyDescent="0.3">
      <c r="A28" t="s">
        <v>308</v>
      </c>
      <c r="B28" t="s">
        <v>224</v>
      </c>
      <c r="C28">
        <v>22</v>
      </c>
      <c r="D28" s="1">
        <v>45864</v>
      </c>
      <c r="E28">
        <v>529100</v>
      </c>
      <c r="F28" t="s">
        <v>341</v>
      </c>
      <c r="G28">
        <v>169</v>
      </c>
      <c r="K28" s="9">
        <v>2500000</v>
      </c>
      <c r="L28">
        <v>0</v>
      </c>
      <c r="M28" s="9">
        <f t="shared" si="0"/>
        <v>0</v>
      </c>
      <c r="P28" s="16">
        <v>154000</v>
      </c>
      <c r="Q28" s="17">
        <v>154000</v>
      </c>
      <c r="R28" s="17">
        <v>154000</v>
      </c>
      <c r="S28" s="17">
        <v>1</v>
      </c>
      <c r="T28" s="17">
        <v>24</v>
      </c>
    </row>
    <row r="29" spans="1:20" x14ac:dyDescent="0.3">
      <c r="A29" t="s">
        <v>308</v>
      </c>
      <c r="B29" t="s">
        <v>232</v>
      </c>
      <c r="C29">
        <v>128</v>
      </c>
      <c r="D29" s="1">
        <v>45758</v>
      </c>
      <c r="E29">
        <v>0</v>
      </c>
      <c r="F29" t="s">
        <v>342</v>
      </c>
      <c r="G29">
        <v>1000</v>
      </c>
      <c r="K29" s="9">
        <v>2600000</v>
      </c>
      <c r="L29">
        <v>0</v>
      </c>
      <c r="M29" s="9">
        <f t="shared" si="0"/>
        <v>0</v>
      </c>
      <c r="P29" s="16">
        <v>156200</v>
      </c>
      <c r="Q29" s="17">
        <v>156200</v>
      </c>
      <c r="R29" s="17">
        <v>156200</v>
      </c>
      <c r="S29" s="17">
        <v>1</v>
      </c>
      <c r="T29" s="17">
        <v>30</v>
      </c>
    </row>
    <row r="30" spans="1:20" x14ac:dyDescent="0.3">
      <c r="A30" t="s">
        <v>308</v>
      </c>
      <c r="B30" t="s">
        <v>309</v>
      </c>
      <c r="C30">
        <v>31</v>
      </c>
      <c r="D30" s="1">
        <v>45855</v>
      </c>
      <c r="E30">
        <v>140800</v>
      </c>
      <c r="F30" t="s">
        <v>343</v>
      </c>
      <c r="G30">
        <v>168</v>
      </c>
      <c r="L30">
        <v>0</v>
      </c>
      <c r="P30" s="16">
        <v>161700</v>
      </c>
      <c r="Q30" s="17">
        <v>161700</v>
      </c>
      <c r="R30" s="17">
        <v>161700</v>
      </c>
      <c r="S30" s="17">
        <v>1</v>
      </c>
      <c r="T30" s="17">
        <v>26</v>
      </c>
    </row>
    <row r="31" spans="1:20" x14ac:dyDescent="0.3">
      <c r="A31" t="s">
        <v>308</v>
      </c>
      <c r="B31" t="s">
        <v>224</v>
      </c>
      <c r="C31">
        <v>30</v>
      </c>
      <c r="D31" s="1">
        <v>45856</v>
      </c>
      <c r="E31">
        <v>833800</v>
      </c>
      <c r="F31" t="s">
        <v>344</v>
      </c>
      <c r="G31">
        <v>163</v>
      </c>
      <c r="P31" s="16">
        <v>164400</v>
      </c>
      <c r="Q31" s="17">
        <v>164400</v>
      </c>
      <c r="R31" s="17">
        <v>164400</v>
      </c>
      <c r="S31" s="17">
        <v>1</v>
      </c>
      <c r="T31" s="17">
        <v>50</v>
      </c>
    </row>
    <row r="32" spans="1:20" x14ac:dyDescent="0.3">
      <c r="A32" t="s">
        <v>308</v>
      </c>
      <c r="B32" t="s">
        <v>231</v>
      </c>
      <c r="C32">
        <v>51</v>
      </c>
      <c r="D32" s="1">
        <v>45565</v>
      </c>
      <c r="E32">
        <v>14300</v>
      </c>
      <c r="F32" t="s">
        <v>345</v>
      </c>
      <c r="G32">
        <v>954</v>
      </c>
      <c r="P32" s="16">
        <v>172700</v>
      </c>
      <c r="Q32" s="17">
        <v>345400</v>
      </c>
      <c r="R32" s="17">
        <v>172700</v>
      </c>
      <c r="S32" s="17">
        <v>2</v>
      </c>
      <c r="T32" s="17">
        <v>24.5</v>
      </c>
    </row>
    <row r="33" spans="1:20" x14ac:dyDescent="0.3">
      <c r="A33" t="s">
        <v>308</v>
      </c>
      <c r="B33" t="s">
        <v>309</v>
      </c>
      <c r="C33">
        <v>26</v>
      </c>
      <c r="D33" s="1">
        <v>45860</v>
      </c>
      <c r="E33">
        <v>297000</v>
      </c>
      <c r="F33" t="s">
        <v>346</v>
      </c>
      <c r="G33">
        <v>162</v>
      </c>
      <c r="P33" s="16">
        <v>185900</v>
      </c>
      <c r="Q33" s="17">
        <v>371800</v>
      </c>
      <c r="R33" s="17">
        <v>185900</v>
      </c>
      <c r="S33" s="17">
        <v>2</v>
      </c>
      <c r="T33" s="17">
        <v>26.5</v>
      </c>
    </row>
    <row r="34" spans="1:20" x14ac:dyDescent="0.3">
      <c r="A34" t="s">
        <v>308</v>
      </c>
      <c r="B34" t="s">
        <v>309</v>
      </c>
      <c r="C34">
        <v>31</v>
      </c>
      <c r="D34" s="1">
        <v>45855</v>
      </c>
      <c r="E34">
        <v>202400</v>
      </c>
      <c r="F34" t="s">
        <v>347</v>
      </c>
      <c r="G34">
        <v>160</v>
      </c>
      <c r="P34" s="16">
        <v>190300</v>
      </c>
      <c r="Q34" s="17">
        <v>190300</v>
      </c>
      <c r="R34" s="17">
        <v>190300</v>
      </c>
      <c r="S34" s="17">
        <v>1</v>
      </c>
      <c r="T34" s="17">
        <v>26</v>
      </c>
    </row>
    <row r="35" spans="1:20" x14ac:dyDescent="0.3">
      <c r="A35" t="s">
        <v>308</v>
      </c>
      <c r="B35" t="s">
        <v>235</v>
      </c>
      <c r="C35">
        <v>30</v>
      </c>
      <c r="D35" s="1">
        <v>45856</v>
      </c>
      <c r="E35">
        <v>156200</v>
      </c>
      <c r="F35" t="s">
        <v>348</v>
      </c>
      <c r="G35">
        <v>161</v>
      </c>
      <c r="P35" s="16">
        <v>193600</v>
      </c>
      <c r="Q35" s="17">
        <v>193600</v>
      </c>
      <c r="R35" s="17">
        <v>193600</v>
      </c>
      <c r="S35" s="17">
        <v>1</v>
      </c>
      <c r="T35" s="17">
        <v>26</v>
      </c>
    </row>
    <row r="36" spans="1:20" x14ac:dyDescent="0.3">
      <c r="A36" t="s">
        <v>308</v>
      </c>
      <c r="B36" t="s">
        <v>228</v>
      </c>
      <c r="C36">
        <v>31</v>
      </c>
      <c r="D36" s="1">
        <v>45854</v>
      </c>
      <c r="E36">
        <v>150700</v>
      </c>
      <c r="F36" t="s">
        <v>349</v>
      </c>
      <c r="G36">
        <v>166</v>
      </c>
      <c r="P36" s="16">
        <v>198000</v>
      </c>
      <c r="Q36" s="17">
        <v>198000</v>
      </c>
      <c r="R36" s="17">
        <v>198000</v>
      </c>
      <c r="S36" s="17">
        <v>1</v>
      </c>
      <c r="T36" s="17">
        <v>25</v>
      </c>
    </row>
    <row r="37" spans="1:20" x14ac:dyDescent="0.3">
      <c r="A37" t="s">
        <v>308</v>
      </c>
      <c r="B37" t="s">
        <v>226</v>
      </c>
      <c r="C37">
        <v>15</v>
      </c>
      <c r="D37" s="1">
        <v>45871</v>
      </c>
      <c r="E37">
        <v>515900</v>
      </c>
      <c r="F37" t="s">
        <v>350</v>
      </c>
      <c r="G37">
        <v>165</v>
      </c>
      <c r="P37" s="16">
        <v>202400</v>
      </c>
      <c r="Q37" s="17">
        <v>202400</v>
      </c>
      <c r="R37" s="17">
        <v>202400</v>
      </c>
      <c r="S37" s="17">
        <v>1</v>
      </c>
      <c r="T37" s="17">
        <v>31</v>
      </c>
    </row>
    <row r="38" spans="1:20" x14ac:dyDescent="0.3">
      <c r="A38" t="s">
        <v>308</v>
      </c>
      <c r="B38" t="s">
        <v>229</v>
      </c>
      <c r="C38">
        <v>30</v>
      </c>
      <c r="D38" s="1">
        <v>45856</v>
      </c>
      <c r="E38">
        <v>7700</v>
      </c>
      <c r="F38" t="s">
        <v>351</v>
      </c>
      <c r="G38">
        <v>158</v>
      </c>
      <c r="P38" s="16">
        <v>211200</v>
      </c>
      <c r="Q38" s="17">
        <v>211200</v>
      </c>
      <c r="R38" s="17">
        <v>211200</v>
      </c>
      <c r="S38" s="17">
        <v>1</v>
      </c>
      <c r="T38" s="17">
        <v>27</v>
      </c>
    </row>
    <row r="39" spans="1:20" x14ac:dyDescent="0.3">
      <c r="A39" t="s">
        <v>308</v>
      </c>
      <c r="B39" t="s">
        <v>231</v>
      </c>
      <c r="C39">
        <v>29</v>
      </c>
      <c r="D39" s="1">
        <v>45857</v>
      </c>
      <c r="E39">
        <v>33000</v>
      </c>
      <c r="F39" t="s">
        <v>352</v>
      </c>
      <c r="G39">
        <v>156</v>
      </c>
      <c r="P39" s="16">
        <v>215600</v>
      </c>
      <c r="Q39" s="17">
        <v>431200</v>
      </c>
      <c r="R39" s="17">
        <v>215600</v>
      </c>
      <c r="S39" s="17">
        <v>2</v>
      </c>
      <c r="T39" s="17">
        <v>21.5</v>
      </c>
    </row>
    <row r="40" spans="1:20" x14ac:dyDescent="0.3">
      <c r="A40" t="s">
        <v>308</v>
      </c>
      <c r="B40" t="s">
        <v>226</v>
      </c>
      <c r="C40">
        <v>12</v>
      </c>
      <c r="D40" s="1">
        <v>45874</v>
      </c>
      <c r="E40">
        <v>729300</v>
      </c>
      <c r="F40" t="s">
        <v>353</v>
      </c>
      <c r="G40">
        <v>156</v>
      </c>
      <c r="P40" s="16">
        <v>216700</v>
      </c>
      <c r="Q40" s="17">
        <v>216700</v>
      </c>
      <c r="R40" s="17">
        <v>216700</v>
      </c>
      <c r="S40" s="17">
        <v>1</v>
      </c>
      <c r="T40" s="17">
        <v>25</v>
      </c>
    </row>
    <row r="41" spans="1:20" x14ac:dyDescent="0.3">
      <c r="A41" t="s">
        <v>308</v>
      </c>
      <c r="B41" t="s">
        <v>225</v>
      </c>
      <c r="C41">
        <v>22</v>
      </c>
      <c r="D41" s="1">
        <v>45863</v>
      </c>
      <c r="E41">
        <v>810700</v>
      </c>
      <c r="F41" t="s">
        <v>354</v>
      </c>
      <c r="G41">
        <v>157</v>
      </c>
      <c r="P41" s="16">
        <v>231000</v>
      </c>
      <c r="Q41" s="17">
        <v>231000</v>
      </c>
      <c r="R41" s="17">
        <v>231000</v>
      </c>
      <c r="S41" s="17">
        <v>1</v>
      </c>
      <c r="T41" s="17">
        <v>26</v>
      </c>
    </row>
    <row r="42" spans="1:20" x14ac:dyDescent="0.3">
      <c r="A42" t="s">
        <v>308</v>
      </c>
      <c r="B42" t="s">
        <v>309</v>
      </c>
      <c r="C42">
        <v>24</v>
      </c>
      <c r="D42" s="1">
        <v>45861</v>
      </c>
      <c r="E42">
        <v>447700</v>
      </c>
      <c r="F42" t="s">
        <v>355</v>
      </c>
      <c r="G42">
        <v>159</v>
      </c>
      <c r="P42" s="16">
        <v>239800</v>
      </c>
      <c r="Q42" s="17">
        <v>239800</v>
      </c>
      <c r="R42" s="17">
        <v>239800</v>
      </c>
      <c r="S42" s="17">
        <v>1</v>
      </c>
      <c r="T42" s="17">
        <v>29</v>
      </c>
    </row>
    <row r="43" spans="1:20" x14ac:dyDescent="0.3">
      <c r="A43" t="s">
        <v>308</v>
      </c>
      <c r="B43" t="s">
        <v>235</v>
      </c>
      <c r="C43">
        <v>25</v>
      </c>
      <c r="D43" s="1">
        <v>45859</v>
      </c>
      <c r="E43">
        <v>524700</v>
      </c>
      <c r="F43" t="s">
        <v>356</v>
      </c>
      <c r="G43">
        <v>206</v>
      </c>
      <c r="P43" s="16">
        <v>253000</v>
      </c>
      <c r="Q43" s="17">
        <v>253000</v>
      </c>
      <c r="R43" s="17">
        <v>253000</v>
      </c>
      <c r="S43" s="17">
        <v>1</v>
      </c>
      <c r="T43" s="17">
        <v>24</v>
      </c>
    </row>
    <row r="44" spans="1:20" x14ac:dyDescent="0.3">
      <c r="A44" t="s">
        <v>308</v>
      </c>
      <c r="B44" t="s">
        <v>233</v>
      </c>
      <c r="C44">
        <v>29</v>
      </c>
      <c r="D44" s="1">
        <v>45856</v>
      </c>
      <c r="E44">
        <v>239800</v>
      </c>
      <c r="F44" t="s">
        <v>357</v>
      </c>
      <c r="G44">
        <v>152</v>
      </c>
      <c r="P44" s="16">
        <v>262900</v>
      </c>
      <c r="Q44" s="17">
        <v>262900</v>
      </c>
      <c r="R44" s="17">
        <v>262900</v>
      </c>
      <c r="S44" s="17">
        <v>1</v>
      </c>
      <c r="T44" s="17">
        <v>26</v>
      </c>
    </row>
    <row r="45" spans="1:20" x14ac:dyDescent="0.3">
      <c r="A45" t="s">
        <v>308</v>
      </c>
      <c r="B45" t="s">
        <v>309</v>
      </c>
      <c r="C45">
        <v>19</v>
      </c>
      <c r="D45" s="1">
        <v>45855</v>
      </c>
      <c r="E45">
        <v>838200</v>
      </c>
      <c r="F45" t="s">
        <v>358</v>
      </c>
      <c r="G45">
        <v>154</v>
      </c>
      <c r="P45" s="16">
        <v>267300</v>
      </c>
      <c r="Q45" s="17">
        <v>267300</v>
      </c>
      <c r="R45" s="17">
        <v>267300</v>
      </c>
      <c r="S45" s="17">
        <v>1</v>
      </c>
      <c r="T45" s="17">
        <v>29</v>
      </c>
    </row>
    <row r="46" spans="1:20" x14ac:dyDescent="0.3">
      <c r="A46" t="s">
        <v>308</v>
      </c>
      <c r="B46" t="s">
        <v>226</v>
      </c>
      <c r="C46">
        <v>18</v>
      </c>
      <c r="D46" s="1">
        <v>45867</v>
      </c>
      <c r="E46">
        <v>667700</v>
      </c>
      <c r="F46" t="s">
        <v>359</v>
      </c>
      <c r="G46">
        <v>150</v>
      </c>
      <c r="P46" s="16">
        <v>280500</v>
      </c>
      <c r="Q46" s="17">
        <v>280500</v>
      </c>
      <c r="R46" s="17">
        <v>280500</v>
      </c>
      <c r="S46" s="17">
        <v>1</v>
      </c>
      <c r="T46" s="17">
        <v>23</v>
      </c>
    </row>
    <row r="47" spans="1:20" x14ac:dyDescent="0.3">
      <c r="A47" t="s">
        <v>308</v>
      </c>
      <c r="B47" t="s">
        <v>311</v>
      </c>
      <c r="C47">
        <v>17</v>
      </c>
      <c r="D47" s="1">
        <v>45868</v>
      </c>
      <c r="E47">
        <v>425700</v>
      </c>
      <c r="F47" t="s">
        <v>360</v>
      </c>
      <c r="G47">
        <v>149</v>
      </c>
      <c r="P47" s="16">
        <v>287100</v>
      </c>
      <c r="Q47" s="17">
        <v>287100</v>
      </c>
      <c r="R47" s="17">
        <v>287100</v>
      </c>
      <c r="S47" s="17">
        <v>1</v>
      </c>
      <c r="T47" s="17">
        <v>24</v>
      </c>
    </row>
    <row r="48" spans="1:20" x14ac:dyDescent="0.3">
      <c r="A48" t="s">
        <v>308</v>
      </c>
      <c r="B48" t="s">
        <v>224</v>
      </c>
      <c r="C48">
        <v>15</v>
      </c>
      <c r="D48" s="1">
        <v>45869</v>
      </c>
      <c r="E48">
        <v>642400</v>
      </c>
      <c r="F48" t="s">
        <v>361</v>
      </c>
      <c r="G48">
        <v>153</v>
      </c>
      <c r="P48" s="16">
        <v>292600</v>
      </c>
      <c r="Q48" s="17">
        <v>292600</v>
      </c>
      <c r="R48" s="17">
        <v>292600</v>
      </c>
      <c r="S48" s="17">
        <v>1</v>
      </c>
      <c r="T48" s="17">
        <v>26</v>
      </c>
    </row>
    <row r="49" spans="1:20" x14ac:dyDescent="0.3">
      <c r="A49" t="s">
        <v>308</v>
      </c>
      <c r="B49" t="s">
        <v>231</v>
      </c>
      <c r="C49">
        <v>28</v>
      </c>
      <c r="D49" s="1">
        <v>45857</v>
      </c>
      <c r="E49">
        <v>326700</v>
      </c>
      <c r="F49" t="s">
        <v>362</v>
      </c>
      <c r="G49">
        <v>147</v>
      </c>
      <c r="P49" s="16">
        <v>297000</v>
      </c>
      <c r="Q49" s="17">
        <v>297000</v>
      </c>
      <c r="R49" s="17">
        <v>297000</v>
      </c>
      <c r="S49" s="17">
        <v>1</v>
      </c>
      <c r="T49" s="17">
        <v>26</v>
      </c>
    </row>
    <row r="50" spans="1:20" x14ac:dyDescent="0.3">
      <c r="A50" t="s">
        <v>308</v>
      </c>
      <c r="B50" t="s">
        <v>228</v>
      </c>
      <c r="C50">
        <v>31</v>
      </c>
      <c r="D50" s="1">
        <v>45854</v>
      </c>
      <c r="E50">
        <v>7700</v>
      </c>
      <c r="F50" t="s">
        <v>363</v>
      </c>
      <c r="G50">
        <v>146</v>
      </c>
      <c r="P50" s="16">
        <v>302500</v>
      </c>
      <c r="Q50" s="17">
        <v>302500</v>
      </c>
      <c r="R50" s="17">
        <v>302500</v>
      </c>
      <c r="S50" s="17">
        <v>1</v>
      </c>
      <c r="T50" s="17">
        <v>20</v>
      </c>
    </row>
    <row r="51" spans="1:20" x14ac:dyDescent="0.3">
      <c r="A51" t="s">
        <v>308</v>
      </c>
      <c r="B51" t="s">
        <v>224</v>
      </c>
      <c r="C51">
        <v>10</v>
      </c>
      <c r="D51" s="1">
        <v>45874</v>
      </c>
      <c r="E51">
        <v>751300</v>
      </c>
      <c r="F51" t="s">
        <v>364</v>
      </c>
      <c r="G51">
        <v>173</v>
      </c>
      <c r="P51" s="16">
        <v>303600</v>
      </c>
      <c r="Q51" s="17">
        <v>303600</v>
      </c>
      <c r="R51" s="17">
        <v>303600</v>
      </c>
      <c r="S51" s="17">
        <v>1</v>
      </c>
      <c r="T51" s="17">
        <v>17</v>
      </c>
    </row>
    <row r="52" spans="1:20" x14ac:dyDescent="0.3">
      <c r="A52" t="s">
        <v>308</v>
      </c>
      <c r="B52" t="s">
        <v>234</v>
      </c>
      <c r="C52">
        <v>27</v>
      </c>
      <c r="D52" s="1">
        <v>45857</v>
      </c>
      <c r="E52">
        <v>374000</v>
      </c>
      <c r="F52" t="s">
        <v>365</v>
      </c>
      <c r="G52">
        <v>143</v>
      </c>
      <c r="P52" s="16">
        <v>304700</v>
      </c>
      <c r="Q52" s="17">
        <v>304700</v>
      </c>
      <c r="R52" s="17">
        <v>304700</v>
      </c>
      <c r="S52" s="17">
        <v>1</v>
      </c>
      <c r="T52" s="17">
        <v>24</v>
      </c>
    </row>
    <row r="53" spans="1:20" x14ac:dyDescent="0.3">
      <c r="A53" t="s">
        <v>308</v>
      </c>
      <c r="B53" t="s">
        <v>234</v>
      </c>
      <c r="C53">
        <v>28</v>
      </c>
      <c r="D53" s="1">
        <v>45856</v>
      </c>
      <c r="E53">
        <v>172700</v>
      </c>
      <c r="F53" t="s">
        <v>366</v>
      </c>
      <c r="G53">
        <v>143</v>
      </c>
      <c r="P53" s="16">
        <v>309100</v>
      </c>
      <c r="Q53" s="17">
        <v>309100</v>
      </c>
      <c r="R53" s="17">
        <v>309100</v>
      </c>
      <c r="S53" s="17">
        <v>1</v>
      </c>
      <c r="T53" s="17">
        <v>22</v>
      </c>
    </row>
    <row r="54" spans="1:20" x14ac:dyDescent="0.3">
      <c r="A54" t="s">
        <v>308</v>
      </c>
      <c r="B54" t="s">
        <v>236</v>
      </c>
      <c r="C54">
        <v>23</v>
      </c>
      <c r="D54" s="1">
        <v>45860</v>
      </c>
      <c r="E54">
        <v>506000</v>
      </c>
      <c r="F54" t="s">
        <v>367</v>
      </c>
      <c r="G54">
        <v>147</v>
      </c>
      <c r="P54" s="16">
        <v>315700</v>
      </c>
      <c r="Q54" s="17">
        <v>631400</v>
      </c>
      <c r="R54" s="17">
        <v>315700</v>
      </c>
      <c r="S54" s="17">
        <v>2</v>
      </c>
      <c r="T54" s="17">
        <v>24</v>
      </c>
    </row>
    <row r="55" spans="1:20" x14ac:dyDescent="0.3">
      <c r="A55" t="s">
        <v>308</v>
      </c>
      <c r="B55" t="s">
        <v>231</v>
      </c>
      <c r="C55">
        <v>46</v>
      </c>
      <c r="D55" s="1">
        <v>45837</v>
      </c>
      <c r="E55">
        <v>95700</v>
      </c>
      <c r="F55" t="s">
        <v>368</v>
      </c>
      <c r="G55">
        <v>951</v>
      </c>
      <c r="P55" s="16">
        <v>319000</v>
      </c>
      <c r="Q55" s="17">
        <v>319000</v>
      </c>
      <c r="R55" s="17">
        <v>319000</v>
      </c>
      <c r="S55" s="17">
        <v>1</v>
      </c>
      <c r="T55" s="17">
        <v>23</v>
      </c>
    </row>
    <row r="56" spans="1:20" x14ac:dyDescent="0.3">
      <c r="A56" t="s">
        <v>308</v>
      </c>
      <c r="B56" t="s">
        <v>228</v>
      </c>
      <c r="C56">
        <v>13</v>
      </c>
      <c r="D56" s="1">
        <v>45871</v>
      </c>
      <c r="E56">
        <v>872300</v>
      </c>
      <c r="F56" t="s">
        <v>369</v>
      </c>
      <c r="G56">
        <v>161</v>
      </c>
      <c r="P56" s="16">
        <v>324500</v>
      </c>
      <c r="Q56" s="17">
        <v>324500</v>
      </c>
      <c r="R56" s="17">
        <v>324500</v>
      </c>
      <c r="S56" s="17">
        <v>1</v>
      </c>
      <c r="T56" s="17">
        <v>17</v>
      </c>
    </row>
    <row r="57" spans="1:20" x14ac:dyDescent="0.3">
      <c r="A57" t="s">
        <v>308</v>
      </c>
      <c r="B57" t="s">
        <v>309</v>
      </c>
      <c r="C57">
        <v>24</v>
      </c>
      <c r="D57" s="1">
        <v>45860</v>
      </c>
      <c r="E57">
        <v>304700</v>
      </c>
      <c r="F57" t="s">
        <v>370</v>
      </c>
      <c r="G57">
        <v>142</v>
      </c>
      <c r="P57" s="16">
        <v>326700</v>
      </c>
      <c r="Q57" s="17">
        <v>980100</v>
      </c>
      <c r="R57" s="17">
        <v>326700</v>
      </c>
      <c r="S57" s="17">
        <v>3</v>
      </c>
      <c r="T57" s="17">
        <v>28.333333333333332</v>
      </c>
    </row>
    <row r="58" spans="1:20" x14ac:dyDescent="0.3">
      <c r="A58" t="s">
        <v>308</v>
      </c>
      <c r="B58" t="s">
        <v>224</v>
      </c>
      <c r="C58">
        <v>27</v>
      </c>
      <c r="D58" s="1">
        <v>45856</v>
      </c>
      <c r="E58">
        <v>326700</v>
      </c>
      <c r="F58" t="s">
        <v>371</v>
      </c>
      <c r="G58">
        <v>139</v>
      </c>
      <c r="P58" s="16">
        <v>341000</v>
      </c>
      <c r="Q58" s="17">
        <v>341000</v>
      </c>
      <c r="R58" s="17">
        <v>341000</v>
      </c>
      <c r="S58" s="17">
        <v>1</v>
      </c>
      <c r="T58" s="17">
        <v>20</v>
      </c>
    </row>
    <row r="59" spans="1:20" x14ac:dyDescent="0.3">
      <c r="A59" t="s">
        <v>308</v>
      </c>
      <c r="B59" t="s">
        <v>228</v>
      </c>
      <c r="C59">
        <v>19</v>
      </c>
      <c r="D59" s="1">
        <v>45865</v>
      </c>
      <c r="E59">
        <v>435600</v>
      </c>
      <c r="F59" t="s">
        <v>372</v>
      </c>
      <c r="G59">
        <v>138</v>
      </c>
      <c r="P59" s="16">
        <v>343200</v>
      </c>
      <c r="Q59" s="17">
        <v>343200</v>
      </c>
      <c r="R59" s="17">
        <v>343200</v>
      </c>
      <c r="S59" s="17">
        <v>1</v>
      </c>
      <c r="T59" s="17">
        <v>18</v>
      </c>
    </row>
    <row r="60" spans="1:20" x14ac:dyDescent="0.3">
      <c r="A60" t="s">
        <v>308</v>
      </c>
      <c r="B60" t="s">
        <v>309</v>
      </c>
      <c r="C60">
        <v>28</v>
      </c>
      <c r="D60" s="1">
        <v>45856</v>
      </c>
      <c r="E60">
        <v>315700</v>
      </c>
      <c r="F60" t="s">
        <v>373</v>
      </c>
      <c r="G60">
        <v>138</v>
      </c>
      <c r="P60" s="16">
        <v>346500</v>
      </c>
      <c r="Q60" s="17">
        <v>346500</v>
      </c>
      <c r="R60" s="17">
        <v>346500</v>
      </c>
      <c r="S60" s="17">
        <v>1</v>
      </c>
      <c r="T60" s="17">
        <v>18</v>
      </c>
    </row>
    <row r="61" spans="1:20" x14ac:dyDescent="0.3">
      <c r="A61" t="s">
        <v>308</v>
      </c>
      <c r="B61" t="s">
        <v>311</v>
      </c>
      <c r="C61">
        <v>27</v>
      </c>
      <c r="D61" s="1">
        <v>45856</v>
      </c>
      <c r="E61">
        <v>211200</v>
      </c>
      <c r="F61" t="s">
        <v>374</v>
      </c>
      <c r="G61">
        <v>137</v>
      </c>
      <c r="P61" s="16">
        <v>350900</v>
      </c>
      <c r="Q61" s="17">
        <v>350900</v>
      </c>
      <c r="R61" s="17">
        <v>350900</v>
      </c>
      <c r="S61" s="17">
        <v>1</v>
      </c>
      <c r="T61" s="17">
        <v>19</v>
      </c>
    </row>
    <row r="62" spans="1:20" x14ac:dyDescent="0.3">
      <c r="A62" t="s">
        <v>308</v>
      </c>
      <c r="B62" t="s">
        <v>225</v>
      </c>
      <c r="C62">
        <v>19</v>
      </c>
      <c r="D62" s="1">
        <v>45864</v>
      </c>
      <c r="E62">
        <v>215600</v>
      </c>
      <c r="F62" t="s">
        <v>375</v>
      </c>
      <c r="G62">
        <v>135</v>
      </c>
      <c r="P62" s="16">
        <v>352000</v>
      </c>
      <c r="Q62" s="17">
        <v>352000</v>
      </c>
      <c r="R62" s="17">
        <v>352000</v>
      </c>
      <c r="S62" s="17">
        <v>1</v>
      </c>
      <c r="T62" s="17">
        <v>25</v>
      </c>
    </row>
    <row r="63" spans="1:20" x14ac:dyDescent="0.3">
      <c r="A63" t="s">
        <v>308</v>
      </c>
      <c r="B63" t="s">
        <v>235</v>
      </c>
      <c r="C63">
        <v>17</v>
      </c>
      <c r="D63" s="1">
        <v>45866</v>
      </c>
      <c r="E63">
        <v>303600</v>
      </c>
      <c r="F63" t="s">
        <v>376</v>
      </c>
      <c r="G63">
        <v>134</v>
      </c>
      <c r="P63" s="16">
        <v>355300</v>
      </c>
      <c r="Q63" s="17">
        <v>710600</v>
      </c>
      <c r="R63" s="17">
        <v>355300</v>
      </c>
      <c r="S63" s="17">
        <v>2</v>
      </c>
      <c r="T63" s="17">
        <v>20.5</v>
      </c>
    </row>
    <row r="64" spans="1:20" x14ac:dyDescent="0.3">
      <c r="A64" t="s">
        <v>308</v>
      </c>
      <c r="B64" t="s">
        <v>229</v>
      </c>
      <c r="C64">
        <v>29</v>
      </c>
      <c r="D64" s="1">
        <v>45854</v>
      </c>
      <c r="E64">
        <v>29700</v>
      </c>
      <c r="F64" t="s">
        <v>377</v>
      </c>
      <c r="G64">
        <v>134</v>
      </c>
      <c r="P64" s="16">
        <v>359700</v>
      </c>
      <c r="Q64" s="17">
        <v>719400</v>
      </c>
      <c r="R64" s="17">
        <v>359700</v>
      </c>
      <c r="S64" s="17">
        <v>2</v>
      </c>
      <c r="T64" s="17">
        <v>21</v>
      </c>
    </row>
    <row r="65" spans="1:20" x14ac:dyDescent="0.3">
      <c r="A65" t="s">
        <v>308</v>
      </c>
      <c r="B65" t="s">
        <v>231</v>
      </c>
      <c r="C65">
        <v>29</v>
      </c>
      <c r="D65" s="1">
        <v>45854</v>
      </c>
      <c r="E65">
        <v>139700</v>
      </c>
      <c r="F65" t="s">
        <v>378</v>
      </c>
      <c r="G65">
        <v>132</v>
      </c>
      <c r="P65" s="16">
        <v>364100</v>
      </c>
      <c r="Q65" s="17">
        <v>364100</v>
      </c>
      <c r="R65" s="17">
        <v>364100</v>
      </c>
      <c r="S65" s="17">
        <v>1</v>
      </c>
      <c r="T65" s="17">
        <v>22</v>
      </c>
    </row>
    <row r="66" spans="1:20" x14ac:dyDescent="0.3">
      <c r="A66" t="s">
        <v>308</v>
      </c>
      <c r="B66" t="s">
        <v>311</v>
      </c>
      <c r="C66">
        <v>26</v>
      </c>
      <c r="D66" s="1">
        <v>45856</v>
      </c>
      <c r="E66">
        <v>190300</v>
      </c>
      <c r="F66" t="s">
        <v>379</v>
      </c>
      <c r="G66">
        <v>130</v>
      </c>
      <c r="P66" s="16">
        <v>368500</v>
      </c>
      <c r="Q66" s="17">
        <v>368500</v>
      </c>
      <c r="R66" s="17">
        <v>368500</v>
      </c>
      <c r="S66" s="17">
        <v>1</v>
      </c>
      <c r="T66" s="17">
        <v>24</v>
      </c>
    </row>
    <row r="67" spans="1:20" x14ac:dyDescent="0.3">
      <c r="A67" t="s">
        <v>308</v>
      </c>
      <c r="B67" t="s">
        <v>226</v>
      </c>
      <c r="C67">
        <v>26</v>
      </c>
      <c r="D67" s="1">
        <v>45856</v>
      </c>
      <c r="E67">
        <v>369600</v>
      </c>
      <c r="F67" t="s">
        <v>380</v>
      </c>
      <c r="G67">
        <v>129</v>
      </c>
      <c r="P67" s="16">
        <v>369600</v>
      </c>
      <c r="Q67" s="17">
        <v>369600</v>
      </c>
      <c r="R67" s="17">
        <v>369600</v>
      </c>
      <c r="S67" s="17">
        <v>1</v>
      </c>
      <c r="T67" s="17">
        <v>26</v>
      </c>
    </row>
    <row r="68" spans="1:20" x14ac:dyDescent="0.3">
      <c r="A68" t="s">
        <v>308</v>
      </c>
      <c r="B68" t="s">
        <v>310</v>
      </c>
      <c r="C68">
        <v>23</v>
      </c>
      <c r="D68" s="1">
        <v>45860</v>
      </c>
      <c r="E68">
        <v>319000</v>
      </c>
      <c r="F68" t="s">
        <v>381</v>
      </c>
      <c r="G68">
        <v>131</v>
      </c>
      <c r="P68" s="16">
        <v>372900</v>
      </c>
      <c r="Q68" s="17">
        <v>745800</v>
      </c>
      <c r="R68" s="17">
        <v>372900</v>
      </c>
      <c r="S68" s="17">
        <v>2</v>
      </c>
      <c r="T68" s="17">
        <v>17.5</v>
      </c>
    </row>
    <row r="69" spans="1:20" x14ac:dyDescent="0.3">
      <c r="A69" t="s">
        <v>308</v>
      </c>
      <c r="B69" t="s">
        <v>228</v>
      </c>
      <c r="C69">
        <v>27</v>
      </c>
      <c r="D69" s="1">
        <v>45856</v>
      </c>
      <c r="E69">
        <v>185900</v>
      </c>
      <c r="F69" t="s">
        <v>382</v>
      </c>
      <c r="G69">
        <v>130</v>
      </c>
      <c r="P69" s="16">
        <v>374000</v>
      </c>
      <c r="Q69" s="17">
        <v>748000</v>
      </c>
      <c r="R69" s="17">
        <v>374000</v>
      </c>
      <c r="S69" s="17">
        <v>2</v>
      </c>
      <c r="T69" s="17">
        <v>27.5</v>
      </c>
    </row>
    <row r="70" spans="1:20" x14ac:dyDescent="0.3">
      <c r="A70" t="s">
        <v>308</v>
      </c>
      <c r="B70" t="s">
        <v>226</v>
      </c>
      <c r="C70">
        <v>10</v>
      </c>
      <c r="D70" s="1">
        <v>45872</v>
      </c>
      <c r="E70">
        <v>788700</v>
      </c>
      <c r="F70" t="s">
        <v>383</v>
      </c>
      <c r="G70">
        <v>127</v>
      </c>
      <c r="P70" s="16">
        <v>389400</v>
      </c>
      <c r="Q70" s="17">
        <v>389400</v>
      </c>
      <c r="R70" s="17">
        <v>389400</v>
      </c>
      <c r="S70" s="17">
        <v>1</v>
      </c>
      <c r="T70" s="17">
        <v>23</v>
      </c>
    </row>
    <row r="71" spans="1:20" x14ac:dyDescent="0.3">
      <c r="A71" t="s">
        <v>308</v>
      </c>
      <c r="B71" t="s">
        <v>310</v>
      </c>
      <c r="C71">
        <v>18</v>
      </c>
      <c r="D71" s="1">
        <v>45864</v>
      </c>
      <c r="E71">
        <v>346500</v>
      </c>
      <c r="F71" t="s">
        <v>384</v>
      </c>
      <c r="G71">
        <v>124</v>
      </c>
      <c r="P71" s="16">
        <v>390500</v>
      </c>
      <c r="Q71" s="17">
        <v>390500</v>
      </c>
      <c r="R71" s="17">
        <v>390500</v>
      </c>
      <c r="S71" s="17">
        <v>1</v>
      </c>
      <c r="T71" s="17">
        <v>25</v>
      </c>
    </row>
    <row r="72" spans="1:20" x14ac:dyDescent="0.3">
      <c r="A72" t="s">
        <v>308</v>
      </c>
      <c r="B72" t="s">
        <v>231</v>
      </c>
      <c r="C72">
        <v>28</v>
      </c>
      <c r="D72" s="1">
        <v>45853</v>
      </c>
      <c r="E72">
        <v>374000</v>
      </c>
      <c r="F72" t="s">
        <v>385</v>
      </c>
      <c r="G72">
        <v>128</v>
      </c>
      <c r="P72" s="16">
        <v>397100</v>
      </c>
      <c r="Q72" s="17">
        <v>397100</v>
      </c>
      <c r="R72" s="17">
        <v>397100</v>
      </c>
      <c r="S72" s="17">
        <v>1</v>
      </c>
      <c r="T72" s="17">
        <v>13</v>
      </c>
    </row>
    <row r="73" spans="1:20" x14ac:dyDescent="0.3">
      <c r="A73" t="s">
        <v>308</v>
      </c>
      <c r="B73" t="s">
        <v>309</v>
      </c>
      <c r="C73">
        <v>45</v>
      </c>
      <c r="D73" s="1">
        <v>45837</v>
      </c>
      <c r="E73">
        <v>7700</v>
      </c>
      <c r="F73" t="s">
        <v>386</v>
      </c>
      <c r="G73">
        <v>950</v>
      </c>
      <c r="P73" s="16">
        <v>409200</v>
      </c>
      <c r="Q73" s="17">
        <v>409200</v>
      </c>
      <c r="R73" s="17">
        <v>409200</v>
      </c>
      <c r="S73" s="17">
        <v>1</v>
      </c>
      <c r="T73" s="17">
        <v>18</v>
      </c>
    </row>
    <row r="74" spans="1:20" x14ac:dyDescent="0.3">
      <c r="A74" t="s">
        <v>308</v>
      </c>
      <c r="B74" t="s">
        <v>228</v>
      </c>
      <c r="C74">
        <v>14</v>
      </c>
      <c r="D74" s="1">
        <v>45867</v>
      </c>
      <c r="E74">
        <v>447700</v>
      </c>
      <c r="F74" t="s">
        <v>387</v>
      </c>
      <c r="G74">
        <v>123</v>
      </c>
      <c r="P74" s="16">
        <v>416900</v>
      </c>
      <c r="Q74" s="17">
        <v>833800</v>
      </c>
      <c r="R74" s="17">
        <v>416900</v>
      </c>
      <c r="S74" s="17">
        <v>2</v>
      </c>
      <c r="T74" s="17">
        <v>21</v>
      </c>
    </row>
    <row r="75" spans="1:20" x14ac:dyDescent="0.3">
      <c r="A75" t="s">
        <v>308</v>
      </c>
      <c r="B75" t="s">
        <v>309</v>
      </c>
      <c r="C75">
        <v>25</v>
      </c>
      <c r="D75" s="1">
        <v>45857</v>
      </c>
      <c r="E75">
        <v>352000</v>
      </c>
      <c r="F75" t="s">
        <v>388</v>
      </c>
      <c r="G75">
        <v>120</v>
      </c>
      <c r="P75" s="16">
        <v>423500</v>
      </c>
      <c r="Q75" s="17">
        <v>423500</v>
      </c>
      <c r="R75" s="17">
        <v>423500</v>
      </c>
      <c r="S75" s="17">
        <v>1</v>
      </c>
      <c r="T75" s="17">
        <v>16</v>
      </c>
    </row>
    <row r="76" spans="1:20" x14ac:dyDescent="0.3">
      <c r="A76" t="s">
        <v>308</v>
      </c>
      <c r="B76" t="s">
        <v>231</v>
      </c>
      <c r="C76">
        <v>46</v>
      </c>
      <c r="D76" s="1">
        <v>45836</v>
      </c>
      <c r="E76">
        <v>11000</v>
      </c>
      <c r="F76" t="s">
        <v>389</v>
      </c>
      <c r="G76">
        <v>969</v>
      </c>
      <c r="P76" s="16">
        <v>425700</v>
      </c>
      <c r="Q76" s="17">
        <v>425700</v>
      </c>
      <c r="R76" s="17">
        <v>425700</v>
      </c>
      <c r="S76" s="17">
        <v>1</v>
      </c>
      <c r="T76" s="17">
        <v>17</v>
      </c>
    </row>
    <row r="77" spans="1:20" x14ac:dyDescent="0.3">
      <c r="A77" t="s">
        <v>308</v>
      </c>
      <c r="B77" t="s">
        <v>224</v>
      </c>
      <c r="C77">
        <v>21</v>
      </c>
      <c r="D77" s="1">
        <v>45860</v>
      </c>
      <c r="E77">
        <v>455400</v>
      </c>
      <c r="F77" t="s">
        <v>390</v>
      </c>
      <c r="G77">
        <v>119</v>
      </c>
      <c r="P77" s="16">
        <v>435600</v>
      </c>
      <c r="Q77" s="17">
        <v>435600</v>
      </c>
      <c r="R77" s="17">
        <v>435600</v>
      </c>
      <c r="S77" s="17">
        <v>1</v>
      </c>
      <c r="T77" s="17">
        <v>19</v>
      </c>
    </row>
    <row r="78" spans="1:20" x14ac:dyDescent="0.3">
      <c r="A78" t="s">
        <v>308</v>
      </c>
      <c r="B78" t="s">
        <v>224</v>
      </c>
      <c r="C78">
        <v>17</v>
      </c>
      <c r="D78" s="1">
        <v>45865</v>
      </c>
      <c r="E78">
        <v>324500</v>
      </c>
      <c r="F78" t="s">
        <v>246</v>
      </c>
      <c r="G78">
        <v>118</v>
      </c>
      <c r="P78" s="16">
        <v>442200</v>
      </c>
      <c r="Q78" s="17">
        <v>442200</v>
      </c>
      <c r="R78" s="17">
        <v>442200</v>
      </c>
      <c r="S78" s="17">
        <v>1</v>
      </c>
      <c r="T78" s="17">
        <v>21</v>
      </c>
    </row>
    <row r="79" spans="1:20" x14ac:dyDescent="0.3">
      <c r="A79" t="s">
        <v>308</v>
      </c>
      <c r="B79" t="s">
        <v>234</v>
      </c>
      <c r="C79">
        <v>15</v>
      </c>
      <c r="D79" s="1">
        <v>45867</v>
      </c>
      <c r="E79">
        <v>536800</v>
      </c>
      <c r="F79" t="s">
        <v>253</v>
      </c>
      <c r="G79">
        <v>123</v>
      </c>
      <c r="P79" s="16">
        <v>447700</v>
      </c>
      <c r="Q79" s="17">
        <v>895400</v>
      </c>
      <c r="R79" s="17">
        <v>447700</v>
      </c>
      <c r="S79" s="17">
        <v>2</v>
      </c>
      <c r="T79" s="17">
        <v>19</v>
      </c>
    </row>
    <row r="80" spans="1:20" x14ac:dyDescent="0.3">
      <c r="A80" t="s">
        <v>308</v>
      </c>
      <c r="B80" t="s">
        <v>312</v>
      </c>
      <c r="C80">
        <v>26</v>
      </c>
      <c r="D80" s="1">
        <v>45856</v>
      </c>
      <c r="E80">
        <v>185900</v>
      </c>
      <c r="F80" t="s">
        <v>391</v>
      </c>
      <c r="G80">
        <v>117</v>
      </c>
      <c r="P80" s="16">
        <v>449900</v>
      </c>
      <c r="Q80" s="17">
        <v>449900</v>
      </c>
      <c r="R80" s="17">
        <v>449900</v>
      </c>
      <c r="S80" s="17">
        <v>1</v>
      </c>
      <c r="T80" s="17">
        <v>17</v>
      </c>
    </row>
    <row r="81" spans="1:20" x14ac:dyDescent="0.3">
      <c r="A81" t="s">
        <v>308</v>
      </c>
      <c r="B81" t="s">
        <v>229</v>
      </c>
      <c r="C81">
        <v>25</v>
      </c>
      <c r="D81" s="1">
        <v>45856</v>
      </c>
      <c r="E81">
        <v>124300</v>
      </c>
      <c r="F81" t="s">
        <v>392</v>
      </c>
      <c r="G81">
        <v>118</v>
      </c>
      <c r="P81" s="16">
        <v>452100</v>
      </c>
      <c r="Q81" s="17">
        <v>452100</v>
      </c>
      <c r="R81" s="17">
        <v>452100</v>
      </c>
      <c r="S81" s="17">
        <v>1</v>
      </c>
      <c r="T81" s="17">
        <v>21</v>
      </c>
    </row>
    <row r="82" spans="1:20" x14ac:dyDescent="0.3">
      <c r="A82" t="s">
        <v>308</v>
      </c>
      <c r="B82" t="s">
        <v>226</v>
      </c>
      <c r="C82">
        <v>23</v>
      </c>
      <c r="D82" s="1">
        <v>45857</v>
      </c>
      <c r="E82">
        <v>389400</v>
      </c>
      <c r="F82" t="s">
        <v>393</v>
      </c>
      <c r="G82">
        <v>121</v>
      </c>
      <c r="P82" s="16">
        <v>455400</v>
      </c>
      <c r="Q82" s="17">
        <v>455400</v>
      </c>
      <c r="R82" s="17">
        <v>455400</v>
      </c>
      <c r="S82" s="17">
        <v>1</v>
      </c>
      <c r="T82" s="17">
        <v>21</v>
      </c>
    </row>
    <row r="83" spans="1:20" x14ac:dyDescent="0.3">
      <c r="A83" t="s">
        <v>308</v>
      </c>
      <c r="B83" t="s">
        <v>233</v>
      </c>
      <c r="C83">
        <v>26</v>
      </c>
      <c r="D83" s="1">
        <v>45854</v>
      </c>
      <c r="E83">
        <v>262900</v>
      </c>
      <c r="F83" t="s">
        <v>394</v>
      </c>
      <c r="G83">
        <v>114</v>
      </c>
      <c r="P83" s="16">
        <v>456500</v>
      </c>
      <c r="Q83" s="17">
        <v>456500</v>
      </c>
      <c r="R83" s="17">
        <v>456500</v>
      </c>
      <c r="S83" s="17">
        <v>1</v>
      </c>
      <c r="T83" s="17">
        <v>14</v>
      </c>
    </row>
    <row r="84" spans="1:20" x14ac:dyDescent="0.3">
      <c r="A84" t="s">
        <v>308</v>
      </c>
      <c r="B84" t="s">
        <v>313</v>
      </c>
      <c r="C84">
        <v>24</v>
      </c>
      <c r="D84" s="1">
        <v>45857</v>
      </c>
      <c r="E84">
        <v>287100</v>
      </c>
      <c r="F84" t="s">
        <v>395</v>
      </c>
      <c r="G84">
        <v>114</v>
      </c>
      <c r="P84" s="16">
        <v>459800</v>
      </c>
      <c r="Q84" s="17">
        <v>459800</v>
      </c>
      <c r="R84" s="17">
        <v>459800</v>
      </c>
      <c r="S84" s="17">
        <v>1</v>
      </c>
      <c r="T84" s="17">
        <v>11</v>
      </c>
    </row>
    <row r="85" spans="1:20" x14ac:dyDescent="0.3">
      <c r="A85" t="s">
        <v>308</v>
      </c>
      <c r="B85" t="s">
        <v>231</v>
      </c>
      <c r="C85">
        <v>23</v>
      </c>
      <c r="D85" s="1">
        <v>45858</v>
      </c>
      <c r="E85">
        <v>359700</v>
      </c>
      <c r="F85" t="s">
        <v>396</v>
      </c>
      <c r="G85">
        <v>113</v>
      </c>
      <c r="P85" s="16">
        <v>466400</v>
      </c>
      <c r="Q85" s="17">
        <v>466400</v>
      </c>
      <c r="R85" s="17">
        <v>466400</v>
      </c>
      <c r="S85" s="17">
        <v>1</v>
      </c>
      <c r="T85" s="17">
        <v>16</v>
      </c>
    </row>
    <row r="86" spans="1:20" x14ac:dyDescent="0.3">
      <c r="A86" t="s">
        <v>308</v>
      </c>
      <c r="B86" t="s">
        <v>224</v>
      </c>
      <c r="C86">
        <v>8</v>
      </c>
      <c r="D86" s="1">
        <v>45873</v>
      </c>
      <c r="E86">
        <v>1037300</v>
      </c>
      <c r="F86" t="s">
        <v>241</v>
      </c>
      <c r="G86">
        <v>118</v>
      </c>
      <c r="P86" s="16">
        <v>473000</v>
      </c>
      <c r="Q86" s="17">
        <v>473000</v>
      </c>
      <c r="R86" s="17">
        <v>473000</v>
      </c>
      <c r="S86" s="17">
        <v>1</v>
      </c>
      <c r="T86" s="17">
        <v>15</v>
      </c>
    </row>
    <row r="87" spans="1:20" x14ac:dyDescent="0.3">
      <c r="A87" t="s">
        <v>308</v>
      </c>
      <c r="B87" t="s">
        <v>230</v>
      </c>
      <c r="C87">
        <v>26</v>
      </c>
      <c r="D87" s="1">
        <v>45855</v>
      </c>
      <c r="E87">
        <v>161700</v>
      </c>
      <c r="F87" t="s">
        <v>397</v>
      </c>
      <c r="G87">
        <v>113</v>
      </c>
      <c r="P87" s="16">
        <v>480700</v>
      </c>
      <c r="Q87" s="17">
        <v>961400</v>
      </c>
      <c r="R87" s="17">
        <v>480700</v>
      </c>
      <c r="S87" s="17">
        <v>2</v>
      </c>
      <c r="T87" s="17">
        <v>22.5</v>
      </c>
    </row>
    <row r="88" spans="1:20" x14ac:dyDescent="0.3">
      <c r="A88" t="s">
        <v>308</v>
      </c>
      <c r="B88" t="s">
        <v>231</v>
      </c>
      <c r="C88">
        <v>24</v>
      </c>
      <c r="D88" s="1">
        <v>45857</v>
      </c>
      <c r="E88">
        <v>480700</v>
      </c>
      <c r="F88" t="s">
        <v>398</v>
      </c>
      <c r="G88">
        <v>113</v>
      </c>
      <c r="P88" s="16">
        <v>506000</v>
      </c>
      <c r="Q88" s="17">
        <v>506000</v>
      </c>
      <c r="R88" s="17">
        <v>506000</v>
      </c>
      <c r="S88" s="17">
        <v>1</v>
      </c>
      <c r="T88" s="17">
        <v>23</v>
      </c>
    </row>
    <row r="89" spans="1:20" x14ac:dyDescent="0.3">
      <c r="A89" t="s">
        <v>308</v>
      </c>
      <c r="B89" t="s">
        <v>233</v>
      </c>
      <c r="C89">
        <v>24</v>
      </c>
      <c r="D89" s="1">
        <v>45857</v>
      </c>
      <c r="E89">
        <v>368500</v>
      </c>
      <c r="F89" t="s">
        <v>399</v>
      </c>
      <c r="G89">
        <v>111</v>
      </c>
      <c r="P89" s="16">
        <v>512600</v>
      </c>
      <c r="Q89" s="17">
        <v>512600</v>
      </c>
      <c r="R89" s="17">
        <v>512600</v>
      </c>
      <c r="S89" s="17">
        <v>1</v>
      </c>
      <c r="T89" s="17">
        <v>25</v>
      </c>
    </row>
    <row r="90" spans="1:20" x14ac:dyDescent="0.3">
      <c r="A90" t="s">
        <v>308</v>
      </c>
      <c r="B90" t="s">
        <v>231</v>
      </c>
      <c r="C90">
        <v>20</v>
      </c>
      <c r="D90" s="1">
        <v>45860</v>
      </c>
      <c r="E90">
        <v>730400</v>
      </c>
      <c r="F90" t="s">
        <v>243</v>
      </c>
      <c r="G90">
        <v>109</v>
      </c>
      <c r="P90" s="16">
        <v>515900</v>
      </c>
      <c r="Q90" s="17">
        <v>515900</v>
      </c>
      <c r="R90" s="17">
        <v>515900</v>
      </c>
      <c r="S90" s="17">
        <v>1</v>
      </c>
      <c r="T90" s="17">
        <v>15</v>
      </c>
    </row>
    <row r="91" spans="1:20" x14ac:dyDescent="0.3">
      <c r="A91" t="s">
        <v>308</v>
      </c>
      <c r="B91" t="s">
        <v>231</v>
      </c>
      <c r="C91">
        <v>13</v>
      </c>
      <c r="D91" s="1">
        <v>45868</v>
      </c>
      <c r="E91">
        <v>700700</v>
      </c>
      <c r="F91" t="s">
        <v>259</v>
      </c>
      <c r="G91">
        <v>120</v>
      </c>
      <c r="P91" s="16">
        <v>524700</v>
      </c>
      <c r="Q91" s="17">
        <v>524700</v>
      </c>
      <c r="R91" s="17">
        <v>524700</v>
      </c>
      <c r="S91" s="17">
        <v>1</v>
      </c>
      <c r="T91" s="17">
        <v>25</v>
      </c>
    </row>
    <row r="92" spans="1:20" x14ac:dyDescent="0.3">
      <c r="A92" t="s">
        <v>308</v>
      </c>
      <c r="B92" t="s">
        <v>234</v>
      </c>
      <c r="C92">
        <v>24</v>
      </c>
      <c r="D92" s="1">
        <v>45857</v>
      </c>
      <c r="E92">
        <v>215600</v>
      </c>
      <c r="F92" t="s">
        <v>400</v>
      </c>
      <c r="G92">
        <v>107</v>
      </c>
      <c r="P92" s="16">
        <v>529100</v>
      </c>
      <c r="Q92" s="17">
        <v>529100</v>
      </c>
      <c r="R92" s="17">
        <v>529100</v>
      </c>
      <c r="S92" s="17">
        <v>1</v>
      </c>
      <c r="T92" s="17">
        <v>22</v>
      </c>
    </row>
    <row r="93" spans="1:20" x14ac:dyDescent="0.3">
      <c r="A93" t="s">
        <v>308</v>
      </c>
      <c r="B93" t="s">
        <v>224</v>
      </c>
      <c r="C93">
        <v>7</v>
      </c>
      <c r="D93" s="1">
        <v>45873</v>
      </c>
      <c r="E93">
        <v>842600</v>
      </c>
      <c r="F93" t="s">
        <v>272</v>
      </c>
      <c r="G93">
        <v>113</v>
      </c>
      <c r="P93" s="16">
        <v>536800</v>
      </c>
      <c r="Q93" s="17">
        <v>536800</v>
      </c>
      <c r="R93" s="17">
        <v>536800</v>
      </c>
      <c r="S93" s="17">
        <v>1</v>
      </c>
      <c r="T93" s="17">
        <v>15</v>
      </c>
    </row>
    <row r="94" spans="1:20" x14ac:dyDescent="0.3">
      <c r="A94" t="s">
        <v>308</v>
      </c>
      <c r="B94" t="s">
        <v>231</v>
      </c>
      <c r="C94">
        <v>25</v>
      </c>
      <c r="D94" s="1">
        <v>45855</v>
      </c>
      <c r="E94">
        <v>216700</v>
      </c>
      <c r="F94" t="s">
        <v>401</v>
      </c>
      <c r="G94">
        <v>105</v>
      </c>
      <c r="P94" s="16">
        <v>545600</v>
      </c>
      <c r="Q94" s="17">
        <v>545600</v>
      </c>
      <c r="R94" s="17">
        <v>545600</v>
      </c>
      <c r="S94" s="17">
        <v>1</v>
      </c>
      <c r="T94" s="17">
        <v>14</v>
      </c>
    </row>
    <row r="95" spans="1:20" x14ac:dyDescent="0.3">
      <c r="A95" t="s">
        <v>308</v>
      </c>
      <c r="B95" t="s">
        <v>225</v>
      </c>
      <c r="C95">
        <v>41</v>
      </c>
      <c r="D95" s="1">
        <v>45834</v>
      </c>
      <c r="E95">
        <v>29700</v>
      </c>
      <c r="F95" t="s">
        <v>402</v>
      </c>
      <c r="G95">
        <v>955</v>
      </c>
      <c r="P95" s="16">
        <v>546700</v>
      </c>
      <c r="Q95" s="17">
        <v>546700</v>
      </c>
      <c r="R95" s="17">
        <v>546700</v>
      </c>
      <c r="S95" s="17">
        <v>1</v>
      </c>
      <c r="T95" s="17">
        <v>14</v>
      </c>
    </row>
    <row r="96" spans="1:20" x14ac:dyDescent="0.3">
      <c r="A96" t="s">
        <v>308</v>
      </c>
      <c r="B96" t="s">
        <v>233</v>
      </c>
      <c r="C96">
        <v>47</v>
      </c>
      <c r="D96" s="1">
        <v>45832</v>
      </c>
      <c r="E96">
        <v>20900</v>
      </c>
      <c r="F96" t="s">
        <v>403</v>
      </c>
      <c r="G96">
        <v>946</v>
      </c>
      <c r="P96" s="16">
        <v>553300</v>
      </c>
      <c r="Q96" s="17">
        <v>553300</v>
      </c>
      <c r="R96" s="17">
        <v>553300</v>
      </c>
      <c r="S96" s="17">
        <v>1</v>
      </c>
      <c r="T96" s="17">
        <v>15</v>
      </c>
    </row>
    <row r="97" spans="1:20" x14ac:dyDescent="0.3">
      <c r="A97" t="s">
        <v>308</v>
      </c>
      <c r="B97" t="s">
        <v>231</v>
      </c>
      <c r="C97">
        <v>24</v>
      </c>
      <c r="D97" s="1">
        <v>45856</v>
      </c>
      <c r="E97">
        <v>253000</v>
      </c>
      <c r="F97" t="s">
        <v>404</v>
      </c>
      <c r="G97">
        <v>104</v>
      </c>
      <c r="P97" s="16">
        <v>557700</v>
      </c>
      <c r="Q97" s="17">
        <v>1115400</v>
      </c>
      <c r="R97" s="17">
        <v>557700</v>
      </c>
      <c r="S97" s="17">
        <v>2</v>
      </c>
      <c r="T97" s="17">
        <v>18.5</v>
      </c>
    </row>
    <row r="98" spans="1:20" x14ac:dyDescent="0.3">
      <c r="A98" t="s">
        <v>308</v>
      </c>
      <c r="B98" t="s">
        <v>234</v>
      </c>
      <c r="C98">
        <v>16</v>
      </c>
      <c r="D98" s="1">
        <v>45864</v>
      </c>
      <c r="E98">
        <v>683100</v>
      </c>
      <c r="F98" t="s">
        <v>270</v>
      </c>
      <c r="G98">
        <v>123</v>
      </c>
      <c r="P98" s="16">
        <v>565400</v>
      </c>
      <c r="Q98" s="17">
        <v>565400</v>
      </c>
      <c r="R98" s="17">
        <v>565400</v>
      </c>
      <c r="S98" s="17">
        <v>1</v>
      </c>
      <c r="T98" s="17">
        <v>16</v>
      </c>
    </row>
    <row r="99" spans="1:20" x14ac:dyDescent="0.3">
      <c r="A99" t="s">
        <v>308</v>
      </c>
      <c r="B99" t="s">
        <v>230</v>
      </c>
      <c r="C99">
        <v>21</v>
      </c>
      <c r="D99" s="1">
        <v>45859</v>
      </c>
      <c r="E99">
        <v>355300</v>
      </c>
      <c r="F99" t="s">
        <v>256</v>
      </c>
      <c r="G99">
        <v>101</v>
      </c>
      <c r="P99" s="16">
        <v>586300</v>
      </c>
      <c r="Q99" s="17">
        <v>586300</v>
      </c>
      <c r="R99" s="17">
        <v>586300</v>
      </c>
      <c r="S99" s="17">
        <v>1</v>
      </c>
      <c r="T99" s="17">
        <v>18</v>
      </c>
    </row>
    <row r="100" spans="1:20" x14ac:dyDescent="0.3">
      <c r="A100" t="s">
        <v>308</v>
      </c>
      <c r="B100" t="s">
        <v>231</v>
      </c>
      <c r="C100">
        <v>25</v>
      </c>
      <c r="D100" s="1">
        <v>45855</v>
      </c>
      <c r="E100">
        <v>416900</v>
      </c>
      <c r="F100" t="s">
        <v>405</v>
      </c>
      <c r="G100">
        <v>100</v>
      </c>
      <c r="P100" s="16">
        <v>594000</v>
      </c>
      <c r="Q100" s="17">
        <v>594000</v>
      </c>
      <c r="R100" s="17">
        <v>594000</v>
      </c>
      <c r="S100" s="17">
        <v>1</v>
      </c>
      <c r="T100" s="17">
        <v>21</v>
      </c>
    </row>
    <row r="101" spans="1:20" x14ac:dyDescent="0.3">
      <c r="A101" t="s">
        <v>308</v>
      </c>
      <c r="B101" t="s">
        <v>226</v>
      </c>
      <c r="C101">
        <v>14</v>
      </c>
      <c r="D101" s="1">
        <v>45860</v>
      </c>
      <c r="E101">
        <v>546700</v>
      </c>
      <c r="F101" t="s">
        <v>245</v>
      </c>
      <c r="G101">
        <v>105</v>
      </c>
      <c r="P101" s="16">
        <v>610500</v>
      </c>
      <c r="Q101" s="17">
        <v>610500</v>
      </c>
      <c r="R101" s="17">
        <v>610500</v>
      </c>
      <c r="S101" s="17">
        <v>1</v>
      </c>
      <c r="T101" s="17">
        <v>22</v>
      </c>
    </row>
    <row r="102" spans="1:20" x14ac:dyDescent="0.3">
      <c r="A102" t="s">
        <v>308</v>
      </c>
      <c r="B102" t="s">
        <v>235</v>
      </c>
      <c r="C102">
        <v>23</v>
      </c>
      <c r="D102" s="1">
        <v>45857</v>
      </c>
      <c r="E102">
        <v>113300</v>
      </c>
      <c r="F102" t="s">
        <v>251</v>
      </c>
      <c r="G102">
        <v>100</v>
      </c>
      <c r="P102" s="16">
        <v>612700</v>
      </c>
      <c r="Q102" s="17">
        <v>612700</v>
      </c>
      <c r="R102" s="17">
        <v>612700</v>
      </c>
      <c r="S102" s="17">
        <v>1</v>
      </c>
      <c r="T102" s="17">
        <v>14</v>
      </c>
    </row>
    <row r="103" spans="1:20" x14ac:dyDescent="0.3">
      <c r="A103" t="s">
        <v>308</v>
      </c>
      <c r="B103" t="s">
        <v>224</v>
      </c>
      <c r="C103">
        <v>6</v>
      </c>
      <c r="D103" s="1">
        <v>45873</v>
      </c>
      <c r="E103">
        <v>887700</v>
      </c>
      <c r="F103" t="s">
        <v>406</v>
      </c>
      <c r="G103">
        <v>106</v>
      </c>
      <c r="P103" s="16">
        <v>617100</v>
      </c>
      <c r="Q103" s="17">
        <v>617100</v>
      </c>
      <c r="R103" s="17">
        <v>617100</v>
      </c>
      <c r="S103" s="17">
        <v>1</v>
      </c>
      <c r="T103" s="17">
        <v>11</v>
      </c>
    </row>
    <row r="104" spans="1:20" x14ac:dyDescent="0.3">
      <c r="A104" t="s">
        <v>308</v>
      </c>
      <c r="B104" t="s">
        <v>228</v>
      </c>
      <c r="C104">
        <v>14</v>
      </c>
      <c r="D104" s="1">
        <v>45866</v>
      </c>
      <c r="E104">
        <v>612700</v>
      </c>
      <c r="F104" t="s">
        <v>250</v>
      </c>
      <c r="G104">
        <v>96</v>
      </c>
      <c r="P104" s="16">
        <v>630300</v>
      </c>
      <c r="Q104" s="17">
        <v>630300</v>
      </c>
      <c r="R104" s="17">
        <v>630300</v>
      </c>
      <c r="S104" s="17">
        <v>1</v>
      </c>
      <c r="T104" s="17">
        <v>17</v>
      </c>
    </row>
    <row r="105" spans="1:20" x14ac:dyDescent="0.3">
      <c r="A105" t="s">
        <v>308</v>
      </c>
      <c r="B105" t="s">
        <v>225</v>
      </c>
      <c r="C105">
        <v>23</v>
      </c>
      <c r="D105" s="1">
        <v>45856</v>
      </c>
      <c r="E105">
        <v>280500</v>
      </c>
      <c r="F105" t="s">
        <v>244</v>
      </c>
      <c r="G105">
        <v>95</v>
      </c>
      <c r="P105" s="16">
        <v>642400</v>
      </c>
      <c r="Q105" s="17">
        <v>642400</v>
      </c>
      <c r="R105" s="17">
        <v>642400</v>
      </c>
      <c r="S105" s="17">
        <v>1</v>
      </c>
      <c r="T105" s="17">
        <v>15</v>
      </c>
    </row>
    <row r="106" spans="1:20" x14ac:dyDescent="0.3">
      <c r="A106" t="s">
        <v>308</v>
      </c>
      <c r="B106" t="s">
        <v>234</v>
      </c>
      <c r="C106">
        <v>25</v>
      </c>
      <c r="D106" s="1">
        <v>45854</v>
      </c>
      <c r="E106">
        <v>512600</v>
      </c>
      <c r="F106" t="s">
        <v>407</v>
      </c>
      <c r="G106">
        <v>96</v>
      </c>
      <c r="P106" s="16">
        <v>645700</v>
      </c>
      <c r="Q106" s="17">
        <v>645700</v>
      </c>
      <c r="R106" s="17">
        <v>645700</v>
      </c>
      <c r="S106" s="17">
        <v>1</v>
      </c>
      <c r="T106" s="17">
        <v>17</v>
      </c>
    </row>
    <row r="107" spans="1:20" x14ac:dyDescent="0.3">
      <c r="A107" t="s">
        <v>308</v>
      </c>
      <c r="B107" t="s">
        <v>224</v>
      </c>
      <c r="C107">
        <v>25</v>
      </c>
      <c r="D107" s="1">
        <v>45854</v>
      </c>
      <c r="E107">
        <v>390500</v>
      </c>
      <c r="F107" t="s">
        <v>408</v>
      </c>
      <c r="G107">
        <v>106</v>
      </c>
      <c r="P107" s="16">
        <v>666600</v>
      </c>
      <c r="Q107" s="17">
        <v>1333200</v>
      </c>
      <c r="R107" s="17">
        <v>666600</v>
      </c>
      <c r="S107" s="17">
        <v>2</v>
      </c>
      <c r="T107" s="17">
        <v>13.5</v>
      </c>
    </row>
    <row r="108" spans="1:20" x14ac:dyDescent="0.3">
      <c r="A108" t="s">
        <v>308</v>
      </c>
      <c r="B108" t="s">
        <v>234</v>
      </c>
      <c r="C108">
        <v>144</v>
      </c>
      <c r="D108" s="1">
        <v>45599</v>
      </c>
      <c r="E108">
        <v>16500</v>
      </c>
      <c r="F108" t="s">
        <v>409</v>
      </c>
      <c r="G108">
        <v>954</v>
      </c>
      <c r="P108" s="16">
        <v>667700</v>
      </c>
      <c r="Q108" s="17">
        <v>1335400</v>
      </c>
      <c r="R108" s="17">
        <v>667700</v>
      </c>
      <c r="S108" s="17">
        <v>2</v>
      </c>
      <c r="T108" s="17">
        <v>17</v>
      </c>
    </row>
    <row r="109" spans="1:20" x14ac:dyDescent="0.3">
      <c r="A109" t="s">
        <v>308</v>
      </c>
      <c r="B109" t="s">
        <v>224</v>
      </c>
      <c r="C109">
        <v>20</v>
      </c>
      <c r="D109" s="1">
        <v>45858</v>
      </c>
      <c r="E109">
        <v>315700</v>
      </c>
      <c r="F109" t="s">
        <v>410</v>
      </c>
      <c r="G109">
        <v>95</v>
      </c>
      <c r="P109" s="16">
        <v>678700</v>
      </c>
      <c r="Q109" s="17">
        <v>678700</v>
      </c>
      <c r="R109" s="17">
        <v>678700</v>
      </c>
      <c r="S109" s="17">
        <v>1</v>
      </c>
      <c r="T109" s="17">
        <v>24</v>
      </c>
    </row>
    <row r="110" spans="1:20" x14ac:dyDescent="0.3">
      <c r="A110" t="s">
        <v>308</v>
      </c>
      <c r="B110" t="s">
        <v>309</v>
      </c>
      <c r="C110">
        <v>26</v>
      </c>
      <c r="D110" s="1">
        <v>45853</v>
      </c>
      <c r="E110">
        <v>231000</v>
      </c>
      <c r="F110" t="s">
        <v>411</v>
      </c>
      <c r="G110">
        <v>945</v>
      </c>
      <c r="P110" s="16">
        <v>683100</v>
      </c>
      <c r="Q110" s="17">
        <v>683100</v>
      </c>
      <c r="R110" s="17">
        <v>683100</v>
      </c>
      <c r="S110" s="17">
        <v>1</v>
      </c>
      <c r="T110" s="17">
        <v>16</v>
      </c>
    </row>
    <row r="111" spans="1:20" x14ac:dyDescent="0.3">
      <c r="A111" t="s">
        <v>308</v>
      </c>
      <c r="B111" t="s">
        <v>231</v>
      </c>
      <c r="C111">
        <v>21</v>
      </c>
      <c r="D111" s="1">
        <v>45858</v>
      </c>
      <c r="E111">
        <v>480700</v>
      </c>
      <c r="F111" t="s">
        <v>412</v>
      </c>
      <c r="G111">
        <v>103</v>
      </c>
      <c r="P111" s="16">
        <v>700700</v>
      </c>
      <c r="Q111" s="17">
        <v>700700</v>
      </c>
      <c r="R111" s="17">
        <v>700700</v>
      </c>
      <c r="S111" s="17">
        <v>1</v>
      </c>
      <c r="T111" s="17">
        <v>13</v>
      </c>
    </row>
    <row r="112" spans="1:20" x14ac:dyDescent="0.3">
      <c r="A112" t="s">
        <v>308</v>
      </c>
      <c r="B112" t="s">
        <v>224</v>
      </c>
      <c r="C112">
        <v>52</v>
      </c>
      <c r="D112" s="1">
        <v>45650</v>
      </c>
      <c r="E112">
        <v>7700</v>
      </c>
      <c r="F112" t="s">
        <v>413</v>
      </c>
      <c r="G112">
        <v>944</v>
      </c>
      <c r="P112" s="16">
        <v>711700</v>
      </c>
      <c r="Q112" s="17">
        <v>711700</v>
      </c>
      <c r="R112" s="17">
        <v>711700</v>
      </c>
      <c r="S112" s="17">
        <v>1</v>
      </c>
      <c r="T112" s="17">
        <v>23</v>
      </c>
    </row>
    <row r="113" spans="1:20" x14ac:dyDescent="0.3">
      <c r="A113" t="s">
        <v>308</v>
      </c>
      <c r="B113" t="s">
        <v>224</v>
      </c>
      <c r="C113">
        <v>19</v>
      </c>
      <c r="D113" s="1">
        <v>45859</v>
      </c>
      <c r="E113">
        <v>359700</v>
      </c>
      <c r="F113" t="s">
        <v>247</v>
      </c>
      <c r="G113">
        <v>91</v>
      </c>
      <c r="P113" s="16">
        <v>729300</v>
      </c>
      <c r="Q113" s="17">
        <v>729300</v>
      </c>
      <c r="R113" s="17">
        <v>729300</v>
      </c>
      <c r="S113" s="17">
        <v>1</v>
      </c>
      <c r="T113" s="17">
        <v>12</v>
      </c>
    </row>
    <row r="114" spans="1:20" x14ac:dyDescent="0.3">
      <c r="A114" t="s">
        <v>308</v>
      </c>
      <c r="B114" t="s">
        <v>226</v>
      </c>
      <c r="C114">
        <v>10</v>
      </c>
      <c r="D114" s="1">
        <v>45869</v>
      </c>
      <c r="E114">
        <v>784300</v>
      </c>
      <c r="F114" t="s">
        <v>252</v>
      </c>
      <c r="G114">
        <v>99</v>
      </c>
      <c r="P114" s="16">
        <v>730400</v>
      </c>
      <c r="Q114" s="17">
        <v>730400</v>
      </c>
      <c r="R114" s="17">
        <v>730400</v>
      </c>
      <c r="S114" s="17">
        <v>1</v>
      </c>
      <c r="T114" s="17">
        <v>20</v>
      </c>
    </row>
    <row r="115" spans="1:20" x14ac:dyDescent="0.3">
      <c r="A115" t="s">
        <v>308</v>
      </c>
      <c r="B115" t="s">
        <v>226</v>
      </c>
      <c r="C115">
        <v>16</v>
      </c>
      <c r="D115" s="1">
        <v>45862</v>
      </c>
      <c r="E115">
        <v>423500</v>
      </c>
      <c r="F115" t="s">
        <v>414</v>
      </c>
      <c r="G115">
        <v>88</v>
      </c>
      <c r="P115" s="16">
        <v>744700</v>
      </c>
      <c r="Q115" s="17">
        <v>744700</v>
      </c>
      <c r="R115" s="17">
        <v>744700</v>
      </c>
      <c r="S115" s="17">
        <v>1</v>
      </c>
      <c r="T115" s="17">
        <v>14</v>
      </c>
    </row>
    <row r="116" spans="1:20" x14ac:dyDescent="0.3">
      <c r="A116" t="s">
        <v>308</v>
      </c>
      <c r="B116" t="s">
        <v>234</v>
      </c>
      <c r="C116">
        <v>22</v>
      </c>
      <c r="D116" s="1">
        <v>45856</v>
      </c>
      <c r="E116">
        <v>610500</v>
      </c>
      <c r="F116" t="s">
        <v>415</v>
      </c>
      <c r="G116">
        <v>88</v>
      </c>
      <c r="P116" s="16">
        <v>745800</v>
      </c>
      <c r="Q116" s="17">
        <v>745800</v>
      </c>
      <c r="R116" s="17">
        <v>745800</v>
      </c>
      <c r="S116" s="17">
        <v>1</v>
      </c>
      <c r="T116" s="17">
        <v>8</v>
      </c>
    </row>
    <row r="117" spans="1:20" x14ac:dyDescent="0.3">
      <c r="A117" t="s">
        <v>308</v>
      </c>
      <c r="B117" t="s">
        <v>235</v>
      </c>
      <c r="C117">
        <v>24</v>
      </c>
      <c r="D117" s="1">
        <v>45853</v>
      </c>
      <c r="E117">
        <v>154000</v>
      </c>
      <c r="F117" t="s">
        <v>260</v>
      </c>
      <c r="G117">
        <v>86</v>
      </c>
      <c r="P117" s="16">
        <v>751300</v>
      </c>
      <c r="Q117" s="17">
        <v>751300</v>
      </c>
      <c r="R117" s="17">
        <v>751300</v>
      </c>
      <c r="S117" s="17">
        <v>1</v>
      </c>
      <c r="T117" s="17">
        <v>10</v>
      </c>
    </row>
    <row r="118" spans="1:20" x14ac:dyDescent="0.3">
      <c r="A118" t="s">
        <v>308</v>
      </c>
      <c r="B118" t="s">
        <v>224</v>
      </c>
      <c r="C118">
        <v>22</v>
      </c>
      <c r="D118" s="1">
        <v>45856</v>
      </c>
      <c r="E118">
        <v>364100</v>
      </c>
      <c r="F118" t="s">
        <v>416</v>
      </c>
      <c r="G118">
        <v>86</v>
      </c>
      <c r="P118" s="16">
        <v>784300</v>
      </c>
      <c r="Q118" s="17">
        <v>1568600</v>
      </c>
      <c r="R118" s="17">
        <v>784300</v>
      </c>
      <c r="S118" s="17">
        <v>2</v>
      </c>
      <c r="T118" s="17">
        <v>8.5</v>
      </c>
    </row>
    <row r="119" spans="1:20" x14ac:dyDescent="0.3">
      <c r="A119" t="s">
        <v>308</v>
      </c>
      <c r="B119" t="s">
        <v>225</v>
      </c>
      <c r="C119">
        <v>11</v>
      </c>
      <c r="D119" s="1">
        <v>45867</v>
      </c>
      <c r="E119">
        <v>1107700</v>
      </c>
      <c r="F119" t="s">
        <v>417</v>
      </c>
      <c r="G119">
        <v>86</v>
      </c>
      <c r="P119" s="16">
        <v>788700</v>
      </c>
      <c r="Q119" s="17">
        <v>788700</v>
      </c>
      <c r="R119" s="17">
        <v>788700</v>
      </c>
      <c r="S119" s="17">
        <v>1</v>
      </c>
      <c r="T119" s="17">
        <v>10</v>
      </c>
    </row>
    <row r="120" spans="1:20" x14ac:dyDescent="0.3">
      <c r="A120" t="s">
        <v>308</v>
      </c>
      <c r="B120" t="s">
        <v>229</v>
      </c>
      <c r="C120">
        <v>15</v>
      </c>
      <c r="D120" s="1">
        <v>45863</v>
      </c>
      <c r="E120">
        <v>473000</v>
      </c>
      <c r="F120" t="s">
        <v>418</v>
      </c>
      <c r="G120">
        <v>90</v>
      </c>
      <c r="P120" s="16">
        <v>810700</v>
      </c>
      <c r="Q120" s="17">
        <v>810700</v>
      </c>
      <c r="R120" s="17">
        <v>810700</v>
      </c>
      <c r="S120" s="17">
        <v>1</v>
      </c>
      <c r="T120" s="17">
        <v>22</v>
      </c>
    </row>
    <row r="121" spans="1:20" x14ac:dyDescent="0.3">
      <c r="A121" t="s">
        <v>308</v>
      </c>
      <c r="B121" t="s">
        <v>228</v>
      </c>
      <c r="C121">
        <v>21</v>
      </c>
      <c r="D121" s="1">
        <v>45854</v>
      </c>
      <c r="E121">
        <v>594000</v>
      </c>
      <c r="F121" t="s">
        <v>419</v>
      </c>
      <c r="G121">
        <v>81</v>
      </c>
      <c r="P121" s="16">
        <v>823900</v>
      </c>
      <c r="Q121" s="17">
        <v>823900</v>
      </c>
      <c r="R121" s="17">
        <v>823900</v>
      </c>
      <c r="S121" s="17">
        <v>1</v>
      </c>
      <c r="T121" s="17">
        <v>16</v>
      </c>
    </row>
    <row r="122" spans="1:20" x14ac:dyDescent="0.3">
      <c r="A122" t="s">
        <v>308</v>
      </c>
      <c r="B122" t="s">
        <v>228</v>
      </c>
      <c r="C122">
        <v>5</v>
      </c>
      <c r="D122" s="1">
        <v>45872</v>
      </c>
      <c r="E122">
        <v>1076900</v>
      </c>
      <c r="F122" t="s">
        <v>279</v>
      </c>
      <c r="G122">
        <v>81</v>
      </c>
      <c r="P122" s="16">
        <v>825000</v>
      </c>
      <c r="Q122" s="17">
        <v>825000</v>
      </c>
      <c r="R122" s="17">
        <v>825000</v>
      </c>
      <c r="S122" s="17">
        <v>1</v>
      </c>
      <c r="T122" s="17">
        <v>12</v>
      </c>
    </row>
    <row r="123" spans="1:20" x14ac:dyDescent="0.3">
      <c r="A123" t="s">
        <v>308</v>
      </c>
      <c r="B123" t="s">
        <v>225</v>
      </c>
      <c r="C123">
        <v>44</v>
      </c>
      <c r="D123" s="1">
        <v>45834</v>
      </c>
      <c r="E123">
        <v>7700</v>
      </c>
      <c r="F123" t="s">
        <v>420</v>
      </c>
      <c r="G123">
        <v>945</v>
      </c>
      <c r="P123" s="16">
        <v>833800</v>
      </c>
      <c r="Q123" s="17">
        <v>833800</v>
      </c>
      <c r="R123" s="17">
        <v>833800</v>
      </c>
      <c r="S123" s="17">
        <v>1</v>
      </c>
      <c r="T123" s="17">
        <v>30</v>
      </c>
    </row>
    <row r="124" spans="1:20" x14ac:dyDescent="0.3">
      <c r="A124" t="s">
        <v>308</v>
      </c>
      <c r="B124" t="s">
        <v>226</v>
      </c>
      <c r="C124">
        <v>19</v>
      </c>
      <c r="D124" s="1">
        <v>45858</v>
      </c>
      <c r="E124">
        <v>557700</v>
      </c>
      <c r="F124" t="s">
        <v>248</v>
      </c>
      <c r="G124">
        <v>81</v>
      </c>
      <c r="P124" s="16">
        <v>838200</v>
      </c>
      <c r="Q124" s="17">
        <v>838200</v>
      </c>
      <c r="R124" s="17">
        <v>838200</v>
      </c>
      <c r="S124" s="17">
        <v>1</v>
      </c>
      <c r="T124" s="17">
        <v>19</v>
      </c>
    </row>
    <row r="125" spans="1:20" x14ac:dyDescent="0.3">
      <c r="A125" t="s">
        <v>308</v>
      </c>
      <c r="B125" t="s">
        <v>225</v>
      </c>
      <c r="C125">
        <v>24</v>
      </c>
      <c r="D125" s="1">
        <v>45853</v>
      </c>
      <c r="E125">
        <v>678700</v>
      </c>
      <c r="F125" t="s">
        <v>421</v>
      </c>
      <c r="G125">
        <v>1017</v>
      </c>
      <c r="P125" s="16">
        <v>842600</v>
      </c>
      <c r="Q125" s="17">
        <v>842600</v>
      </c>
      <c r="R125" s="17">
        <v>842600</v>
      </c>
      <c r="S125" s="17">
        <v>1</v>
      </c>
      <c r="T125" s="17">
        <v>7</v>
      </c>
    </row>
    <row r="126" spans="1:20" x14ac:dyDescent="0.3">
      <c r="A126" t="s">
        <v>308</v>
      </c>
      <c r="B126" t="s">
        <v>231</v>
      </c>
      <c r="C126">
        <v>22</v>
      </c>
      <c r="D126" s="1">
        <v>45855</v>
      </c>
      <c r="E126">
        <v>309100</v>
      </c>
      <c r="F126" t="s">
        <v>422</v>
      </c>
      <c r="G126">
        <v>79</v>
      </c>
      <c r="P126" s="16">
        <v>872300</v>
      </c>
      <c r="Q126" s="17">
        <v>872300</v>
      </c>
      <c r="R126" s="17">
        <v>872300</v>
      </c>
      <c r="S126" s="17">
        <v>1</v>
      </c>
      <c r="T126" s="17">
        <v>13</v>
      </c>
    </row>
    <row r="127" spans="1:20" x14ac:dyDescent="0.3">
      <c r="A127" t="s">
        <v>308</v>
      </c>
      <c r="B127" t="s">
        <v>311</v>
      </c>
      <c r="C127">
        <v>21</v>
      </c>
      <c r="D127" s="1">
        <v>45856</v>
      </c>
      <c r="E127">
        <v>452100</v>
      </c>
      <c r="F127" t="s">
        <v>423</v>
      </c>
      <c r="G127">
        <v>79</v>
      </c>
      <c r="P127" s="16">
        <v>887700</v>
      </c>
      <c r="Q127" s="17">
        <v>887700</v>
      </c>
      <c r="R127" s="17">
        <v>887700</v>
      </c>
      <c r="S127" s="17">
        <v>1</v>
      </c>
      <c r="T127" s="17">
        <v>6</v>
      </c>
    </row>
    <row r="128" spans="1:20" x14ac:dyDescent="0.3">
      <c r="A128" t="s">
        <v>308</v>
      </c>
      <c r="B128" t="s">
        <v>226</v>
      </c>
      <c r="C128">
        <v>17</v>
      </c>
      <c r="D128" s="1">
        <v>45859</v>
      </c>
      <c r="E128">
        <v>416900</v>
      </c>
      <c r="F128" t="s">
        <v>263</v>
      </c>
      <c r="G128">
        <v>77</v>
      </c>
      <c r="P128" s="16">
        <v>975700</v>
      </c>
      <c r="Q128" s="17">
        <v>975700</v>
      </c>
      <c r="R128" s="17">
        <v>975700</v>
      </c>
      <c r="S128" s="17">
        <v>1</v>
      </c>
      <c r="T128" s="17">
        <v>16</v>
      </c>
    </row>
    <row r="129" spans="1:20" x14ac:dyDescent="0.3">
      <c r="A129" t="s">
        <v>308</v>
      </c>
      <c r="B129" t="s">
        <v>228</v>
      </c>
      <c r="C129">
        <v>20</v>
      </c>
      <c r="D129" s="1">
        <v>45856</v>
      </c>
      <c r="E129">
        <v>355300</v>
      </c>
      <c r="F129" t="s">
        <v>257</v>
      </c>
      <c r="G129">
        <v>76</v>
      </c>
      <c r="P129" s="16">
        <v>996600</v>
      </c>
      <c r="Q129" s="17">
        <v>996600</v>
      </c>
      <c r="R129" s="17">
        <v>996600</v>
      </c>
      <c r="S129" s="17">
        <v>1</v>
      </c>
      <c r="T129" s="17">
        <v>13</v>
      </c>
    </row>
    <row r="130" spans="1:20" x14ac:dyDescent="0.3">
      <c r="A130" t="s">
        <v>308</v>
      </c>
      <c r="B130" t="s">
        <v>229</v>
      </c>
      <c r="C130">
        <v>21</v>
      </c>
      <c r="D130" s="1">
        <v>45855</v>
      </c>
      <c r="E130">
        <v>172700</v>
      </c>
      <c r="F130" t="s">
        <v>261</v>
      </c>
      <c r="G130">
        <v>75</v>
      </c>
      <c r="P130" s="16">
        <v>1005400</v>
      </c>
      <c r="Q130" s="17">
        <v>1005400</v>
      </c>
      <c r="R130" s="17">
        <v>1005400</v>
      </c>
      <c r="S130" s="17">
        <v>1</v>
      </c>
      <c r="T130" s="17">
        <v>6</v>
      </c>
    </row>
    <row r="131" spans="1:20" x14ac:dyDescent="0.3">
      <c r="A131" t="s">
        <v>308</v>
      </c>
      <c r="B131" t="s">
        <v>231</v>
      </c>
      <c r="C131">
        <v>18</v>
      </c>
      <c r="D131" s="1">
        <v>45858</v>
      </c>
      <c r="E131">
        <v>557700</v>
      </c>
      <c r="F131" t="s">
        <v>424</v>
      </c>
      <c r="G131">
        <v>72</v>
      </c>
      <c r="P131" s="16">
        <v>1037300</v>
      </c>
      <c r="Q131" s="17">
        <v>1037300</v>
      </c>
      <c r="R131" s="17">
        <v>1037300</v>
      </c>
      <c r="S131" s="17">
        <v>1</v>
      </c>
      <c r="T131" s="17">
        <v>8</v>
      </c>
    </row>
    <row r="132" spans="1:20" x14ac:dyDescent="0.3">
      <c r="A132" t="s">
        <v>308</v>
      </c>
      <c r="B132" t="s">
        <v>232</v>
      </c>
      <c r="C132">
        <v>16</v>
      </c>
      <c r="D132" s="1">
        <v>45860</v>
      </c>
      <c r="E132">
        <v>466400</v>
      </c>
      <c r="F132" t="s">
        <v>265</v>
      </c>
      <c r="G132">
        <v>74</v>
      </c>
      <c r="P132" s="16">
        <v>1042800</v>
      </c>
      <c r="Q132" s="17">
        <v>1042800</v>
      </c>
      <c r="R132" s="17">
        <v>1042800</v>
      </c>
      <c r="S132" s="17">
        <v>1</v>
      </c>
      <c r="T132" s="17">
        <v>16</v>
      </c>
    </row>
    <row r="133" spans="1:20" x14ac:dyDescent="0.3">
      <c r="A133" t="s">
        <v>308</v>
      </c>
      <c r="B133" t="s">
        <v>228</v>
      </c>
      <c r="C133">
        <v>5</v>
      </c>
      <c r="D133" s="1">
        <v>45870</v>
      </c>
      <c r="E133">
        <v>1100000</v>
      </c>
      <c r="F133" t="s">
        <v>287</v>
      </c>
      <c r="G133">
        <v>83</v>
      </c>
      <c r="P133" s="16">
        <v>1063700</v>
      </c>
      <c r="Q133" s="17">
        <v>1063700</v>
      </c>
      <c r="R133" s="17">
        <v>1063700</v>
      </c>
      <c r="S133" s="17">
        <v>1</v>
      </c>
      <c r="T133" s="17">
        <v>7</v>
      </c>
    </row>
    <row r="134" spans="1:20" x14ac:dyDescent="0.3">
      <c r="A134" t="s">
        <v>308</v>
      </c>
      <c r="B134" t="s">
        <v>234</v>
      </c>
      <c r="C134">
        <v>21</v>
      </c>
      <c r="D134" s="1">
        <v>45855</v>
      </c>
      <c r="E134">
        <v>442200</v>
      </c>
      <c r="F134">
        <v>103</v>
      </c>
      <c r="G134">
        <v>77</v>
      </c>
      <c r="P134" s="16">
        <v>1076900</v>
      </c>
      <c r="Q134" s="17">
        <v>1076900</v>
      </c>
      <c r="R134" s="17">
        <v>1076900</v>
      </c>
      <c r="S134" s="17">
        <v>1</v>
      </c>
      <c r="T134" s="17">
        <v>5</v>
      </c>
    </row>
    <row r="135" spans="1:20" x14ac:dyDescent="0.3">
      <c r="A135" t="s">
        <v>308</v>
      </c>
      <c r="B135" t="s">
        <v>231</v>
      </c>
      <c r="C135">
        <v>18</v>
      </c>
      <c r="D135" s="1">
        <v>45858</v>
      </c>
      <c r="E135">
        <v>409200</v>
      </c>
      <c r="F135" t="s">
        <v>268</v>
      </c>
      <c r="G135">
        <v>75</v>
      </c>
      <c r="P135" s="16">
        <v>1100000</v>
      </c>
      <c r="Q135" s="17">
        <v>1100000</v>
      </c>
      <c r="R135" s="17">
        <v>1100000</v>
      </c>
      <c r="S135" s="17">
        <v>1</v>
      </c>
      <c r="T135" s="17">
        <v>5</v>
      </c>
    </row>
    <row r="136" spans="1:20" x14ac:dyDescent="0.3">
      <c r="A136" t="s">
        <v>308</v>
      </c>
      <c r="B136" t="s">
        <v>311</v>
      </c>
      <c r="C136">
        <v>20</v>
      </c>
      <c r="D136" s="1">
        <v>45856</v>
      </c>
      <c r="E136">
        <v>302500</v>
      </c>
      <c r="F136" t="s">
        <v>249</v>
      </c>
      <c r="G136">
        <v>75</v>
      </c>
      <c r="P136" s="16">
        <v>1106600</v>
      </c>
      <c r="Q136" s="17">
        <v>1106600</v>
      </c>
      <c r="R136" s="17">
        <v>1106600</v>
      </c>
      <c r="S136" s="17">
        <v>1</v>
      </c>
      <c r="T136" s="17">
        <v>17</v>
      </c>
    </row>
    <row r="137" spans="1:20" x14ac:dyDescent="0.3">
      <c r="A137" t="s">
        <v>308</v>
      </c>
      <c r="B137" t="s">
        <v>314</v>
      </c>
      <c r="C137">
        <v>15</v>
      </c>
      <c r="D137" s="1">
        <v>45860</v>
      </c>
      <c r="E137">
        <v>553300</v>
      </c>
      <c r="F137" t="s">
        <v>283</v>
      </c>
      <c r="G137">
        <v>72</v>
      </c>
      <c r="P137" s="16">
        <v>1107700</v>
      </c>
      <c r="Q137" s="17">
        <v>1107700</v>
      </c>
      <c r="R137" s="17">
        <v>1107700</v>
      </c>
      <c r="S137" s="17">
        <v>1</v>
      </c>
      <c r="T137" s="17">
        <v>11</v>
      </c>
    </row>
    <row r="138" spans="1:20" x14ac:dyDescent="0.3">
      <c r="A138" t="s">
        <v>308</v>
      </c>
      <c r="B138" t="s">
        <v>309</v>
      </c>
      <c r="C138">
        <v>8</v>
      </c>
      <c r="D138" s="1">
        <v>45868</v>
      </c>
      <c r="E138">
        <v>745800</v>
      </c>
      <c r="F138" t="s">
        <v>282</v>
      </c>
      <c r="G138">
        <v>71</v>
      </c>
      <c r="P138" s="16">
        <v>1173700</v>
      </c>
      <c r="Q138" s="17">
        <v>1173700</v>
      </c>
      <c r="R138" s="17">
        <v>1173700</v>
      </c>
      <c r="S138" s="17">
        <v>1</v>
      </c>
      <c r="T138" s="17">
        <v>3</v>
      </c>
    </row>
    <row r="139" spans="1:20" x14ac:dyDescent="0.3">
      <c r="A139" t="s">
        <v>308</v>
      </c>
      <c r="B139" t="s">
        <v>231</v>
      </c>
      <c r="C139">
        <v>11</v>
      </c>
      <c r="D139" s="1">
        <v>45865</v>
      </c>
      <c r="E139">
        <v>459800</v>
      </c>
      <c r="F139" t="s">
        <v>264</v>
      </c>
      <c r="G139">
        <v>70</v>
      </c>
      <c r="P139" s="16">
        <v>1437700</v>
      </c>
      <c r="Q139" s="17">
        <v>1437700</v>
      </c>
      <c r="R139" s="17">
        <v>1437700</v>
      </c>
      <c r="S139" s="17">
        <v>1</v>
      </c>
      <c r="T139" s="17">
        <v>4</v>
      </c>
    </row>
    <row r="140" spans="1:20" x14ac:dyDescent="0.3">
      <c r="A140" t="s">
        <v>308</v>
      </c>
      <c r="B140" t="s">
        <v>234</v>
      </c>
      <c r="C140">
        <v>17</v>
      </c>
      <c r="D140" s="1">
        <v>45858</v>
      </c>
      <c r="E140">
        <v>645700</v>
      </c>
      <c r="F140" t="s">
        <v>281</v>
      </c>
      <c r="G140">
        <v>73</v>
      </c>
      <c r="P140" s="16" t="s">
        <v>1805</v>
      </c>
      <c r="Q140" s="17">
        <v>68979300</v>
      </c>
      <c r="R140" s="17">
        <v>418056.36363636365</v>
      </c>
      <c r="S140" s="17">
        <v>165</v>
      </c>
      <c r="T140" s="17">
        <v>24.903030303030302</v>
      </c>
    </row>
    <row r="141" spans="1:20" x14ac:dyDescent="0.3">
      <c r="A141" t="s">
        <v>308</v>
      </c>
      <c r="B141" t="s">
        <v>224</v>
      </c>
      <c r="C141">
        <v>18</v>
      </c>
      <c r="D141" s="1">
        <v>45856</v>
      </c>
      <c r="E141">
        <v>586300</v>
      </c>
      <c r="F141" t="s">
        <v>425</v>
      </c>
      <c r="G141">
        <v>71</v>
      </c>
    </row>
    <row r="142" spans="1:20" x14ac:dyDescent="0.3">
      <c r="A142" t="s">
        <v>308</v>
      </c>
      <c r="B142" t="s">
        <v>233</v>
      </c>
      <c r="C142">
        <v>14</v>
      </c>
      <c r="D142" s="1">
        <v>45861</v>
      </c>
      <c r="E142">
        <v>545600</v>
      </c>
      <c r="F142" t="s">
        <v>269</v>
      </c>
      <c r="G142">
        <v>67</v>
      </c>
    </row>
    <row r="143" spans="1:20" x14ac:dyDescent="0.3">
      <c r="A143" t="s">
        <v>308</v>
      </c>
      <c r="B143" t="s">
        <v>226</v>
      </c>
      <c r="C143">
        <v>19</v>
      </c>
      <c r="D143" s="1">
        <v>45856</v>
      </c>
      <c r="E143">
        <v>350900</v>
      </c>
      <c r="F143" t="s">
        <v>275</v>
      </c>
      <c r="G143">
        <v>66</v>
      </c>
    </row>
    <row r="144" spans="1:20" x14ac:dyDescent="0.3">
      <c r="A144" t="s">
        <v>308</v>
      </c>
      <c r="B144" t="s">
        <v>236</v>
      </c>
      <c r="C144">
        <v>16</v>
      </c>
      <c r="D144" s="1">
        <v>45857</v>
      </c>
      <c r="E144">
        <v>1042800</v>
      </c>
      <c r="F144" t="s">
        <v>426</v>
      </c>
      <c r="G144">
        <v>68</v>
      </c>
    </row>
    <row r="145" spans="1:7" x14ac:dyDescent="0.3">
      <c r="A145" t="s">
        <v>308</v>
      </c>
      <c r="B145" t="s">
        <v>225</v>
      </c>
      <c r="C145">
        <v>11</v>
      </c>
      <c r="D145" s="1">
        <v>45862</v>
      </c>
      <c r="E145">
        <v>617100</v>
      </c>
      <c r="F145" t="s">
        <v>262</v>
      </c>
      <c r="G145">
        <v>83</v>
      </c>
    </row>
    <row r="146" spans="1:7" x14ac:dyDescent="0.3">
      <c r="A146" t="s">
        <v>308</v>
      </c>
      <c r="B146" t="s">
        <v>231</v>
      </c>
      <c r="C146">
        <v>18</v>
      </c>
      <c r="D146" s="1">
        <v>45855</v>
      </c>
      <c r="E146">
        <v>343200</v>
      </c>
      <c r="F146" t="s">
        <v>266</v>
      </c>
      <c r="G146">
        <v>63</v>
      </c>
    </row>
    <row r="147" spans="1:7" x14ac:dyDescent="0.3">
      <c r="A147" t="s">
        <v>308</v>
      </c>
      <c r="B147" t="s">
        <v>236</v>
      </c>
      <c r="C147">
        <v>12</v>
      </c>
      <c r="D147" s="1">
        <v>45859</v>
      </c>
      <c r="E147">
        <v>666600</v>
      </c>
      <c r="F147" t="s">
        <v>427</v>
      </c>
      <c r="G147">
        <v>63</v>
      </c>
    </row>
    <row r="148" spans="1:7" x14ac:dyDescent="0.3">
      <c r="A148" t="s">
        <v>308</v>
      </c>
      <c r="B148" t="s">
        <v>224</v>
      </c>
      <c r="C148">
        <v>13</v>
      </c>
      <c r="D148" s="1">
        <v>45861</v>
      </c>
      <c r="E148">
        <v>397100</v>
      </c>
      <c r="F148" t="s">
        <v>278</v>
      </c>
      <c r="G148">
        <v>61</v>
      </c>
    </row>
    <row r="149" spans="1:7" x14ac:dyDescent="0.3">
      <c r="A149" t="s">
        <v>308</v>
      </c>
      <c r="B149" t="s">
        <v>229</v>
      </c>
      <c r="C149">
        <v>17</v>
      </c>
      <c r="D149" s="1">
        <v>45857</v>
      </c>
      <c r="E149">
        <v>630300</v>
      </c>
      <c r="F149" t="s">
        <v>255</v>
      </c>
      <c r="G149">
        <v>61</v>
      </c>
    </row>
    <row r="150" spans="1:7" x14ac:dyDescent="0.3">
      <c r="A150" t="s">
        <v>308</v>
      </c>
      <c r="B150" t="s">
        <v>226</v>
      </c>
      <c r="C150">
        <v>15</v>
      </c>
      <c r="D150" s="1">
        <v>45859</v>
      </c>
      <c r="E150">
        <v>666600</v>
      </c>
      <c r="F150" t="s">
        <v>284</v>
      </c>
      <c r="G150">
        <v>59</v>
      </c>
    </row>
    <row r="151" spans="1:7" x14ac:dyDescent="0.3">
      <c r="A151" t="s">
        <v>308</v>
      </c>
      <c r="B151" t="s">
        <v>226</v>
      </c>
      <c r="C151">
        <v>17</v>
      </c>
      <c r="D151" s="1">
        <v>45856</v>
      </c>
      <c r="E151">
        <v>372900</v>
      </c>
      <c r="F151" t="s">
        <v>276</v>
      </c>
      <c r="G151">
        <v>58</v>
      </c>
    </row>
    <row r="152" spans="1:7" x14ac:dyDescent="0.3">
      <c r="A152" t="s">
        <v>308</v>
      </c>
      <c r="B152" t="s">
        <v>226</v>
      </c>
      <c r="C152">
        <v>63</v>
      </c>
      <c r="D152" s="1">
        <v>45622</v>
      </c>
      <c r="E152">
        <v>8800</v>
      </c>
      <c r="F152" t="s">
        <v>428</v>
      </c>
      <c r="G152">
        <v>940</v>
      </c>
    </row>
    <row r="153" spans="1:7" x14ac:dyDescent="0.3">
      <c r="A153" t="s">
        <v>308</v>
      </c>
      <c r="B153" t="s">
        <v>231</v>
      </c>
      <c r="C153">
        <v>186</v>
      </c>
      <c r="D153" s="1">
        <v>45687</v>
      </c>
      <c r="E153">
        <v>29700</v>
      </c>
      <c r="F153" t="s">
        <v>429</v>
      </c>
      <c r="G153">
        <v>942</v>
      </c>
    </row>
    <row r="154" spans="1:7" x14ac:dyDescent="0.3">
      <c r="A154" t="s">
        <v>308</v>
      </c>
      <c r="B154" t="s">
        <v>224</v>
      </c>
      <c r="C154">
        <v>16</v>
      </c>
      <c r="D154" s="1">
        <v>45856</v>
      </c>
      <c r="E154">
        <v>565400</v>
      </c>
      <c r="F154" t="s">
        <v>286</v>
      </c>
      <c r="G154">
        <v>57</v>
      </c>
    </row>
    <row r="155" spans="1:7" x14ac:dyDescent="0.3">
      <c r="A155" t="s">
        <v>308</v>
      </c>
      <c r="B155" t="s">
        <v>224</v>
      </c>
      <c r="C155">
        <v>17</v>
      </c>
      <c r="D155" s="1">
        <v>45855</v>
      </c>
      <c r="E155">
        <v>1106600</v>
      </c>
      <c r="F155" t="s">
        <v>289</v>
      </c>
      <c r="G155">
        <v>55</v>
      </c>
    </row>
    <row r="156" spans="1:7" x14ac:dyDescent="0.3">
      <c r="A156" t="s">
        <v>308</v>
      </c>
      <c r="B156" t="s">
        <v>235</v>
      </c>
      <c r="C156">
        <v>17</v>
      </c>
      <c r="D156" s="1">
        <v>45855</v>
      </c>
      <c r="E156">
        <v>449900</v>
      </c>
      <c r="F156" t="s">
        <v>430</v>
      </c>
      <c r="G156">
        <v>56</v>
      </c>
    </row>
    <row r="157" spans="1:7" x14ac:dyDescent="0.3">
      <c r="A157" t="s">
        <v>308</v>
      </c>
      <c r="B157" t="s">
        <v>229</v>
      </c>
      <c r="C157">
        <v>50</v>
      </c>
      <c r="D157" s="1">
        <v>45632</v>
      </c>
      <c r="E157">
        <v>164400</v>
      </c>
      <c r="F157" t="s">
        <v>431</v>
      </c>
      <c r="G157">
        <v>939</v>
      </c>
    </row>
    <row r="158" spans="1:7" x14ac:dyDescent="0.3">
      <c r="A158" t="s">
        <v>308</v>
      </c>
      <c r="B158" t="s">
        <v>225</v>
      </c>
      <c r="C158">
        <v>7</v>
      </c>
      <c r="D158" s="1">
        <v>45865</v>
      </c>
      <c r="E158">
        <v>1063700</v>
      </c>
      <c r="F158" t="s">
        <v>292</v>
      </c>
      <c r="G158">
        <v>55</v>
      </c>
    </row>
    <row r="159" spans="1:7" x14ac:dyDescent="0.3">
      <c r="A159" t="s">
        <v>308</v>
      </c>
      <c r="B159" t="s">
        <v>309</v>
      </c>
      <c r="C159">
        <v>7</v>
      </c>
      <c r="D159" s="1">
        <v>45865</v>
      </c>
      <c r="E159">
        <v>784300</v>
      </c>
      <c r="F159" t="s">
        <v>297</v>
      </c>
      <c r="G159">
        <v>57</v>
      </c>
    </row>
    <row r="160" spans="1:7" x14ac:dyDescent="0.3">
      <c r="A160" t="s">
        <v>308</v>
      </c>
      <c r="B160" t="s">
        <v>229</v>
      </c>
      <c r="C160">
        <v>44</v>
      </c>
      <c r="D160" s="1">
        <v>45828</v>
      </c>
      <c r="E160">
        <v>124300</v>
      </c>
      <c r="F160" t="s">
        <v>258</v>
      </c>
      <c r="G160">
        <v>947</v>
      </c>
    </row>
    <row r="161" spans="1:7" x14ac:dyDescent="0.3">
      <c r="A161" t="s">
        <v>308</v>
      </c>
      <c r="B161" t="s">
        <v>226</v>
      </c>
      <c r="C161">
        <v>16</v>
      </c>
      <c r="D161" s="1">
        <v>45855</v>
      </c>
      <c r="E161">
        <v>823900</v>
      </c>
      <c r="F161" t="s">
        <v>302</v>
      </c>
      <c r="G161">
        <v>66</v>
      </c>
    </row>
    <row r="162" spans="1:7" x14ac:dyDescent="0.3">
      <c r="A162" t="s">
        <v>308</v>
      </c>
      <c r="B162" t="s">
        <v>236</v>
      </c>
      <c r="C162">
        <v>14</v>
      </c>
      <c r="D162" s="1">
        <v>45857</v>
      </c>
      <c r="E162">
        <v>456500</v>
      </c>
      <c r="F162" t="s">
        <v>288</v>
      </c>
      <c r="G162">
        <v>51</v>
      </c>
    </row>
    <row r="163" spans="1:7" x14ac:dyDescent="0.3">
      <c r="A163" t="s">
        <v>308</v>
      </c>
      <c r="B163" t="s">
        <v>234</v>
      </c>
      <c r="C163">
        <v>16</v>
      </c>
      <c r="D163" s="1">
        <v>45855</v>
      </c>
      <c r="E163">
        <v>975700</v>
      </c>
      <c r="F163" t="s">
        <v>274</v>
      </c>
      <c r="G163">
        <v>44</v>
      </c>
    </row>
    <row r="164" spans="1:7" x14ac:dyDescent="0.3">
      <c r="A164" t="s">
        <v>308</v>
      </c>
      <c r="B164" t="s">
        <v>224</v>
      </c>
      <c r="C164">
        <v>3</v>
      </c>
      <c r="D164" s="1">
        <v>45867</v>
      </c>
      <c r="E164">
        <v>1173700</v>
      </c>
      <c r="F164" t="s">
        <v>432</v>
      </c>
      <c r="G164">
        <v>50</v>
      </c>
    </row>
    <row r="165" spans="1:7" x14ac:dyDescent="0.3">
      <c r="A165" t="s">
        <v>308</v>
      </c>
      <c r="B165" t="s">
        <v>234</v>
      </c>
      <c r="C165">
        <v>13</v>
      </c>
      <c r="D165" s="1">
        <v>45857</v>
      </c>
      <c r="E165">
        <v>996600</v>
      </c>
      <c r="F165" t="s">
        <v>273</v>
      </c>
      <c r="G165">
        <v>48</v>
      </c>
    </row>
    <row r="166" spans="1:7" x14ac:dyDescent="0.3">
      <c r="A166" t="s">
        <v>308</v>
      </c>
      <c r="B166" t="s">
        <v>236</v>
      </c>
      <c r="C166">
        <v>14</v>
      </c>
      <c r="D166" s="1">
        <v>45857</v>
      </c>
      <c r="E166">
        <v>744700</v>
      </c>
      <c r="F166" t="s">
        <v>294</v>
      </c>
      <c r="G166">
        <v>48</v>
      </c>
    </row>
    <row r="167" spans="1:7" x14ac:dyDescent="0.3">
      <c r="A167" t="s">
        <v>308</v>
      </c>
      <c r="B167" t="s">
        <v>229</v>
      </c>
      <c r="C167">
        <v>4</v>
      </c>
      <c r="D167" s="1">
        <v>45867</v>
      </c>
      <c r="E167">
        <v>1437700</v>
      </c>
      <c r="F167" t="s">
        <v>305</v>
      </c>
      <c r="G167">
        <v>48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B9C94-DCB7-47D1-8F28-9CFAB72E6E50}">
  <dimension ref="A1:T67"/>
  <sheetViews>
    <sheetView topLeftCell="A49" workbookViewId="0">
      <selection activeCell="P64" sqref="P64:T64"/>
      <pivotSelection pane="bottomRight" showHeader="1" extendable="1" axis="axisRow" start="61" max="62" activeRow="63" activeCol="15" previousRow="63" previousCol="15" click="1" r:id="rId1">
        <pivotArea dataOnly="0" grandRow="1" axis="axisRow" fieldPosition="0"/>
      </pivotSelection>
    </sheetView>
  </sheetViews>
  <sheetFormatPr defaultRowHeight="16.5" x14ac:dyDescent="0.3"/>
  <cols>
    <col min="1" max="1" width="24" bestFit="1" customWidth="1"/>
    <col min="2" max="2" width="13" bestFit="1" customWidth="1"/>
    <col min="4" max="4" width="11.125" bestFit="1" customWidth="1"/>
    <col min="10" max="10" width="11.875" bestFit="1" customWidth="1"/>
    <col min="11" max="11" width="10.875" bestFit="1" customWidth="1"/>
    <col min="13" max="13" width="10.875" bestFit="1" customWidth="1"/>
    <col min="16" max="16" width="11.875" bestFit="1" customWidth="1"/>
    <col min="17" max="18" width="17.75" bestFit="1" customWidth="1"/>
    <col min="19" max="19" width="15.625" bestFit="1" customWidth="1"/>
    <col min="20" max="20" width="14.5" bestFit="1" customWidth="1"/>
    <col min="21" max="21" width="5.5" bestFit="1" customWidth="1"/>
    <col min="22" max="23" width="10.875" bestFit="1" customWidth="1"/>
  </cols>
  <sheetData>
    <row r="1" spans="1:20" x14ac:dyDescent="0.3">
      <c r="A1" t="s">
        <v>1771</v>
      </c>
      <c r="C1" t="s">
        <v>237</v>
      </c>
      <c r="D1" t="s">
        <v>238</v>
      </c>
      <c r="E1" t="s">
        <v>239</v>
      </c>
      <c r="F1" t="s">
        <v>240</v>
      </c>
      <c r="G1" t="s">
        <v>242</v>
      </c>
      <c r="I1" t="s">
        <v>1772</v>
      </c>
      <c r="J1" t="s">
        <v>1773</v>
      </c>
    </row>
    <row r="2" spans="1:20" x14ac:dyDescent="0.3">
      <c r="A2" t="s">
        <v>223</v>
      </c>
      <c r="B2" t="s">
        <v>229</v>
      </c>
      <c r="C2">
        <v>4</v>
      </c>
      <c r="D2" s="1">
        <v>45867</v>
      </c>
      <c r="E2">
        <v>1657700</v>
      </c>
      <c r="F2" t="s">
        <v>305</v>
      </c>
      <c r="G2">
        <v>26</v>
      </c>
      <c r="I2">
        <f>COUNTA(A:A)</f>
        <v>67</v>
      </c>
      <c r="J2" s="9">
        <f>SUM(E:E)</f>
        <v>49577000</v>
      </c>
      <c r="K2" s="9">
        <v>10000</v>
      </c>
      <c r="L2" cm="1">
        <f t="array" ref="L2:L30">FREQUENCY(E:E, K2:K29)</f>
        <v>2</v>
      </c>
      <c r="M2" s="9">
        <f>L2*K2</f>
        <v>20000</v>
      </c>
      <c r="N2" s="11">
        <f>L2/I$2</f>
        <v>2.9850746268656716E-2</v>
      </c>
      <c r="P2" s="15" t="s">
        <v>1804</v>
      </c>
      <c r="Q2" t="s">
        <v>1836</v>
      </c>
      <c r="R2" t="s">
        <v>1837</v>
      </c>
      <c r="S2" t="s">
        <v>1812</v>
      </c>
      <c r="T2" t="s">
        <v>1838</v>
      </c>
    </row>
    <row r="3" spans="1:20" x14ac:dyDescent="0.3">
      <c r="A3" t="s">
        <v>223</v>
      </c>
      <c r="B3" t="s">
        <v>225</v>
      </c>
      <c r="C3">
        <v>6</v>
      </c>
      <c r="D3" s="1">
        <v>45870</v>
      </c>
      <c r="E3">
        <v>1980000</v>
      </c>
      <c r="F3" t="s">
        <v>287</v>
      </c>
      <c r="G3">
        <v>42</v>
      </c>
      <c r="K3" s="9">
        <v>50000</v>
      </c>
      <c r="L3">
        <v>0</v>
      </c>
      <c r="M3" s="9">
        <f t="shared" ref="M3:M29" si="0">L3*K3</f>
        <v>0</v>
      </c>
      <c r="N3" s="11">
        <f t="shared" ref="N3:N29" si="1">L3/I$2</f>
        <v>0</v>
      </c>
      <c r="P3" s="16">
        <v>0</v>
      </c>
      <c r="Q3" s="17">
        <v>0</v>
      </c>
      <c r="R3" s="17">
        <v>0</v>
      </c>
      <c r="S3" s="17">
        <v>1</v>
      </c>
      <c r="T3" s="17">
        <v>151</v>
      </c>
    </row>
    <row r="4" spans="1:20" x14ac:dyDescent="0.3">
      <c r="A4" t="s">
        <v>223</v>
      </c>
      <c r="B4" t="s">
        <v>224</v>
      </c>
      <c r="C4">
        <v>7</v>
      </c>
      <c r="D4" s="1">
        <v>45872</v>
      </c>
      <c r="E4">
        <v>1351900</v>
      </c>
      <c r="F4" t="s">
        <v>279</v>
      </c>
      <c r="G4">
        <v>50</v>
      </c>
      <c r="K4" s="9">
        <v>100000</v>
      </c>
      <c r="L4">
        <v>0</v>
      </c>
      <c r="M4" s="9">
        <f t="shared" si="0"/>
        <v>0</v>
      </c>
      <c r="N4" s="11">
        <f t="shared" si="1"/>
        <v>0</v>
      </c>
      <c r="P4" s="16">
        <v>7700</v>
      </c>
      <c r="Q4" s="17">
        <v>7700</v>
      </c>
      <c r="R4" s="17">
        <v>7700</v>
      </c>
      <c r="S4" s="17">
        <v>1</v>
      </c>
      <c r="T4" s="17">
        <v>80</v>
      </c>
    </row>
    <row r="5" spans="1:20" x14ac:dyDescent="0.3">
      <c r="A5" t="s">
        <v>223</v>
      </c>
      <c r="B5" t="s">
        <v>228</v>
      </c>
      <c r="C5">
        <v>7</v>
      </c>
      <c r="D5" s="1">
        <v>45865</v>
      </c>
      <c r="E5">
        <v>1584000</v>
      </c>
      <c r="F5" t="s">
        <v>303</v>
      </c>
      <c r="G5">
        <v>30</v>
      </c>
      <c r="K5" s="9">
        <v>200000</v>
      </c>
      <c r="L5">
        <v>2</v>
      </c>
      <c r="M5" s="9">
        <f t="shared" si="0"/>
        <v>400000</v>
      </c>
      <c r="N5" s="11">
        <f t="shared" si="1"/>
        <v>2.9850746268656716E-2</v>
      </c>
      <c r="P5" s="16">
        <v>124300</v>
      </c>
      <c r="Q5" s="17">
        <v>124300</v>
      </c>
      <c r="R5" s="17">
        <v>124300</v>
      </c>
      <c r="S5" s="17">
        <v>1</v>
      </c>
      <c r="T5" s="17">
        <v>57</v>
      </c>
    </row>
    <row r="6" spans="1:20" x14ac:dyDescent="0.3">
      <c r="A6" t="s">
        <v>223</v>
      </c>
      <c r="B6" t="s">
        <v>224</v>
      </c>
      <c r="C6">
        <v>8</v>
      </c>
      <c r="D6" s="1">
        <v>45873</v>
      </c>
      <c r="E6">
        <v>1123100</v>
      </c>
      <c r="F6" t="s">
        <v>272</v>
      </c>
      <c r="G6">
        <v>57</v>
      </c>
      <c r="K6" s="9">
        <v>300000</v>
      </c>
      <c r="L6">
        <v>3</v>
      </c>
      <c r="M6" s="9">
        <f t="shared" si="0"/>
        <v>900000</v>
      </c>
      <c r="N6" s="11">
        <f t="shared" si="1"/>
        <v>4.4776119402985072E-2</v>
      </c>
      <c r="P6" s="16">
        <v>198000</v>
      </c>
      <c r="Q6" s="17">
        <v>198000</v>
      </c>
      <c r="R6" s="17">
        <v>198000</v>
      </c>
      <c r="S6" s="17">
        <v>1</v>
      </c>
      <c r="T6" s="17">
        <v>30</v>
      </c>
    </row>
    <row r="7" spans="1:20" x14ac:dyDescent="0.3">
      <c r="A7" t="s">
        <v>223</v>
      </c>
      <c r="B7" t="s">
        <v>235</v>
      </c>
      <c r="C7">
        <v>9</v>
      </c>
      <c r="D7" s="1">
        <v>45865</v>
      </c>
      <c r="E7">
        <v>1070300</v>
      </c>
      <c r="F7" t="s">
        <v>297</v>
      </c>
      <c r="G7">
        <v>41</v>
      </c>
      <c r="K7" s="9">
        <v>400000</v>
      </c>
      <c r="L7">
        <v>2</v>
      </c>
      <c r="M7" s="9">
        <f t="shared" si="0"/>
        <v>800000</v>
      </c>
      <c r="N7" s="11">
        <f t="shared" si="1"/>
        <v>2.9850746268656716E-2</v>
      </c>
      <c r="P7" s="16">
        <v>231000</v>
      </c>
      <c r="Q7" s="17">
        <v>231000</v>
      </c>
      <c r="R7" s="17">
        <v>231000</v>
      </c>
      <c r="S7" s="17">
        <v>1</v>
      </c>
      <c r="T7" s="17">
        <v>29</v>
      </c>
    </row>
    <row r="8" spans="1:20" x14ac:dyDescent="0.3">
      <c r="A8" t="s">
        <v>223</v>
      </c>
      <c r="B8" t="s">
        <v>235</v>
      </c>
      <c r="C8">
        <v>11</v>
      </c>
      <c r="D8" s="1">
        <v>45868</v>
      </c>
      <c r="E8">
        <v>906400</v>
      </c>
      <c r="F8" t="s">
        <v>282</v>
      </c>
      <c r="G8">
        <v>47</v>
      </c>
      <c r="K8" s="9">
        <v>500000</v>
      </c>
      <c r="L8">
        <v>10</v>
      </c>
      <c r="M8" s="9">
        <f t="shared" si="0"/>
        <v>5000000</v>
      </c>
      <c r="N8" s="11">
        <f t="shared" si="1"/>
        <v>0.14925373134328357</v>
      </c>
      <c r="P8" s="16">
        <v>278300</v>
      </c>
      <c r="Q8" s="17">
        <v>278300</v>
      </c>
      <c r="R8" s="17">
        <v>278300</v>
      </c>
      <c r="S8" s="17">
        <v>1</v>
      </c>
      <c r="T8" s="17">
        <v>30</v>
      </c>
    </row>
    <row r="9" spans="1:20" x14ac:dyDescent="0.3">
      <c r="A9" t="s">
        <v>223</v>
      </c>
      <c r="B9" t="s">
        <v>225</v>
      </c>
      <c r="C9">
        <v>11</v>
      </c>
      <c r="D9" s="1">
        <v>45865</v>
      </c>
      <c r="E9">
        <v>1063700</v>
      </c>
      <c r="F9" t="s">
        <v>292</v>
      </c>
      <c r="G9">
        <v>41</v>
      </c>
      <c r="K9" s="9">
        <v>600000</v>
      </c>
      <c r="L9">
        <v>7</v>
      </c>
      <c r="M9" s="9">
        <f t="shared" si="0"/>
        <v>4200000</v>
      </c>
      <c r="N9" s="11">
        <f t="shared" si="1"/>
        <v>0.1044776119402985</v>
      </c>
      <c r="P9" s="16">
        <v>280500</v>
      </c>
      <c r="Q9" s="17">
        <v>280500</v>
      </c>
      <c r="R9" s="17">
        <v>280500</v>
      </c>
      <c r="S9" s="17">
        <v>1</v>
      </c>
      <c r="T9" s="17">
        <v>32</v>
      </c>
    </row>
    <row r="10" spans="1:20" x14ac:dyDescent="0.3">
      <c r="A10" t="s">
        <v>223</v>
      </c>
      <c r="B10" t="s">
        <v>224</v>
      </c>
      <c r="C10">
        <v>14</v>
      </c>
      <c r="D10" s="1">
        <v>45873</v>
      </c>
      <c r="E10">
        <v>1257300</v>
      </c>
      <c r="F10" t="s">
        <v>241</v>
      </c>
      <c r="G10">
        <v>92</v>
      </c>
      <c r="K10" s="9">
        <v>700000</v>
      </c>
      <c r="L10">
        <v>7</v>
      </c>
      <c r="M10" s="9">
        <f t="shared" si="0"/>
        <v>4900000</v>
      </c>
      <c r="N10" s="11">
        <f t="shared" si="1"/>
        <v>0.1044776119402985</v>
      </c>
      <c r="P10" s="16">
        <v>365200</v>
      </c>
      <c r="Q10" s="17">
        <v>365200</v>
      </c>
      <c r="R10" s="17">
        <v>365200</v>
      </c>
      <c r="S10" s="17">
        <v>1</v>
      </c>
      <c r="T10" s="17">
        <v>27</v>
      </c>
    </row>
    <row r="11" spans="1:20" x14ac:dyDescent="0.3">
      <c r="A11" t="s">
        <v>223</v>
      </c>
      <c r="B11" t="s">
        <v>225</v>
      </c>
      <c r="C11">
        <v>15</v>
      </c>
      <c r="D11" s="1">
        <v>45867</v>
      </c>
      <c r="E11">
        <v>1140700</v>
      </c>
      <c r="F11" t="s">
        <v>271</v>
      </c>
      <c r="G11">
        <v>58</v>
      </c>
      <c r="K11" s="9">
        <v>800000</v>
      </c>
      <c r="L11">
        <v>2</v>
      </c>
      <c r="M11" s="9">
        <f t="shared" si="0"/>
        <v>1600000</v>
      </c>
      <c r="N11" s="11">
        <f t="shared" si="1"/>
        <v>2.9850746268656716E-2</v>
      </c>
      <c r="P11" s="16">
        <v>368500</v>
      </c>
      <c r="Q11" s="17">
        <v>368500</v>
      </c>
      <c r="R11" s="17">
        <v>368500</v>
      </c>
      <c r="S11" s="17">
        <v>1</v>
      </c>
      <c r="T11" s="17">
        <v>30</v>
      </c>
    </row>
    <row r="12" spans="1:20" x14ac:dyDescent="0.3">
      <c r="A12" t="s">
        <v>223</v>
      </c>
      <c r="B12" t="s">
        <v>224</v>
      </c>
      <c r="C12">
        <v>15</v>
      </c>
      <c r="D12" s="1">
        <v>45860</v>
      </c>
      <c r="E12">
        <v>1007600</v>
      </c>
      <c r="F12" t="s">
        <v>296</v>
      </c>
      <c r="G12">
        <v>34</v>
      </c>
      <c r="K12" s="9">
        <v>900000</v>
      </c>
      <c r="L12">
        <v>9</v>
      </c>
      <c r="M12" s="9">
        <f t="shared" si="0"/>
        <v>8100000</v>
      </c>
      <c r="N12" s="11">
        <f t="shared" si="1"/>
        <v>0.13432835820895522</v>
      </c>
      <c r="P12" s="16">
        <v>400400</v>
      </c>
      <c r="Q12" s="17">
        <v>400400</v>
      </c>
      <c r="R12" s="17">
        <v>400400</v>
      </c>
      <c r="S12" s="17">
        <v>1</v>
      </c>
      <c r="T12" s="17">
        <v>21</v>
      </c>
    </row>
    <row r="13" spans="1:20" x14ac:dyDescent="0.3">
      <c r="A13" t="s">
        <v>223</v>
      </c>
      <c r="B13" t="s">
        <v>228</v>
      </c>
      <c r="C13">
        <v>15</v>
      </c>
      <c r="D13" s="1">
        <v>45856</v>
      </c>
      <c r="E13">
        <v>823900</v>
      </c>
      <c r="F13" t="s">
        <v>304</v>
      </c>
      <c r="G13">
        <v>27</v>
      </c>
      <c r="K13" s="9">
        <v>1000000</v>
      </c>
      <c r="L13">
        <v>7</v>
      </c>
      <c r="M13" s="9">
        <f t="shared" si="0"/>
        <v>7000000</v>
      </c>
      <c r="N13" s="11">
        <f t="shared" si="1"/>
        <v>0.1044776119402985</v>
      </c>
      <c r="P13" s="16">
        <v>403700</v>
      </c>
      <c r="Q13" s="17">
        <v>403700</v>
      </c>
      <c r="R13" s="17">
        <v>403700</v>
      </c>
      <c r="S13" s="17">
        <v>1</v>
      </c>
      <c r="T13" s="17">
        <v>27</v>
      </c>
    </row>
    <row r="14" spans="1:20" x14ac:dyDescent="0.3">
      <c r="A14" t="s">
        <v>223</v>
      </c>
      <c r="B14" t="s">
        <v>234</v>
      </c>
      <c r="C14">
        <v>16</v>
      </c>
      <c r="D14" s="1">
        <v>45857</v>
      </c>
      <c r="E14">
        <v>825000</v>
      </c>
      <c r="F14" t="s">
        <v>300</v>
      </c>
      <c r="G14">
        <v>28</v>
      </c>
      <c r="K14" s="9">
        <v>1100000</v>
      </c>
      <c r="L14">
        <v>5</v>
      </c>
      <c r="M14" s="9">
        <f t="shared" si="0"/>
        <v>5500000</v>
      </c>
      <c r="N14" s="11">
        <f t="shared" si="1"/>
        <v>7.4626865671641784E-2</v>
      </c>
      <c r="P14" s="16">
        <v>427900</v>
      </c>
      <c r="Q14" s="17">
        <v>427900</v>
      </c>
      <c r="R14" s="17">
        <v>427900</v>
      </c>
      <c r="S14" s="17">
        <v>1</v>
      </c>
      <c r="T14" s="17">
        <v>25</v>
      </c>
    </row>
    <row r="15" spans="1:20" x14ac:dyDescent="0.3">
      <c r="A15" t="s">
        <v>223</v>
      </c>
      <c r="B15" t="s">
        <v>226</v>
      </c>
      <c r="C15">
        <v>16</v>
      </c>
      <c r="D15" s="1">
        <v>45857</v>
      </c>
      <c r="E15">
        <v>893200</v>
      </c>
      <c r="F15" t="s">
        <v>301</v>
      </c>
      <c r="G15">
        <v>28</v>
      </c>
      <c r="K15" s="9">
        <v>1200000</v>
      </c>
      <c r="L15">
        <v>4</v>
      </c>
      <c r="M15" s="9">
        <f t="shared" si="0"/>
        <v>4800000</v>
      </c>
      <c r="N15" s="11">
        <f t="shared" si="1"/>
        <v>5.9701492537313432E-2</v>
      </c>
      <c r="P15" s="16">
        <v>452100</v>
      </c>
      <c r="Q15" s="17">
        <v>452100</v>
      </c>
      <c r="R15" s="17">
        <v>452100</v>
      </c>
      <c r="S15" s="17">
        <v>1</v>
      </c>
      <c r="T15" s="17">
        <v>24</v>
      </c>
    </row>
    <row r="16" spans="1:20" x14ac:dyDescent="0.3">
      <c r="A16" t="s">
        <v>223</v>
      </c>
      <c r="B16" t="s">
        <v>226</v>
      </c>
      <c r="C16">
        <v>17</v>
      </c>
      <c r="D16" s="1">
        <v>45869</v>
      </c>
      <c r="E16">
        <v>1054900</v>
      </c>
      <c r="F16" t="s">
        <v>252</v>
      </c>
      <c r="G16">
        <v>78</v>
      </c>
      <c r="K16" s="9">
        <v>1300000</v>
      </c>
      <c r="L16">
        <v>1</v>
      </c>
      <c r="M16" s="9">
        <f t="shared" si="0"/>
        <v>1300000</v>
      </c>
      <c r="N16" s="11">
        <f t="shared" si="1"/>
        <v>1.4925373134328358E-2</v>
      </c>
      <c r="P16" s="16">
        <v>459800</v>
      </c>
      <c r="Q16" s="17">
        <v>459800</v>
      </c>
      <c r="R16" s="17">
        <v>459800</v>
      </c>
      <c r="S16" s="17">
        <v>1</v>
      </c>
      <c r="T16" s="17">
        <v>19</v>
      </c>
    </row>
    <row r="17" spans="1:20" x14ac:dyDescent="0.3">
      <c r="A17" t="s">
        <v>223</v>
      </c>
      <c r="B17" t="s">
        <v>229</v>
      </c>
      <c r="C17">
        <v>17</v>
      </c>
      <c r="D17" s="1">
        <v>45868</v>
      </c>
      <c r="E17">
        <v>865700</v>
      </c>
      <c r="F17" t="s">
        <v>259</v>
      </c>
      <c r="G17">
        <v>69</v>
      </c>
      <c r="K17" s="9">
        <v>1400000</v>
      </c>
      <c r="L17">
        <v>1</v>
      </c>
      <c r="M17" s="9">
        <f t="shared" si="0"/>
        <v>1400000</v>
      </c>
      <c r="N17" s="11">
        <f t="shared" si="1"/>
        <v>1.4925373134328358E-2</v>
      </c>
      <c r="P17" s="16">
        <v>468600</v>
      </c>
      <c r="Q17" s="17">
        <v>468600</v>
      </c>
      <c r="R17" s="17">
        <v>468600</v>
      </c>
      <c r="S17" s="17">
        <v>1</v>
      </c>
      <c r="T17" s="17">
        <v>25</v>
      </c>
    </row>
    <row r="18" spans="1:20" x14ac:dyDescent="0.3">
      <c r="A18" t="s">
        <v>223</v>
      </c>
      <c r="B18" t="s">
        <v>228</v>
      </c>
      <c r="C18">
        <v>17</v>
      </c>
      <c r="D18" s="1">
        <v>45860</v>
      </c>
      <c r="E18">
        <v>801900</v>
      </c>
      <c r="F18" t="s">
        <v>283</v>
      </c>
      <c r="G18">
        <v>47</v>
      </c>
      <c r="K18" s="9">
        <v>1500000</v>
      </c>
      <c r="L18">
        <v>0</v>
      </c>
      <c r="M18" s="9">
        <f t="shared" si="0"/>
        <v>0</v>
      </c>
      <c r="N18" s="11">
        <f t="shared" si="1"/>
        <v>0</v>
      </c>
      <c r="P18" s="16">
        <v>476300</v>
      </c>
      <c r="Q18" s="17">
        <v>952600</v>
      </c>
      <c r="R18" s="17">
        <v>476300</v>
      </c>
      <c r="S18" s="17">
        <v>2</v>
      </c>
      <c r="T18" s="17">
        <v>25</v>
      </c>
    </row>
    <row r="19" spans="1:20" x14ac:dyDescent="0.3">
      <c r="A19" t="s">
        <v>223</v>
      </c>
      <c r="B19" t="s">
        <v>229</v>
      </c>
      <c r="C19">
        <v>17</v>
      </c>
      <c r="D19" s="1">
        <v>45858</v>
      </c>
      <c r="E19">
        <v>801900</v>
      </c>
      <c r="F19" t="s">
        <v>295</v>
      </c>
      <c r="G19">
        <v>44</v>
      </c>
      <c r="K19" s="9">
        <v>1600000</v>
      </c>
      <c r="L19">
        <v>2</v>
      </c>
      <c r="M19" s="9">
        <f t="shared" si="0"/>
        <v>3200000</v>
      </c>
      <c r="N19" s="11">
        <f t="shared" si="1"/>
        <v>2.9850746268656716E-2</v>
      </c>
      <c r="P19" s="16">
        <v>482900</v>
      </c>
      <c r="Q19" s="17">
        <v>482900</v>
      </c>
      <c r="R19" s="17">
        <v>482900</v>
      </c>
      <c r="S19" s="17">
        <v>1</v>
      </c>
      <c r="T19" s="17">
        <v>24</v>
      </c>
    </row>
    <row r="20" spans="1:20" x14ac:dyDescent="0.3">
      <c r="A20" t="s">
        <v>223</v>
      </c>
      <c r="B20" t="s">
        <v>226</v>
      </c>
      <c r="C20">
        <v>17</v>
      </c>
      <c r="D20" s="1">
        <v>45856</v>
      </c>
      <c r="E20">
        <v>647900</v>
      </c>
      <c r="F20" t="s">
        <v>298</v>
      </c>
      <c r="G20">
        <v>32</v>
      </c>
      <c r="K20" s="9">
        <v>1700000</v>
      </c>
      <c r="L20">
        <v>1</v>
      </c>
      <c r="M20" s="9">
        <f t="shared" si="0"/>
        <v>1700000</v>
      </c>
      <c r="N20" s="11">
        <f t="shared" si="1"/>
        <v>1.4925373134328358E-2</v>
      </c>
      <c r="P20" s="16">
        <v>495000</v>
      </c>
      <c r="Q20" s="17">
        <v>495000</v>
      </c>
      <c r="R20" s="17">
        <v>495000</v>
      </c>
      <c r="S20" s="17">
        <v>1</v>
      </c>
      <c r="T20" s="17">
        <v>29</v>
      </c>
    </row>
    <row r="21" spans="1:20" x14ac:dyDescent="0.3">
      <c r="A21" t="s">
        <v>223</v>
      </c>
      <c r="B21" t="s">
        <v>231</v>
      </c>
      <c r="C21">
        <v>17</v>
      </c>
      <c r="D21" s="1">
        <v>45857</v>
      </c>
      <c r="E21">
        <v>959200</v>
      </c>
      <c r="F21" t="s">
        <v>299</v>
      </c>
      <c r="G21">
        <v>32</v>
      </c>
      <c r="K21" s="9">
        <v>1800000</v>
      </c>
      <c r="L21">
        <v>0</v>
      </c>
      <c r="M21" s="9">
        <f t="shared" si="0"/>
        <v>0</v>
      </c>
      <c r="N21" s="11">
        <f t="shared" si="1"/>
        <v>0</v>
      </c>
      <c r="P21" s="16">
        <v>507100</v>
      </c>
      <c r="Q21" s="17">
        <v>507100</v>
      </c>
      <c r="R21" s="17">
        <v>507100</v>
      </c>
      <c r="S21" s="17">
        <v>1</v>
      </c>
      <c r="T21" s="17">
        <v>19</v>
      </c>
    </row>
    <row r="22" spans="1:20" x14ac:dyDescent="0.3">
      <c r="A22" t="s">
        <v>223</v>
      </c>
      <c r="B22" t="s">
        <v>224</v>
      </c>
      <c r="C22">
        <v>17</v>
      </c>
      <c r="D22" s="1">
        <v>45854</v>
      </c>
      <c r="E22">
        <v>770000</v>
      </c>
      <c r="F22" t="s">
        <v>306</v>
      </c>
      <c r="G22">
        <v>27</v>
      </c>
      <c r="K22" s="9">
        <v>1900000</v>
      </c>
      <c r="L22">
        <v>0</v>
      </c>
      <c r="M22" s="9">
        <f t="shared" si="0"/>
        <v>0</v>
      </c>
      <c r="N22" s="11">
        <f t="shared" si="1"/>
        <v>0</v>
      </c>
      <c r="P22" s="16">
        <v>544500</v>
      </c>
      <c r="Q22" s="17">
        <v>544500</v>
      </c>
      <c r="R22" s="17">
        <v>544500</v>
      </c>
      <c r="S22" s="17">
        <v>1</v>
      </c>
      <c r="T22" s="17">
        <v>23</v>
      </c>
    </row>
    <row r="23" spans="1:20" x14ac:dyDescent="0.3">
      <c r="A23" t="s">
        <v>223</v>
      </c>
      <c r="B23" t="s">
        <v>224</v>
      </c>
      <c r="C23">
        <v>17</v>
      </c>
      <c r="D23" s="1">
        <v>45854</v>
      </c>
      <c r="E23">
        <v>929500</v>
      </c>
      <c r="F23" t="s">
        <v>307</v>
      </c>
      <c r="G23">
        <v>24</v>
      </c>
      <c r="K23" s="9">
        <v>2000000</v>
      </c>
      <c r="L23">
        <v>1</v>
      </c>
      <c r="M23" s="9">
        <f t="shared" si="0"/>
        <v>2000000</v>
      </c>
      <c r="N23" s="11">
        <f t="shared" si="1"/>
        <v>1.4925373134328358E-2</v>
      </c>
      <c r="P23" s="16">
        <v>563200</v>
      </c>
      <c r="Q23" s="17">
        <v>563200</v>
      </c>
      <c r="R23" s="17">
        <v>563200</v>
      </c>
      <c r="S23" s="17">
        <v>1</v>
      </c>
      <c r="T23" s="17">
        <v>20</v>
      </c>
    </row>
    <row r="24" spans="1:20" x14ac:dyDescent="0.3">
      <c r="A24" t="s">
        <v>223</v>
      </c>
      <c r="B24" t="s">
        <v>228</v>
      </c>
      <c r="C24">
        <v>18</v>
      </c>
      <c r="D24" s="1">
        <v>45867</v>
      </c>
      <c r="E24">
        <v>657800</v>
      </c>
      <c r="F24" t="s">
        <v>253</v>
      </c>
      <c r="G24">
        <v>89</v>
      </c>
      <c r="K24" s="9">
        <v>2100000</v>
      </c>
      <c r="L24">
        <v>0</v>
      </c>
      <c r="M24" s="9">
        <f t="shared" si="0"/>
        <v>0</v>
      </c>
      <c r="N24" s="11">
        <f t="shared" si="1"/>
        <v>0</v>
      </c>
      <c r="P24" s="16">
        <v>568700</v>
      </c>
      <c r="Q24" s="17">
        <v>568700</v>
      </c>
      <c r="R24" s="17">
        <v>568700</v>
      </c>
      <c r="S24" s="17">
        <v>1</v>
      </c>
      <c r="T24" s="17">
        <v>24</v>
      </c>
    </row>
    <row r="25" spans="1:20" x14ac:dyDescent="0.3">
      <c r="A25" t="s">
        <v>223</v>
      </c>
      <c r="B25" t="s">
        <v>228</v>
      </c>
      <c r="C25">
        <v>18</v>
      </c>
      <c r="D25" s="1">
        <v>45864</v>
      </c>
      <c r="E25">
        <v>905300</v>
      </c>
      <c r="F25" t="s">
        <v>270</v>
      </c>
      <c r="G25">
        <v>59</v>
      </c>
      <c r="K25" s="9">
        <v>2200000</v>
      </c>
      <c r="L25">
        <v>0</v>
      </c>
      <c r="M25" s="9">
        <f t="shared" si="0"/>
        <v>0</v>
      </c>
      <c r="N25" s="11">
        <f t="shared" si="1"/>
        <v>0</v>
      </c>
      <c r="P25" s="16">
        <v>569800</v>
      </c>
      <c r="Q25" s="17">
        <v>569800</v>
      </c>
      <c r="R25" s="17">
        <v>569800</v>
      </c>
      <c r="S25" s="17">
        <v>1</v>
      </c>
      <c r="T25" s="17">
        <v>19</v>
      </c>
    </row>
    <row r="26" spans="1:20" x14ac:dyDescent="0.3">
      <c r="A26" t="s">
        <v>223</v>
      </c>
      <c r="B26" t="s">
        <v>231</v>
      </c>
      <c r="C26">
        <v>18</v>
      </c>
      <c r="D26" s="1">
        <v>45857</v>
      </c>
      <c r="E26">
        <v>876700</v>
      </c>
      <c r="F26" t="s">
        <v>294</v>
      </c>
      <c r="G26">
        <v>37</v>
      </c>
      <c r="K26" s="9">
        <v>2300000</v>
      </c>
      <c r="L26">
        <v>0</v>
      </c>
      <c r="M26" s="9">
        <f t="shared" si="0"/>
        <v>0</v>
      </c>
      <c r="N26" s="11">
        <f t="shared" si="1"/>
        <v>0</v>
      </c>
      <c r="P26" s="16">
        <v>575300</v>
      </c>
      <c r="Q26" s="17">
        <v>575300</v>
      </c>
      <c r="R26" s="17">
        <v>575300</v>
      </c>
      <c r="S26" s="17">
        <v>1</v>
      </c>
      <c r="T26" s="17">
        <v>22</v>
      </c>
    </row>
    <row r="27" spans="1:20" x14ac:dyDescent="0.3">
      <c r="A27" t="s">
        <v>223</v>
      </c>
      <c r="B27" t="s">
        <v>224</v>
      </c>
      <c r="C27">
        <v>18</v>
      </c>
      <c r="D27" s="1">
        <v>45855</v>
      </c>
      <c r="E27">
        <v>1054900</v>
      </c>
      <c r="F27" t="s">
        <v>302</v>
      </c>
      <c r="G27">
        <v>28</v>
      </c>
      <c r="K27" s="9">
        <v>2400000</v>
      </c>
      <c r="L27">
        <v>0</v>
      </c>
      <c r="M27" s="9">
        <f t="shared" si="0"/>
        <v>0</v>
      </c>
      <c r="N27" s="11">
        <f t="shared" si="1"/>
        <v>0</v>
      </c>
      <c r="P27" s="16">
        <v>590700</v>
      </c>
      <c r="Q27" s="17">
        <v>590700</v>
      </c>
      <c r="R27" s="17">
        <v>590700</v>
      </c>
      <c r="S27" s="17">
        <v>1</v>
      </c>
      <c r="T27" s="17">
        <v>22</v>
      </c>
    </row>
    <row r="28" spans="1:20" x14ac:dyDescent="0.3">
      <c r="A28" t="s">
        <v>223</v>
      </c>
      <c r="B28" t="s">
        <v>231</v>
      </c>
      <c r="C28">
        <v>19</v>
      </c>
      <c r="D28" s="1">
        <v>45865</v>
      </c>
      <c r="E28">
        <v>459800</v>
      </c>
      <c r="F28" t="s">
        <v>264</v>
      </c>
      <c r="G28">
        <v>65</v>
      </c>
      <c r="K28" s="9">
        <v>2500000</v>
      </c>
      <c r="L28">
        <v>0</v>
      </c>
      <c r="M28" s="9">
        <f t="shared" si="0"/>
        <v>0</v>
      </c>
      <c r="N28" s="11">
        <f t="shared" si="1"/>
        <v>0</v>
      </c>
      <c r="P28" s="16">
        <v>601700</v>
      </c>
      <c r="Q28" s="17">
        <v>601700</v>
      </c>
      <c r="R28" s="17">
        <v>601700</v>
      </c>
      <c r="S28" s="17">
        <v>1</v>
      </c>
      <c r="T28" s="17">
        <v>22</v>
      </c>
    </row>
    <row r="29" spans="1:20" x14ac:dyDescent="0.3">
      <c r="A29" t="s">
        <v>223</v>
      </c>
      <c r="B29" t="s">
        <v>224</v>
      </c>
      <c r="C29">
        <v>19</v>
      </c>
      <c r="D29" s="1">
        <v>45861</v>
      </c>
      <c r="E29">
        <v>507100</v>
      </c>
      <c r="F29" t="s">
        <v>278</v>
      </c>
      <c r="G29">
        <v>52</v>
      </c>
      <c r="K29" s="9">
        <v>2600000</v>
      </c>
      <c r="L29">
        <v>0</v>
      </c>
      <c r="M29" s="9">
        <f t="shared" si="0"/>
        <v>0</v>
      </c>
      <c r="N29" s="11">
        <f t="shared" si="1"/>
        <v>0</v>
      </c>
      <c r="P29" s="16">
        <v>630300</v>
      </c>
      <c r="Q29" s="17">
        <v>630300</v>
      </c>
      <c r="R29" s="17">
        <v>630300</v>
      </c>
      <c r="S29" s="17">
        <v>1</v>
      </c>
      <c r="T29" s="17">
        <v>27</v>
      </c>
    </row>
    <row r="30" spans="1:20" x14ac:dyDescent="0.3">
      <c r="A30" t="s">
        <v>223</v>
      </c>
      <c r="B30" t="s">
        <v>226</v>
      </c>
      <c r="C30">
        <v>19</v>
      </c>
      <c r="D30" s="1">
        <v>45859</v>
      </c>
      <c r="E30">
        <v>831600</v>
      </c>
      <c r="F30" t="s">
        <v>284</v>
      </c>
      <c r="G30">
        <v>44</v>
      </c>
      <c r="L30">
        <v>0</v>
      </c>
      <c r="P30" s="16">
        <v>647900</v>
      </c>
      <c r="Q30" s="17">
        <v>647900</v>
      </c>
      <c r="R30" s="17">
        <v>647900</v>
      </c>
      <c r="S30" s="17">
        <v>1</v>
      </c>
      <c r="T30" s="17">
        <v>17</v>
      </c>
    </row>
    <row r="31" spans="1:20" x14ac:dyDescent="0.3">
      <c r="A31" t="s">
        <v>223</v>
      </c>
      <c r="B31" t="s">
        <v>224</v>
      </c>
      <c r="C31">
        <v>19</v>
      </c>
      <c r="D31" s="1">
        <v>45857</v>
      </c>
      <c r="E31">
        <v>569800</v>
      </c>
      <c r="F31" t="s">
        <v>291</v>
      </c>
      <c r="G31">
        <v>38</v>
      </c>
      <c r="P31" s="16">
        <v>650100</v>
      </c>
      <c r="Q31" s="17">
        <v>650100</v>
      </c>
      <c r="R31" s="17">
        <v>650100</v>
      </c>
      <c r="S31" s="17">
        <v>1</v>
      </c>
      <c r="T31" s="17">
        <v>21</v>
      </c>
    </row>
    <row r="32" spans="1:20" x14ac:dyDescent="0.3">
      <c r="A32" t="s">
        <v>223</v>
      </c>
      <c r="B32" t="s">
        <v>224</v>
      </c>
      <c r="C32">
        <v>20</v>
      </c>
      <c r="D32" s="1">
        <v>45856</v>
      </c>
      <c r="E32">
        <v>667700</v>
      </c>
      <c r="F32" t="s">
        <v>286</v>
      </c>
      <c r="G32">
        <v>43</v>
      </c>
      <c r="P32" s="16">
        <v>657800</v>
      </c>
      <c r="Q32" s="17">
        <v>657800</v>
      </c>
      <c r="R32" s="17">
        <v>657800</v>
      </c>
      <c r="S32" s="17">
        <v>1</v>
      </c>
      <c r="T32" s="17">
        <v>18</v>
      </c>
    </row>
    <row r="33" spans="1:20" x14ac:dyDescent="0.3">
      <c r="A33" t="s">
        <v>223</v>
      </c>
      <c r="B33" t="s">
        <v>236</v>
      </c>
      <c r="C33">
        <v>20</v>
      </c>
      <c r="D33" s="1">
        <v>45857</v>
      </c>
      <c r="E33">
        <v>563200</v>
      </c>
      <c r="F33" t="s">
        <v>288</v>
      </c>
      <c r="G33">
        <v>41</v>
      </c>
      <c r="P33" s="16">
        <v>667700</v>
      </c>
      <c r="Q33" s="17">
        <v>1335400</v>
      </c>
      <c r="R33" s="17">
        <v>667700</v>
      </c>
      <c r="S33" s="17">
        <v>2</v>
      </c>
      <c r="T33" s="17">
        <v>24.5</v>
      </c>
    </row>
    <row r="34" spans="1:20" x14ac:dyDescent="0.3">
      <c r="A34" t="s">
        <v>223</v>
      </c>
      <c r="B34" t="s">
        <v>228</v>
      </c>
      <c r="C34">
        <v>21</v>
      </c>
      <c r="D34" s="1">
        <v>45866</v>
      </c>
      <c r="E34">
        <v>707300</v>
      </c>
      <c r="F34" t="s">
        <v>250</v>
      </c>
      <c r="G34">
        <v>81</v>
      </c>
      <c r="P34" s="16">
        <v>707300</v>
      </c>
      <c r="Q34" s="17">
        <v>707300</v>
      </c>
      <c r="R34" s="17">
        <v>707300</v>
      </c>
      <c r="S34" s="17">
        <v>1</v>
      </c>
      <c r="T34" s="17">
        <v>21</v>
      </c>
    </row>
    <row r="35" spans="1:20" x14ac:dyDescent="0.3">
      <c r="A35" t="s">
        <v>223</v>
      </c>
      <c r="B35" t="s">
        <v>225</v>
      </c>
      <c r="C35">
        <v>21</v>
      </c>
      <c r="D35" s="1">
        <v>45862</v>
      </c>
      <c r="E35">
        <v>650100</v>
      </c>
      <c r="F35" t="s">
        <v>262</v>
      </c>
      <c r="G35">
        <v>73</v>
      </c>
      <c r="P35" s="16">
        <v>770000</v>
      </c>
      <c r="Q35" s="17">
        <v>770000</v>
      </c>
      <c r="R35" s="17">
        <v>770000</v>
      </c>
      <c r="S35" s="17">
        <v>1</v>
      </c>
      <c r="T35" s="17">
        <v>17</v>
      </c>
    </row>
    <row r="36" spans="1:20" x14ac:dyDescent="0.3">
      <c r="A36" t="s">
        <v>223</v>
      </c>
      <c r="B36" t="s">
        <v>228</v>
      </c>
      <c r="C36">
        <v>21</v>
      </c>
      <c r="D36" s="1">
        <v>45858</v>
      </c>
      <c r="E36">
        <v>811800</v>
      </c>
      <c r="F36" t="s">
        <v>281</v>
      </c>
      <c r="G36">
        <v>48</v>
      </c>
      <c r="P36" s="16">
        <v>801900</v>
      </c>
      <c r="Q36" s="17">
        <v>1603800</v>
      </c>
      <c r="R36" s="17">
        <v>801900</v>
      </c>
      <c r="S36" s="17">
        <v>2</v>
      </c>
      <c r="T36" s="17">
        <v>17</v>
      </c>
    </row>
    <row r="37" spans="1:20" x14ac:dyDescent="0.3">
      <c r="A37" t="s">
        <v>223</v>
      </c>
      <c r="B37" t="s">
        <v>229</v>
      </c>
      <c r="C37">
        <v>21</v>
      </c>
      <c r="D37" s="1">
        <v>45854</v>
      </c>
      <c r="E37">
        <v>400400</v>
      </c>
      <c r="F37" t="s">
        <v>293</v>
      </c>
      <c r="G37">
        <v>38</v>
      </c>
      <c r="P37" s="16">
        <v>811800</v>
      </c>
      <c r="Q37" s="17">
        <v>811800</v>
      </c>
      <c r="R37" s="17">
        <v>811800</v>
      </c>
      <c r="S37" s="17">
        <v>1</v>
      </c>
      <c r="T37" s="17">
        <v>21</v>
      </c>
    </row>
    <row r="38" spans="1:20" x14ac:dyDescent="0.3">
      <c r="A38" t="s">
        <v>223</v>
      </c>
      <c r="B38" t="s">
        <v>226</v>
      </c>
      <c r="C38">
        <v>22</v>
      </c>
      <c r="D38" s="1">
        <v>45860</v>
      </c>
      <c r="E38">
        <v>601700</v>
      </c>
      <c r="F38" t="s">
        <v>245</v>
      </c>
      <c r="G38">
        <v>84</v>
      </c>
      <c r="P38" s="16">
        <v>823900</v>
      </c>
      <c r="Q38" s="17">
        <v>823900</v>
      </c>
      <c r="R38" s="17">
        <v>823900</v>
      </c>
      <c r="S38" s="17">
        <v>1</v>
      </c>
      <c r="T38" s="17">
        <v>15</v>
      </c>
    </row>
    <row r="39" spans="1:20" x14ac:dyDescent="0.3">
      <c r="A39" t="s">
        <v>223</v>
      </c>
      <c r="B39" t="s">
        <v>233</v>
      </c>
      <c r="C39">
        <v>22</v>
      </c>
      <c r="D39" s="1">
        <v>45861</v>
      </c>
      <c r="E39">
        <v>590700</v>
      </c>
      <c r="F39" t="s">
        <v>269</v>
      </c>
      <c r="G39">
        <v>61</v>
      </c>
      <c r="P39" s="16">
        <v>825000</v>
      </c>
      <c r="Q39" s="17">
        <v>825000</v>
      </c>
      <c r="R39" s="17">
        <v>825000</v>
      </c>
      <c r="S39" s="17">
        <v>1</v>
      </c>
      <c r="T39" s="17">
        <v>16</v>
      </c>
    </row>
    <row r="40" spans="1:20" x14ac:dyDescent="0.3">
      <c r="A40" t="s">
        <v>223</v>
      </c>
      <c r="B40" t="s">
        <v>224</v>
      </c>
      <c r="C40">
        <v>22</v>
      </c>
      <c r="D40" s="1">
        <v>45856</v>
      </c>
      <c r="E40">
        <v>942700</v>
      </c>
      <c r="F40" t="s">
        <v>285</v>
      </c>
      <c r="G40">
        <v>44</v>
      </c>
      <c r="P40" s="16">
        <v>831600</v>
      </c>
      <c r="Q40" s="17">
        <v>831600</v>
      </c>
      <c r="R40" s="17">
        <v>831600</v>
      </c>
      <c r="S40" s="17">
        <v>1</v>
      </c>
      <c r="T40" s="17">
        <v>19</v>
      </c>
    </row>
    <row r="41" spans="1:20" x14ac:dyDescent="0.3">
      <c r="A41" t="s">
        <v>223</v>
      </c>
      <c r="B41" t="s">
        <v>224</v>
      </c>
      <c r="C41">
        <v>22</v>
      </c>
      <c r="D41" s="1">
        <v>45855</v>
      </c>
      <c r="E41">
        <v>1172600</v>
      </c>
      <c r="F41" t="s">
        <v>289</v>
      </c>
      <c r="G41">
        <v>38</v>
      </c>
      <c r="P41" s="16">
        <v>865700</v>
      </c>
      <c r="Q41" s="17">
        <v>865700</v>
      </c>
      <c r="R41" s="17">
        <v>865700</v>
      </c>
      <c r="S41" s="17">
        <v>1</v>
      </c>
      <c r="T41" s="17">
        <v>17</v>
      </c>
    </row>
    <row r="42" spans="1:20" x14ac:dyDescent="0.3">
      <c r="A42" t="s">
        <v>223</v>
      </c>
      <c r="B42" t="s">
        <v>231</v>
      </c>
      <c r="C42">
        <v>22</v>
      </c>
      <c r="D42" s="1">
        <v>45855</v>
      </c>
      <c r="E42">
        <v>575300</v>
      </c>
      <c r="F42" t="s">
        <v>290</v>
      </c>
      <c r="G42">
        <v>39</v>
      </c>
      <c r="P42" s="16">
        <v>876700</v>
      </c>
      <c r="Q42" s="17">
        <v>876700</v>
      </c>
      <c r="R42" s="17">
        <v>876700</v>
      </c>
      <c r="S42" s="17">
        <v>1</v>
      </c>
      <c r="T42" s="17">
        <v>18</v>
      </c>
    </row>
    <row r="43" spans="1:20" x14ac:dyDescent="0.3">
      <c r="A43" t="s">
        <v>223</v>
      </c>
      <c r="B43" t="s">
        <v>224</v>
      </c>
      <c r="C43">
        <v>23</v>
      </c>
      <c r="D43" s="1">
        <v>45865</v>
      </c>
      <c r="E43">
        <v>544500</v>
      </c>
      <c r="F43" t="s">
        <v>246</v>
      </c>
      <c r="G43">
        <v>83</v>
      </c>
      <c r="P43" s="16">
        <v>893200</v>
      </c>
      <c r="Q43" s="17">
        <v>893200</v>
      </c>
      <c r="R43" s="17">
        <v>893200</v>
      </c>
      <c r="S43" s="17">
        <v>1</v>
      </c>
      <c r="T43" s="17">
        <v>16</v>
      </c>
    </row>
    <row r="44" spans="1:20" x14ac:dyDescent="0.3">
      <c r="A44" t="s">
        <v>223</v>
      </c>
      <c r="B44" t="s">
        <v>228</v>
      </c>
      <c r="C44">
        <v>23</v>
      </c>
      <c r="D44" s="1">
        <v>45857</v>
      </c>
      <c r="E44">
        <v>1147300</v>
      </c>
      <c r="F44" t="s">
        <v>273</v>
      </c>
      <c r="G44">
        <v>55</v>
      </c>
      <c r="P44" s="16">
        <v>905300</v>
      </c>
      <c r="Q44" s="17">
        <v>905300</v>
      </c>
      <c r="R44" s="17">
        <v>905300</v>
      </c>
      <c r="S44" s="17">
        <v>1</v>
      </c>
      <c r="T44" s="17">
        <v>18</v>
      </c>
    </row>
    <row r="45" spans="1:20" x14ac:dyDescent="0.3">
      <c r="A45" t="s">
        <v>223</v>
      </c>
      <c r="B45" t="s">
        <v>226</v>
      </c>
      <c r="C45">
        <v>24</v>
      </c>
      <c r="D45" s="1">
        <v>45859</v>
      </c>
      <c r="E45">
        <v>482900</v>
      </c>
      <c r="F45" t="s">
        <v>263</v>
      </c>
      <c r="G45">
        <v>66</v>
      </c>
      <c r="P45" s="16">
        <v>906400</v>
      </c>
      <c r="Q45" s="17">
        <v>906400</v>
      </c>
      <c r="R45" s="17">
        <v>906400</v>
      </c>
      <c r="S45" s="17">
        <v>1</v>
      </c>
      <c r="T45" s="17">
        <v>11</v>
      </c>
    </row>
    <row r="46" spans="1:20" x14ac:dyDescent="0.3">
      <c r="A46" t="s">
        <v>223</v>
      </c>
      <c r="B46" t="s">
        <v>232</v>
      </c>
      <c r="C46">
        <v>24</v>
      </c>
      <c r="D46" s="1">
        <v>45860</v>
      </c>
      <c r="E46">
        <v>568700</v>
      </c>
      <c r="F46" t="s">
        <v>265</v>
      </c>
      <c r="G46">
        <v>63</v>
      </c>
      <c r="P46" s="16">
        <v>929500</v>
      </c>
      <c r="Q46" s="17">
        <v>929500</v>
      </c>
      <c r="R46" s="17">
        <v>929500</v>
      </c>
      <c r="S46" s="17">
        <v>1</v>
      </c>
      <c r="T46" s="17">
        <v>17</v>
      </c>
    </row>
    <row r="47" spans="1:20" x14ac:dyDescent="0.3">
      <c r="A47" t="s">
        <v>223</v>
      </c>
      <c r="B47" t="s">
        <v>226</v>
      </c>
      <c r="C47">
        <v>24</v>
      </c>
      <c r="D47" s="1">
        <v>45856</v>
      </c>
      <c r="E47">
        <v>452100</v>
      </c>
      <c r="F47" t="s">
        <v>276</v>
      </c>
      <c r="G47">
        <v>52</v>
      </c>
      <c r="P47" s="16">
        <v>937200</v>
      </c>
      <c r="Q47" s="17">
        <v>937200</v>
      </c>
      <c r="R47" s="17">
        <v>937200</v>
      </c>
      <c r="S47" s="17">
        <v>1</v>
      </c>
      <c r="T47" s="17">
        <v>27</v>
      </c>
    </row>
    <row r="48" spans="1:20" x14ac:dyDescent="0.3">
      <c r="A48" t="s">
        <v>223</v>
      </c>
      <c r="B48" t="s">
        <v>228</v>
      </c>
      <c r="C48">
        <v>24</v>
      </c>
      <c r="D48" s="1">
        <v>45855</v>
      </c>
      <c r="E48">
        <v>476300</v>
      </c>
      <c r="F48" t="s">
        <v>280</v>
      </c>
      <c r="G48">
        <v>48</v>
      </c>
      <c r="P48" s="16">
        <v>942700</v>
      </c>
      <c r="Q48" s="17">
        <v>942700</v>
      </c>
      <c r="R48" s="17">
        <v>942700</v>
      </c>
      <c r="S48" s="17">
        <v>1</v>
      </c>
      <c r="T48" s="17">
        <v>22</v>
      </c>
    </row>
    <row r="49" spans="1:20" x14ac:dyDescent="0.3">
      <c r="A49" t="s">
        <v>223</v>
      </c>
      <c r="B49" t="s">
        <v>231</v>
      </c>
      <c r="C49">
        <v>25</v>
      </c>
      <c r="D49" s="1">
        <v>45858</v>
      </c>
      <c r="E49">
        <v>468600</v>
      </c>
      <c r="F49" t="s">
        <v>268</v>
      </c>
      <c r="G49">
        <v>60</v>
      </c>
      <c r="P49" s="16">
        <v>959200</v>
      </c>
      <c r="Q49" s="17">
        <v>959200</v>
      </c>
      <c r="R49" s="17">
        <v>959200</v>
      </c>
      <c r="S49" s="17">
        <v>1</v>
      </c>
      <c r="T49" s="17">
        <v>17</v>
      </c>
    </row>
    <row r="50" spans="1:20" x14ac:dyDescent="0.3">
      <c r="A50" t="s">
        <v>223</v>
      </c>
      <c r="B50" t="s">
        <v>226</v>
      </c>
      <c r="C50">
        <v>25</v>
      </c>
      <c r="D50" s="1">
        <v>45856</v>
      </c>
      <c r="E50">
        <v>427900</v>
      </c>
      <c r="F50" t="s">
        <v>275</v>
      </c>
      <c r="G50">
        <v>55</v>
      </c>
      <c r="P50" s="16">
        <v>975700</v>
      </c>
      <c r="Q50" s="17">
        <v>975700</v>
      </c>
      <c r="R50" s="17">
        <v>975700</v>
      </c>
      <c r="S50" s="17">
        <v>1</v>
      </c>
      <c r="T50" s="17">
        <v>26</v>
      </c>
    </row>
    <row r="51" spans="1:20" x14ac:dyDescent="0.3">
      <c r="A51" t="s">
        <v>223</v>
      </c>
      <c r="B51" t="s">
        <v>230</v>
      </c>
      <c r="C51">
        <v>26</v>
      </c>
      <c r="D51" s="1">
        <v>45859</v>
      </c>
      <c r="E51">
        <v>476300</v>
      </c>
      <c r="F51" t="s">
        <v>256</v>
      </c>
      <c r="G51">
        <v>72</v>
      </c>
      <c r="P51" s="16">
        <v>1007600</v>
      </c>
      <c r="Q51" s="17">
        <v>1007600</v>
      </c>
      <c r="R51" s="17">
        <v>1007600</v>
      </c>
      <c r="S51" s="17">
        <v>1</v>
      </c>
      <c r="T51" s="17">
        <v>15</v>
      </c>
    </row>
    <row r="52" spans="1:20" x14ac:dyDescent="0.3">
      <c r="A52" t="s">
        <v>223</v>
      </c>
      <c r="B52" t="s">
        <v>234</v>
      </c>
      <c r="C52">
        <v>26</v>
      </c>
      <c r="D52" s="1">
        <v>45855</v>
      </c>
      <c r="E52">
        <v>975700</v>
      </c>
      <c r="F52" t="s">
        <v>274</v>
      </c>
      <c r="G52">
        <v>56</v>
      </c>
      <c r="P52" s="16">
        <v>1054900</v>
      </c>
      <c r="Q52" s="17">
        <v>2109800</v>
      </c>
      <c r="R52" s="17">
        <v>1054900</v>
      </c>
      <c r="S52" s="17">
        <v>2</v>
      </c>
      <c r="T52" s="17">
        <v>17.5</v>
      </c>
    </row>
    <row r="53" spans="1:20" x14ac:dyDescent="0.3">
      <c r="A53" t="s">
        <v>223</v>
      </c>
      <c r="B53" t="s">
        <v>224</v>
      </c>
      <c r="C53">
        <v>27</v>
      </c>
      <c r="D53" s="1">
        <v>45860</v>
      </c>
      <c r="E53">
        <v>937200</v>
      </c>
      <c r="F53" t="s">
        <v>243</v>
      </c>
      <c r="G53">
        <v>91</v>
      </c>
      <c r="P53" s="16">
        <v>1063700</v>
      </c>
      <c r="Q53" s="17">
        <v>1063700</v>
      </c>
      <c r="R53" s="17">
        <v>1063700</v>
      </c>
      <c r="S53" s="17">
        <v>1</v>
      </c>
      <c r="T53" s="17">
        <v>11</v>
      </c>
    </row>
    <row r="54" spans="1:20" x14ac:dyDescent="0.3">
      <c r="A54" t="s">
        <v>223</v>
      </c>
      <c r="B54" t="s">
        <v>224</v>
      </c>
      <c r="C54">
        <v>27</v>
      </c>
      <c r="D54" s="1">
        <v>45859</v>
      </c>
      <c r="E54">
        <v>403700</v>
      </c>
      <c r="F54" t="s">
        <v>247</v>
      </c>
      <c r="G54">
        <v>79</v>
      </c>
      <c r="P54" s="16">
        <v>1070300</v>
      </c>
      <c r="Q54" s="17">
        <v>1070300</v>
      </c>
      <c r="R54" s="17">
        <v>1070300</v>
      </c>
      <c r="S54" s="17">
        <v>1</v>
      </c>
      <c r="T54" s="17">
        <v>9</v>
      </c>
    </row>
    <row r="55" spans="1:20" x14ac:dyDescent="0.3">
      <c r="A55" t="s">
        <v>223</v>
      </c>
      <c r="B55" t="s">
        <v>229</v>
      </c>
      <c r="C55">
        <v>27</v>
      </c>
      <c r="D55" s="1">
        <v>45857</v>
      </c>
      <c r="E55">
        <v>630300</v>
      </c>
      <c r="F55" t="s">
        <v>255</v>
      </c>
      <c r="G55">
        <v>72</v>
      </c>
      <c r="P55" s="16">
        <v>1123100</v>
      </c>
      <c r="Q55" s="17">
        <v>1123100</v>
      </c>
      <c r="R55" s="17">
        <v>1123100</v>
      </c>
      <c r="S55" s="17">
        <v>1</v>
      </c>
      <c r="T55" s="17">
        <v>8</v>
      </c>
    </row>
    <row r="56" spans="1:20" x14ac:dyDescent="0.3">
      <c r="A56" t="s">
        <v>223</v>
      </c>
      <c r="B56" t="s">
        <v>231</v>
      </c>
      <c r="C56">
        <v>27</v>
      </c>
      <c r="D56" s="1">
        <v>45855</v>
      </c>
      <c r="E56">
        <v>365200</v>
      </c>
      <c r="F56" t="s">
        <v>266</v>
      </c>
      <c r="G56">
        <v>63</v>
      </c>
      <c r="P56" s="16">
        <v>1140700</v>
      </c>
      <c r="Q56" s="17">
        <v>1140700</v>
      </c>
      <c r="R56" s="17">
        <v>1140700</v>
      </c>
      <c r="S56" s="17">
        <v>1</v>
      </c>
      <c r="T56" s="17">
        <v>15</v>
      </c>
    </row>
    <row r="57" spans="1:20" x14ac:dyDescent="0.3">
      <c r="A57" t="s">
        <v>223</v>
      </c>
      <c r="B57" t="s">
        <v>226</v>
      </c>
      <c r="C57">
        <v>29</v>
      </c>
      <c r="D57" s="1">
        <v>45858</v>
      </c>
      <c r="E57">
        <v>667700</v>
      </c>
      <c r="F57" t="s">
        <v>248</v>
      </c>
      <c r="G57">
        <v>82</v>
      </c>
      <c r="P57" s="16">
        <v>1147300</v>
      </c>
      <c r="Q57" s="17">
        <v>1147300</v>
      </c>
      <c r="R57" s="17">
        <v>1147300</v>
      </c>
      <c r="S57" s="17">
        <v>1</v>
      </c>
      <c r="T57" s="17">
        <v>23</v>
      </c>
    </row>
    <row r="58" spans="1:20" x14ac:dyDescent="0.3">
      <c r="A58" t="s">
        <v>223</v>
      </c>
      <c r="B58" t="s">
        <v>224</v>
      </c>
      <c r="C58">
        <v>29</v>
      </c>
      <c r="D58" s="1">
        <v>45856</v>
      </c>
      <c r="E58">
        <v>495000</v>
      </c>
      <c r="F58" t="s">
        <v>257</v>
      </c>
      <c r="G58">
        <v>71</v>
      </c>
      <c r="P58" s="16">
        <v>1172600</v>
      </c>
      <c r="Q58" s="17">
        <v>1172600</v>
      </c>
      <c r="R58" s="17">
        <v>1172600</v>
      </c>
      <c r="S58" s="17">
        <v>1</v>
      </c>
      <c r="T58" s="17">
        <v>22</v>
      </c>
    </row>
    <row r="59" spans="1:20" x14ac:dyDescent="0.3">
      <c r="A59" t="s">
        <v>223</v>
      </c>
      <c r="B59" t="s">
        <v>229</v>
      </c>
      <c r="C59">
        <v>29</v>
      </c>
      <c r="D59" s="1">
        <v>45855</v>
      </c>
      <c r="E59">
        <v>231000</v>
      </c>
      <c r="F59" t="s">
        <v>261</v>
      </c>
      <c r="G59">
        <v>67</v>
      </c>
      <c r="P59" s="16">
        <v>1257300</v>
      </c>
      <c r="Q59" s="17">
        <v>1257300</v>
      </c>
      <c r="R59" s="17">
        <v>1257300</v>
      </c>
      <c r="S59" s="17">
        <v>1</v>
      </c>
      <c r="T59" s="17">
        <v>14</v>
      </c>
    </row>
    <row r="60" spans="1:20" x14ac:dyDescent="0.3">
      <c r="A60" t="s">
        <v>223</v>
      </c>
      <c r="B60" t="s">
        <v>227</v>
      </c>
      <c r="C60">
        <v>30</v>
      </c>
      <c r="D60" s="1">
        <v>45856</v>
      </c>
      <c r="E60">
        <v>368500</v>
      </c>
      <c r="F60" t="s">
        <v>249</v>
      </c>
      <c r="G60">
        <v>81</v>
      </c>
      <c r="P60" s="16">
        <v>1351900</v>
      </c>
      <c r="Q60" s="17">
        <v>1351900</v>
      </c>
      <c r="R60" s="17">
        <v>1351900</v>
      </c>
      <c r="S60" s="17">
        <v>1</v>
      </c>
      <c r="T60" s="17">
        <v>7</v>
      </c>
    </row>
    <row r="61" spans="1:20" x14ac:dyDescent="0.3">
      <c r="A61" t="s">
        <v>223</v>
      </c>
      <c r="B61" t="s">
        <v>229</v>
      </c>
      <c r="C61">
        <v>30</v>
      </c>
      <c r="D61" s="1">
        <v>45857</v>
      </c>
      <c r="E61">
        <v>198000</v>
      </c>
      <c r="F61" t="s">
        <v>251</v>
      </c>
      <c r="G61">
        <v>76</v>
      </c>
      <c r="P61" s="16">
        <v>1507000</v>
      </c>
      <c r="Q61" s="17">
        <v>1507000</v>
      </c>
      <c r="R61" s="17">
        <v>1507000</v>
      </c>
      <c r="S61" s="17">
        <v>1</v>
      </c>
      <c r="T61" s="17">
        <v>31</v>
      </c>
    </row>
    <row r="62" spans="1:20" x14ac:dyDescent="0.3">
      <c r="A62" t="s">
        <v>223</v>
      </c>
      <c r="B62" t="s">
        <v>229</v>
      </c>
      <c r="C62">
        <v>30</v>
      </c>
      <c r="D62" s="1">
        <v>45853</v>
      </c>
      <c r="E62">
        <v>278300</v>
      </c>
      <c r="F62" t="s">
        <v>260</v>
      </c>
      <c r="G62">
        <v>69</v>
      </c>
      <c r="P62" s="16">
        <v>1584000</v>
      </c>
      <c r="Q62" s="17">
        <v>1584000</v>
      </c>
      <c r="R62" s="17">
        <v>1584000</v>
      </c>
      <c r="S62" s="17">
        <v>1</v>
      </c>
      <c r="T62" s="17">
        <v>7</v>
      </c>
    </row>
    <row r="63" spans="1:20" x14ac:dyDescent="0.3">
      <c r="A63" t="s">
        <v>223</v>
      </c>
      <c r="B63" t="s">
        <v>225</v>
      </c>
      <c r="C63">
        <v>31</v>
      </c>
      <c r="D63" s="1">
        <v>45853</v>
      </c>
      <c r="E63">
        <v>1507000</v>
      </c>
      <c r="F63" t="s">
        <v>267</v>
      </c>
      <c r="G63">
        <v>75</v>
      </c>
      <c r="P63" s="16">
        <v>1980000</v>
      </c>
      <c r="Q63" s="17">
        <v>1980000</v>
      </c>
      <c r="R63" s="17">
        <v>1980000</v>
      </c>
      <c r="S63" s="17">
        <v>1</v>
      </c>
      <c r="T63" s="17">
        <v>6</v>
      </c>
    </row>
    <row r="64" spans="1:20" x14ac:dyDescent="0.3">
      <c r="A64" t="s">
        <v>223</v>
      </c>
      <c r="B64" t="s">
        <v>225</v>
      </c>
      <c r="C64">
        <v>32</v>
      </c>
      <c r="D64" s="1">
        <v>45856</v>
      </c>
      <c r="E64">
        <v>280500</v>
      </c>
      <c r="F64" t="s">
        <v>244</v>
      </c>
      <c r="G64">
        <v>82</v>
      </c>
      <c r="P64" s="16" t="s">
        <v>1805</v>
      </c>
      <c r="Q64" s="17">
        <v>47919300</v>
      </c>
      <c r="R64" s="17">
        <v>737220</v>
      </c>
      <c r="S64" s="17">
        <v>65</v>
      </c>
      <c r="T64" s="17">
        <v>23.815384615384616</v>
      </c>
    </row>
    <row r="65" spans="1:7" x14ac:dyDescent="0.3">
      <c r="A65" t="s">
        <v>223</v>
      </c>
      <c r="B65" t="s">
        <v>229</v>
      </c>
      <c r="C65">
        <v>57</v>
      </c>
      <c r="D65" s="1">
        <v>45828</v>
      </c>
      <c r="E65">
        <v>124300</v>
      </c>
      <c r="F65" t="s">
        <v>258</v>
      </c>
      <c r="G65">
        <v>711</v>
      </c>
    </row>
    <row r="66" spans="1:7" x14ac:dyDescent="0.3">
      <c r="A66" t="s">
        <v>223</v>
      </c>
      <c r="B66" t="s">
        <v>224</v>
      </c>
      <c r="C66">
        <v>80</v>
      </c>
      <c r="D66" s="1">
        <v>45623</v>
      </c>
      <c r="E66">
        <v>7700</v>
      </c>
      <c r="F66" t="s">
        <v>254</v>
      </c>
      <c r="G66">
        <v>712</v>
      </c>
    </row>
    <row r="67" spans="1:7" x14ac:dyDescent="0.3">
      <c r="A67" t="s">
        <v>223</v>
      </c>
      <c r="B67" t="s">
        <v>225</v>
      </c>
      <c r="C67">
        <v>151</v>
      </c>
      <c r="D67" s="1">
        <v>45705</v>
      </c>
      <c r="E67">
        <v>0</v>
      </c>
      <c r="F67" t="s">
        <v>277</v>
      </c>
      <c r="G67">
        <v>710</v>
      </c>
    </row>
  </sheetData>
  <sortState xmlns:xlrd2="http://schemas.microsoft.com/office/spreadsheetml/2017/richdata2" ref="A2:G67">
    <sortCondition ref="C2:C67"/>
  </sortState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3B08-4904-4A52-AA4C-2243F4DFCFE2}">
  <dimension ref="E9:L20"/>
  <sheetViews>
    <sheetView tabSelected="1" topLeftCell="A8" workbookViewId="0">
      <selection activeCell="E17" sqref="E17:J20"/>
    </sheetView>
  </sheetViews>
  <sheetFormatPr defaultRowHeight="16.5" x14ac:dyDescent="0.3"/>
  <sheetData>
    <row r="9" spans="6:12" ht="33" x14ac:dyDescent="0.3">
      <c r="F9" s="12" t="s">
        <v>1774</v>
      </c>
      <c r="G9" s="12" t="s">
        <v>1775</v>
      </c>
      <c r="H9" s="12" t="s">
        <v>1776</v>
      </c>
      <c r="I9" s="12" t="s">
        <v>1777</v>
      </c>
      <c r="J9" s="12" t="s">
        <v>1778</v>
      </c>
      <c r="K9" s="12" t="s">
        <v>1779</v>
      </c>
      <c r="L9" s="12" t="s">
        <v>1780</v>
      </c>
    </row>
    <row r="10" spans="6:12" x14ac:dyDescent="0.3">
      <c r="F10" s="14">
        <v>300</v>
      </c>
      <c r="G10" s="13" t="s">
        <v>1781</v>
      </c>
      <c r="H10" s="13" t="s">
        <v>1782</v>
      </c>
      <c r="I10" s="13" t="s">
        <v>1783</v>
      </c>
      <c r="J10" s="13" t="s">
        <v>1784</v>
      </c>
      <c r="K10" s="13" t="s">
        <v>1785</v>
      </c>
      <c r="L10" s="13" t="s">
        <v>1786</v>
      </c>
    </row>
    <row r="11" spans="6:12" ht="33" x14ac:dyDescent="0.3">
      <c r="F11" s="14">
        <v>350</v>
      </c>
      <c r="G11" s="13" t="s">
        <v>1787</v>
      </c>
      <c r="H11" s="13" t="s">
        <v>1788</v>
      </c>
      <c r="I11" s="13" t="s">
        <v>1789</v>
      </c>
      <c r="J11" s="13" t="s">
        <v>1790</v>
      </c>
      <c r="K11" s="13" t="s">
        <v>1791</v>
      </c>
      <c r="L11" s="13" t="s">
        <v>1792</v>
      </c>
    </row>
    <row r="12" spans="6:12" ht="33" x14ac:dyDescent="0.3">
      <c r="F12" s="14">
        <v>400</v>
      </c>
      <c r="G12" s="13" t="s">
        <v>1793</v>
      </c>
      <c r="H12" s="13" t="s">
        <v>1794</v>
      </c>
      <c r="I12" s="13" t="s">
        <v>1795</v>
      </c>
      <c r="J12" s="13" t="s">
        <v>1796</v>
      </c>
      <c r="K12" s="13" t="s">
        <v>1797</v>
      </c>
      <c r="L12" s="13" t="s">
        <v>1798</v>
      </c>
    </row>
    <row r="13" spans="6:12" ht="33" x14ac:dyDescent="0.3">
      <c r="F13" s="14">
        <v>450</v>
      </c>
      <c r="G13" s="13" t="s">
        <v>1799</v>
      </c>
      <c r="H13" s="13" t="s">
        <v>1800</v>
      </c>
      <c r="I13" s="13" t="s">
        <v>1801</v>
      </c>
      <c r="J13" s="13" t="s">
        <v>1802</v>
      </c>
      <c r="K13" s="13" t="s">
        <v>1803</v>
      </c>
      <c r="L13" s="13" t="s">
        <v>1798</v>
      </c>
    </row>
    <row r="17" spans="5:10" x14ac:dyDescent="0.3">
      <c r="E17">
        <v>300</v>
      </c>
      <c r="F17" s="18" t="s">
        <v>1805</v>
      </c>
      <c r="G17" s="19">
        <v>67856800</v>
      </c>
      <c r="H17" s="19">
        <v>50791.017964071856</v>
      </c>
      <c r="I17" s="19">
        <v>1337</v>
      </c>
      <c r="J17" s="19">
        <v>19.562874251497007</v>
      </c>
    </row>
    <row r="18" spans="5:10" x14ac:dyDescent="0.3">
      <c r="E18">
        <v>350</v>
      </c>
      <c r="F18" s="18" t="s">
        <v>1805</v>
      </c>
      <c r="G18" s="19">
        <v>78574100</v>
      </c>
      <c r="H18" s="19">
        <v>109740.36312849162</v>
      </c>
      <c r="I18" s="19">
        <v>717</v>
      </c>
      <c r="J18" s="19">
        <v>22.403631284916202</v>
      </c>
    </row>
    <row r="19" spans="5:10" x14ac:dyDescent="0.3">
      <c r="E19">
        <v>400</v>
      </c>
      <c r="F19" s="18" t="s">
        <v>1805</v>
      </c>
      <c r="G19" s="19">
        <v>68979300</v>
      </c>
      <c r="H19" s="19">
        <v>418056.36363636365</v>
      </c>
      <c r="I19" s="19">
        <v>165</v>
      </c>
      <c r="J19" s="19">
        <v>4109</v>
      </c>
    </row>
    <row r="20" spans="5:10" x14ac:dyDescent="0.3">
      <c r="E20">
        <v>450</v>
      </c>
      <c r="F20" s="18" t="s">
        <v>1805</v>
      </c>
      <c r="G20" s="19">
        <v>47919300</v>
      </c>
      <c r="H20" s="19">
        <v>737220</v>
      </c>
      <c r="I20" s="19">
        <v>65</v>
      </c>
      <c r="J20" s="19">
        <v>23.815384615384616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총매출</vt:lpstr>
      <vt:lpstr>스테이지별 매출</vt:lpstr>
      <vt:lpstr>Sheet2</vt:lpstr>
      <vt:lpstr>Sheet4</vt:lpstr>
      <vt:lpstr>Sheet1</vt:lpstr>
      <vt:lpstr>Sheet3</vt:lpstr>
      <vt:lpstr>Sheet11</vt:lpstr>
      <vt:lpstr>300</vt:lpstr>
      <vt:lpstr>350</vt:lpstr>
      <vt:lpstr>400</vt:lpstr>
      <vt:lpstr>450</vt:lpstr>
      <vt:lpstr>정리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정기 조</dc:creator>
  <cp:lastModifiedBy>정기 조</cp:lastModifiedBy>
  <dcterms:created xsi:type="dcterms:W3CDTF">2025-08-04T01:04:55Z</dcterms:created>
  <dcterms:modified xsi:type="dcterms:W3CDTF">2025-09-01T06:47:06Z</dcterms:modified>
</cp:coreProperties>
</file>