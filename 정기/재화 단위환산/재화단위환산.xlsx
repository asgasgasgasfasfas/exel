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mnbv6\Desktop\투캉 공유 폴더\정기\재화 단위환산\"/>
    </mc:Choice>
  </mc:AlternateContent>
  <xr:revisionPtr revIDLastSave="0" documentId="13_ncr:1_{5B171316-D94A-4CA5-93CC-5CD97414F096}" xr6:coauthVersionLast="47" xr6:coauthVersionMax="47" xr10:uidLastSave="{00000000-0000-0000-0000-000000000000}"/>
  <bookViews>
    <workbookView xWindow="4230" yWindow="105" windowWidth="25290" windowHeight="20880" activeTab="1" xr2:uid="{D5257295-4E87-4413-99C6-2C3BD5B1EB19}"/>
  </bookViews>
  <sheets>
    <sheet name="Sheet1" sheetId="1" r:id="rId1"/>
    <sheet name="Sheet2" sheetId="3" r:id="rId2"/>
    <sheet name="무기확율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" i="3" l="1"/>
  <c r="P15" i="3"/>
  <c r="P16" i="3"/>
  <c r="P17" i="3"/>
  <c r="P18" i="3"/>
  <c r="P19" i="3"/>
  <c r="P20" i="3"/>
  <c r="P21" i="3"/>
  <c r="P13" i="3"/>
  <c r="K14" i="3"/>
  <c r="K15" i="3"/>
  <c r="K16" i="3"/>
  <c r="K17" i="3"/>
  <c r="K18" i="3"/>
  <c r="K19" i="3"/>
  <c r="K20" i="3"/>
  <c r="K21" i="3"/>
  <c r="K13" i="3"/>
  <c r="I27" i="3"/>
  <c r="H24" i="3"/>
  <c r="I24" i="3" s="1"/>
  <c r="J24" i="3" s="1"/>
  <c r="M24" i="3" s="1"/>
  <c r="H23" i="3"/>
  <c r="N21" i="3"/>
  <c r="O21" i="3" s="1"/>
  <c r="H21" i="3"/>
  <c r="I21" i="3" s="1"/>
  <c r="N20" i="3"/>
  <c r="O20" i="3" s="1"/>
  <c r="H20" i="3"/>
  <c r="I20" i="3" s="1"/>
  <c r="N19" i="3"/>
  <c r="O19" i="3" s="1"/>
  <c r="H19" i="3"/>
  <c r="I19" i="3" s="1"/>
  <c r="N18" i="3"/>
  <c r="O18" i="3" s="1"/>
  <c r="H18" i="3"/>
  <c r="I18" i="3" s="1"/>
  <c r="N17" i="3"/>
  <c r="O17" i="3" s="1"/>
  <c r="H17" i="3"/>
  <c r="I17" i="3" s="1"/>
  <c r="N16" i="3"/>
  <c r="O16" i="3" s="1"/>
  <c r="H16" i="3"/>
  <c r="I16" i="3" s="1"/>
  <c r="N15" i="3"/>
  <c r="O15" i="3" s="1"/>
  <c r="H15" i="3"/>
  <c r="I15" i="3" s="1"/>
  <c r="N14" i="3"/>
  <c r="O14" i="3" s="1"/>
  <c r="H14" i="3"/>
  <c r="I14" i="3" s="1"/>
  <c r="N13" i="3"/>
  <c r="O13" i="3" s="1"/>
  <c r="H13" i="3"/>
  <c r="I13" i="3" s="1"/>
  <c r="N12" i="3"/>
  <c r="O12" i="3" s="1"/>
  <c r="H12" i="3"/>
  <c r="I12" i="3" s="1"/>
  <c r="M17" i="2"/>
  <c r="L17" i="2"/>
  <c r="K17" i="2"/>
  <c r="J17" i="2"/>
  <c r="I17" i="2"/>
  <c r="H17" i="2"/>
  <c r="G17" i="2"/>
  <c r="F17" i="2"/>
  <c r="E17" i="2"/>
  <c r="D17" i="2"/>
  <c r="M9" i="2"/>
  <c r="L9" i="2"/>
  <c r="K9" i="2"/>
  <c r="J9" i="2"/>
  <c r="I9" i="2"/>
  <c r="H9" i="2"/>
  <c r="G9" i="2"/>
  <c r="F9" i="2"/>
  <c r="E9" i="2"/>
  <c r="D9" i="2"/>
  <c r="E13" i="1"/>
  <c r="E14" i="1"/>
  <c r="E12" i="1"/>
  <c r="E6" i="1"/>
  <c r="E7" i="1"/>
  <c r="E8" i="1"/>
  <c r="E5" i="1"/>
  <c r="G3" i="1"/>
</calcChain>
</file>

<file path=xl/sharedStrings.xml><?xml version="1.0" encoding="utf-8"?>
<sst xmlns="http://schemas.openxmlformats.org/spreadsheetml/2006/main" count="54" uniqueCount="45">
  <si>
    <t>다이아</t>
    <phoneticPr fontId="2" type="noConversion"/>
  </si>
  <si>
    <t>억</t>
    <phoneticPr fontId="2" type="noConversion"/>
  </si>
  <si>
    <t>천만</t>
    <phoneticPr fontId="2" type="noConversion"/>
  </si>
  <si>
    <t>백만</t>
    <phoneticPr fontId="2" type="noConversion"/>
  </si>
  <si>
    <t>십만</t>
    <phoneticPr fontId="2" type="noConversion"/>
  </si>
  <si>
    <t>1원당 다이아</t>
    <phoneticPr fontId="2" type="noConversion"/>
  </si>
  <si>
    <t>1다이아당 원</t>
    <phoneticPr fontId="2" type="noConversion"/>
  </si>
  <si>
    <t>원</t>
    <phoneticPr fontId="2" type="noConversion"/>
  </si>
  <si>
    <t>천만원</t>
    <phoneticPr fontId="2" type="noConversion"/>
  </si>
  <si>
    <t>백만원</t>
    <phoneticPr fontId="2" type="noConversion"/>
  </si>
  <si>
    <t>십만원</t>
    <phoneticPr fontId="2" type="noConversion"/>
  </si>
  <si>
    <t>Id(40/30/20/10)</t>
  </si>
  <si>
    <t>노말</t>
  </si>
  <si>
    <t>고급</t>
  </si>
  <si>
    <t>희귀</t>
  </si>
  <si>
    <t>영웅</t>
  </si>
  <si>
    <t>전설</t>
  </si>
  <si>
    <t>신화</t>
  </si>
  <si>
    <t>일반</t>
    <phoneticPr fontId="2" type="noConversion"/>
  </si>
  <si>
    <t>고급</t>
    <phoneticPr fontId="2" type="noConversion"/>
  </si>
  <si>
    <t>레어</t>
    <phoneticPr fontId="2" type="noConversion"/>
  </si>
  <si>
    <t>영웅</t>
    <phoneticPr fontId="2" type="noConversion"/>
  </si>
  <si>
    <t>전설</t>
    <phoneticPr fontId="2" type="noConversion"/>
  </si>
  <si>
    <t>신화</t>
    <phoneticPr fontId="2" type="noConversion"/>
  </si>
  <si>
    <t>4등급 40% 3둥급 30% 2둥급 20% 1등급 10 %</t>
    <phoneticPr fontId="2" type="noConversion"/>
  </si>
  <si>
    <t>무기</t>
    <phoneticPr fontId="2" type="noConversion"/>
  </si>
  <si>
    <t>우리</t>
    <phoneticPr fontId="2" type="noConversion"/>
  </si>
  <si>
    <t>슬키</t>
    <phoneticPr fontId="2" type="noConversion"/>
  </si>
  <si>
    <t>필요 소환 누적 횟수</t>
    <phoneticPr fontId="2" type="noConversion"/>
  </si>
  <si>
    <t>필요 다이아</t>
    <phoneticPr fontId="2" type="noConversion"/>
  </si>
  <si>
    <t>레어 2등급 4개</t>
  </si>
  <si>
    <t>영웅 2등급 4개</t>
  </si>
  <si>
    <t>전설 2등급 4개</t>
  </si>
  <si>
    <t>신화 4등급 2개</t>
  </si>
  <si>
    <t>신화 1등급 1개</t>
  </si>
  <si>
    <t>1개</t>
    <phoneticPr fontId="2" type="noConversion"/>
  </si>
  <si>
    <t>신화 1등급 2개</t>
  </si>
  <si>
    <t>2개</t>
    <phoneticPr fontId="2" type="noConversion"/>
  </si>
  <si>
    <t>신화1</t>
    <phoneticPr fontId="2" type="noConversion"/>
  </si>
  <si>
    <t>신화 1등급 3개</t>
  </si>
  <si>
    <t>3개</t>
    <phoneticPr fontId="2" type="noConversion"/>
  </si>
  <si>
    <t>신화1 2개</t>
    <phoneticPr fontId="2" type="noConversion"/>
  </si>
  <si>
    <t>신화1 3개</t>
    <phoneticPr fontId="2" type="noConversion"/>
  </si>
  <si>
    <t>-</t>
  </si>
  <si>
    <t>필요 누적 현금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</si>
</sst>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8" formatCode="_-* #,##0_-;\-* #,##0_-;_-* &quot;-&quot;??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E0E0E0"/>
      <name val="Noto Sans K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2D2F3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383B40"/>
      </left>
      <right style="medium">
        <color rgb="FF383B40"/>
      </right>
      <top style="medium">
        <color rgb="FF383B40"/>
      </top>
      <bottom style="medium">
        <color rgb="FF383B4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1" fontId="0" fillId="0" borderId="0" xfId="1" applyFont="1">
      <alignment vertical="center"/>
    </xf>
    <xf numFmtId="41" fontId="0" fillId="0" borderId="0" xfId="0" applyNumberForma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3" fontId="3" fillId="2" borderId="1" xfId="0" applyNumberFormat="1" applyFont="1" applyFill="1" applyBorder="1" applyAlignment="1">
      <alignment horizontal="center" vertical="center" wrapText="1"/>
    </xf>
    <xf numFmtId="41" fontId="0" fillId="3" borderId="0" xfId="1" applyFont="1" applyFill="1">
      <alignment vertical="center"/>
    </xf>
    <xf numFmtId="3" fontId="0" fillId="0" borderId="0" xfId="0" applyNumberFormat="1">
      <alignment vertical="center"/>
    </xf>
    <xf numFmtId="0" fontId="0" fillId="2" borderId="0" xfId="0" applyFill="1">
      <alignment vertical="center"/>
    </xf>
    <xf numFmtId="1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47C15-CA05-450C-8830-C934898905EA}">
  <dimension ref="C2:G14"/>
  <sheetViews>
    <sheetView workbookViewId="0">
      <selection activeCell="C20" sqref="C20"/>
    </sheetView>
  </sheetViews>
  <sheetFormatPr defaultRowHeight="16.5" x14ac:dyDescent="0.3"/>
  <cols>
    <col min="4" max="4" width="10.5" bestFit="1" customWidth="1"/>
    <col min="5" max="5" width="11.875" bestFit="1" customWidth="1"/>
    <col min="6" max="6" width="13" bestFit="1" customWidth="1"/>
  </cols>
  <sheetData>
    <row r="2" spans="3:7" x14ac:dyDescent="0.3">
      <c r="F2" t="s">
        <v>5</v>
      </c>
      <c r="G2" t="s">
        <v>6</v>
      </c>
    </row>
    <row r="3" spans="3:7" x14ac:dyDescent="0.3">
      <c r="F3">
        <v>5.593220338983051</v>
      </c>
      <c r="G3">
        <f>1/F3</f>
        <v>0.17878787878787877</v>
      </c>
    </row>
    <row r="4" spans="3:7" x14ac:dyDescent="0.3">
      <c r="C4" t="s">
        <v>0</v>
      </c>
      <c r="E4" t="s">
        <v>0</v>
      </c>
    </row>
    <row r="5" spans="3:7" x14ac:dyDescent="0.3">
      <c r="C5" t="s">
        <v>1</v>
      </c>
      <c r="D5">
        <v>100000000</v>
      </c>
      <c r="E5" s="1">
        <f>D5*G$3</f>
        <v>17878787.878787879</v>
      </c>
      <c r="F5" s="2"/>
    </row>
    <row r="6" spans="3:7" x14ac:dyDescent="0.3">
      <c r="C6" t="s">
        <v>2</v>
      </c>
      <c r="D6">
        <v>10000000</v>
      </c>
      <c r="E6" s="1">
        <f t="shared" ref="E6:E8" si="0">D6*G$3</f>
        <v>1787878.7878787878</v>
      </c>
    </row>
    <row r="7" spans="3:7" x14ac:dyDescent="0.3">
      <c r="C7" t="s">
        <v>3</v>
      </c>
      <c r="D7">
        <v>1000000</v>
      </c>
      <c r="E7" s="1">
        <f t="shared" si="0"/>
        <v>178787.87878787878</v>
      </c>
    </row>
    <row r="8" spans="3:7" x14ac:dyDescent="0.3">
      <c r="C8" t="s">
        <v>4</v>
      </c>
      <c r="D8">
        <v>100000</v>
      </c>
      <c r="E8" s="1">
        <f t="shared" si="0"/>
        <v>17878.787878787876</v>
      </c>
    </row>
    <row r="11" spans="3:7" x14ac:dyDescent="0.3">
      <c r="C11" t="s">
        <v>7</v>
      </c>
      <c r="E11" t="s">
        <v>7</v>
      </c>
    </row>
    <row r="12" spans="3:7" x14ac:dyDescent="0.3">
      <c r="C12" t="s">
        <v>8</v>
      </c>
      <c r="D12">
        <v>10000000</v>
      </c>
      <c r="E12" s="1">
        <f>D12*F$3</f>
        <v>55932203.389830507</v>
      </c>
    </row>
    <row r="13" spans="3:7" x14ac:dyDescent="0.3">
      <c r="C13" t="s">
        <v>9</v>
      </c>
      <c r="D13">
        <v>1000000</v>
      </c>
      <c r="E13" s="1">
        <f t="shared" ref="E13:E14" si="1">D13*F$3</f>
        <v>5593220.3389830515</v>
      </c>
    </row>
    <row r="14" spans="3:7" x14ac:dyDescent="0.3">
      <c r="C14" t="s">
        <v>10</v>
      </c>
      <c r="D14">
        <v>100000</v>
      </c>
      <c r="E14" s="1">
        <f t="shared" si="1"/>
        <v>559322.03389830515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C8AA8-13C0-4121-A9FF-4139B8FE77A8}">
  <dimension ref="E11:Q27"/>
  <sheetViews>
    <sheetView tabSelected="1" workbookViewId="0">
      <selection activeCell="P24" sqref="P24"/>
    </sheetView>
  </sheetViews>
  <sheetFormatPr defaultRowHeight="16.5" x14ac:dyDescent="0.3"/>
  <cols>
    <col min="5" max="5" width="4" bestFit="1" customWidth="1"/>
    <col min="6" max="6" width="8" bestFit="1" customWidth="1"/>
    <col min="7" max="7" width="13.625" bestFit="1" customWidth="1"/>
    <col min="8" max="8" width="19.25" bestFit="1" customWidth="1"/>
    <col min="9" max="9" width="12.75" bestFit="1" customWidth="1"/>
    <col min="10" max="10" width="14.375" bestFit="1" customWidth="1"/>
    <col min="11" max="11" width="10.875" bestFit="1" customWidth="1"/>
    <col min="12" max="12" width="19.25" bestFit="1" customWidth="1"/>
    <col min="13" max="13" width="11.875" bestFit="1" customWidth="1"/>
    <col min="14" max="15" width="14.375" bestFit="1" customWidth="1"/>
    <col min="16" max="16" width="10.875" bestFit="1" customWidth="1"/>
  </cols>
  <sheetData>
    <row r="11" spans="5:16" ht="17.25" thickBot="1" x14ac:dyDescent="0.35">
      <c r="E11">
        <v>1</v>
      </c>
      <c r="F11">
        <v>0</v>
      </c>
      <c r="H11" t="s">
        <v>28</v>
      </c>
      <c r="I11" t="s">
        <v>29</v>
      </c>
      <c r="J11" t="s">
        <v>44</v>
      </c>
      <c r="M11" t="s">
        <v>28</v>
      </c>
      <c r="N11" t="s">
        <v>29</v>
      </c>
      <c r="O11" t="s">
        <v>44</v>
      </c>
    </row>
    <row r="12" spans="5:16" ht="18.75" thickBot="1" x14ac:dyDescent="0.35">
      <c r="E12" s="3">
        <v>2</v>
      </c>
      <c r="F12" s="3">
        <v>100</v>
      </c>
      <c r="G12" s="4" t="s">
        <v>30</v>
      </c>
      <c r="H12" s="1">
        <f>SUM(F$12:F12)</f>
        <v>100</v>
      </c>
      <c r="I12" s="1">
        <f>H12*50</f>
        <v>5000</v>
      </c>
      <c r="J12" s="11">
        <v>4338.2352941176468</v>
      </c>
      <c r="M12" s="1">
        <v>300</v>
      </c>
      <c r="N12" s="2">
        <f>M12*100</f>
        <v>30000</v>
      </c>
      <c r="O12" s="1">
        <f>N12/5.59</f>
        <v>5366.7262969588555</v>
      </c>
    </row>
    <row r="13" spans="5:16" ht="18.75" thickBot="1" x14ac:dyDescent="0.35">
      <c r="E13" s="3">
        <v>3</v>
      </c>
      <c r="F13" s="3">
        <v>250</v>
      </c>
      <c r="G13" s="4" t="s">
        <v>31</v>
      </c>
      <c r="H13" s="1">
        <f>SUM(F$12:F13)</f>
        <v>350</v>
      </c>
      <c r="I13" s="1">
        <f>H13*50</f>
        <v>17500</v>
      </c>
      <c r="J13" s="11">
        <v>15183.823529411764</v>
      </c>
      <c r="K13" s="11">
        <f>J13-J12</f>
        <v>10845.588235294117</v>
      </c>
      <c r="M13" s="1">
        <v>900</v>
      </c>
      <c r="N13" s="2">
        <f>M13*100</f>
        <v>90000</v>
      </c>
      <c r="O13" s="1">
        <f>N13/5.59</f>
        <v>16100.178890876567</v>
      </c>
      <c r="P13" s="2">
        <f>O13-O12</f>
        <v>10733.452593917711</v>
      </c>
    </row>
    <row r="14" spans="5:16" ht="18.75" thickBot="1" x14ac:dyDescent="0.35">
      <c r="E14" s="3">
        <v>4</v>
      </c>
      <c r="F14" s="6">
        <v>1000</v>
      </c>
      <c r="G14" s="4" t="s">
        <v>32</v>
      </c>
      <c r="H14" s="1">
        <f>SUM(F$12:F14)</f>
        <v>1350</v>
      </c>
      <c r="I14" s="1">
        <f>H14*50</f>
        <v>67500</v>
      </c>
      <c r="J14" s="11">
        <v>58566.176470588231</v>
      </c>
      <c r="K14" s="11">
        <f t="shared" ref="K14:K21" si="0">J14-J13</f>
        <v>43382.352941176468</v>
      </c>
      <c r="M14" s="1">
        <v>2400</v>
      </c>
      <c r="N14" s="2">
        <f>M14*100</f>
        <v>240000</v>
      </c>
      <c r="O14" s="1">
        <f>N14/5.59</f>
        <v>42933.810375670844</v>
      </c>
      <c r="P14" s="2">
        <f t="shared" ref="P14:P21" si="1">O14-O13</f>
        <v>26833.631484794278</v>
      </c>
    </row>
    <row r="15" spans="5:16" ht="18.75" thickBot="1" x14ac:dyDescent="0.35">
      <c r="E15" s="3">
        <v>5</v>
      </c>
      <c r="F15" s="6">
        <v>4000</v>
      </c>
      <c r="G15" s="4" t="s">
        <v>33</v>
      </c>
      <c r="H15" s="1">
        <f>SUM(F$12:F15)</f>
        <v>5350</v>
      </c>
      <c r="I15" s="1">
        <f>H15*50</f>
        <v>267500</v>
      </c>
      <c r="J15" s="11">
        <v>232095.5882352941</v>
      </c>
      <c r="K15" s="11">
        <f t="shared" si="0"/>
        <v>173529.41176470587</v>
      </c>
      <c r="M15" s="1">
        <v>6000</v>
      </c>
      <c r="N15" s="2">
        <f>M15*100</f>
        <v>600000</v>
      </c>
      <c r="O15" s="1">
        <f>N15/5.59</f>
        <v>107334.52593917711</v>
      </c>
      <c r="P15" s="2">
        <f t="shared" si="1"/>
        <v>64400.715563506266</v>
      </c>
    </row>
    <row r="16" spans="5:16" ht="18.75" thickBot="1" x14ac:dyDescent="0.35">
      <c r="E16" s="3">
        <v>6</v>
      </c>
      <c r="F16" s="6">
        <v>12000</v>
      </c>
      <c r="G16" s="4" t="s">
        <v>34</v>
      </c>
      <c r="H16" s="1">
        <f>SUM(F$12:F16)</f>
        <v>17350</v>
      </c>
      <c r="I16" s="7">
        <f>H16*50</f>
        <v>867500</v>
      </c>
      <c r="J16" s="11">
        <v>752683.82352941169</v>
      </c>
      <c r="K16" s="11">
        <f t="shared" si="0"/>
        <v>520588.23529411759</v>
      </c>
      <c r="L16" t="s">
        <v>35</v>
      </c>
      <c r="M16" s="1">
        <v>16000</v>
      </c>
      <c r="N16" s="2">
        <f>M16*100</f>
        <v>1600000</v>
      </c>
      <c r="O16" s="1">
        <f>N16/5.59</f>
        <v>286225.40250447229</v>
      </c>
      <c r="P16" s="2">
        <f t="shared" si="1"/>
        <v>178890.87656529518</v>
      </c>
    </row>
    <row r="17" spans="5:17" ht="18.75" thickBot="1" x14ac:dyDescent="0.35">
      <c r="E17" s="3">
        <v>7</v>
      </c>
      <c r="F17" s="6">
        <v>25000</v>
      </c>
      <c r="G17" s="4" t="s">
        <v>36</v>
      </c>
      <c r="H17" s="1">
        <f>SUM(F$12:F17)</f>
        <v>42350</v>
      </c>
      <c r="I17" s="1">
        <f>H17*50</f>
        <v>2117500</v>
      </c>
      <c r="J17" s="11">
        <v>1837242.6470588234</v>
      </c>
      <c r="K17" s="11">
        <f t="shared" si="0"/>
        <v>1084558.8235294116</v>
      </c>
      <c r="L17" t="s">
        <v>37</v>
      </c>
      <c r="M17" s="1">
        <v>41000</v>
      </c>
      <c r="N17" s="2">
        <f>M17*100</f>
        <v>4100000</v>
      </c>
      <c r="O17" s="7">
        <f>N17/5.59</f>
        <v>733452.59391771024</v>
      </c>
      <c r="P17" s="2">
        <f t="shared" si="1"/>
        <v>447227.19141323795</v>
      </c>
      <c r="Q17" t="s">
        <v>38</v>
      </c>
    </row>
    <row r="18" spans="5:17" ht="18.75" thickBot="1" x14ac:dyDescent="0.35">
      <c r="E18" s="3">
        <v>7.5</v>
      </c>
      <c r="F18" s="8">
        <v>27500</v>
      </c>
      <c r="G18" s="4" t="s">
        <v>39</v>
      </c>
      <c r="H18" s="1">
        <f>SUM(F$12:F18)</f>
        <v>69850</v>
      </c>
      <c r="I18" s="1">
        <f>H18*50</f>
        <v>3492500</v>
      </c>
      <c r="J18" s="11">
        <v>3030257.3529411764</v>
      </c>
      <c r="K18" s="11">
        <f t="shared" si="0"/>
        <v>1193014.705882353</v>
      </c>
      <c r="L18" t="s">
        <v>40</v>
      </c>
      <c r="M18" s="1">
        <v>91000</v>
      </c>
      <c r="N18" s="2">
        <f>M18*100</f>
        <v>9100000</v>
      </c>
      <c r="O18" s="1">
        <f>N18/5.59</f>
        <v>1627906.9767441861</v>
      </c>
      <c r="P18" s="2">
        <f t="shared" si="1"/>
        <v>894454.38282647589</v>
      </c>
      <c r="Q18" t="s">
        <v>41</v>
      </c>
    </row>
    <row r="19" spans="5:17" ht="18.75" thickBot="1" x14ac:dyDescent="0.35">
      <c r="E19" s="3">
        <v>8</v>
      </c>
      <c r="F19" s="6">
        <v>55000</v>
      </c>
      <c r="G19" s="4" t="s">
        <v>39</v>
      </c>
      <c r="H19" s="1">
        <f>SUM(F$12:F19)</f>
        <v>124850</v>
      </c>
      <c r="I19" s="1">
        <f>H19*50</f>
        <v>6242500</v>
      </c>
      <c r="J19" s="11">
        <v>5416286.7647058824</v>
      </c>
      <c r="K19" s="11">
        <f t="shared" si="0"/>
        <v>2386029.411764706</v>
      </c>
      <c r="L19" t="s">
        <v>40</v>
      </c>
      <c r="M19" s="1">
        <v>161000</v>
      </c>
      <c r="N19" s="2">
        <f>M19*100</f>
        <v>16100000</v>
      </c>
      <c r="O19" s="1">
        <f>N19/5.59</f>
        <v>2880143.1127012521</v>
      </c>
      <c r="P19" s="2">
        <f t="shared" si="1"/>
        <v>1252236.135957066</v>
      </c>
      <c r="Q19" t="s">
        <v>42</v>
      </c>
    </row>
    <row r="20" spans="5:17" ht="18.75" thickBot="1" x14ac:dyDescent="0.35">
      <c r="E20" s="3">
        <v>9</v>
      </c>
      <c r="F20" s="6">
        <v>88000</v>
      </c>
      <c r="G20" s="4" t="s">
        <v>43</v>
      </c>
      <c r="H20" s="1">
        <f>SUM(F$12:F20)</f>
        <v>212850</v>
      </c>
      <c r="I20" s="1">
        <f>H20*50</f>
        <v>10642500</v>
      </c>
      <c r="J20" s="11">
        <v>9233933.8235294111</v>
      </c>
      <c r="K20" s="11">
        <f t="shared" si="0"/>
        <v>3817647.0588235287</v>
      </c>
      <c r="M20" s="1">
        <v>261000</v>
      </c>
      <c r="N20" s="2">
        <f>M20*100</f>
        <v>26100000</v>
      </c>
      <c r="O20" s="1">
        <f>N20/5.59</f>
        <v>4669051.8783542039</v>
      </c>
      <c r="P20" s="2">
        <f t="shared" si="1"/>
        <v>1788908.7656529518</v>
      </c>
      <c r="Q20" t="s">
        <v>42</v>
      </c>
    </row>
    <row r="21" spans="5:17" ht="18.75" thickBot="1" x14ac:dyDescent="0.35">
      <c r="E21" s="3">
        <v>10</v>
      </c>
      <c r="F21" s="6">
        <v>100000</v>
      </c>
      <c r="G21" s="9"/>
      <c r="H21" s="1">
        <f>SUM(F$12:F21)</f>
        <v>312850</v>
      </c>
      <c r="I21" s="1">
        <f>H21*50</f>
        <v>15642500</v>
      </c>
      <c r="J21" s="11">
        <v>13572169.117647059</v>
      </c>
      <c r="K21" s="11">
        <f t="shared" si="0"/>
        <v>4338235.2941176482</v>
      </c>
      <c r="M21" s="1">
        <v>361000</v>
      </c>
      <c r="N21" s="2">
        <f>M21*100</f>
        <v>36100000</v>
      </c>
      <c r="O21" s="1">
        <f>N21/5.59</f>
        <v>6457960.6440071557</v>
      </c>
      <c r="P21" s="2">
        <f t="shared" si="1"/>
        <v>1788908.7656529518</v>
      </c>
    </row>
    <row r="23" spans="5:17" x14ac:dyDescent="0.3">
      <c r="H23">
        <f>10000</f>
        <v>10000</v>
      </c>
    </row>
    <row r="24" spans="5:17" x14ac:dyDescent="0.3">
      <c r="H24">
        <f>10000/11</f>
        <v>909.09090909090912</v>
      </c>
      <c r="I24" s="1">
        <f>H24*500</f>
        <v>454545.45454545459</v>
      </c>
      <c r="J24" s="5">
        <f>I24/I27</f>
        <v>394385.02673796791</v>
      </c>
      <c r="M24" s="10">
        <f>J24*5.59</f>
        <v>2204612.2994652404</v>
      </c>
    </row>
    <row r="27" spans="5:17" x14ac:dyDescent="0.3">
      <c r="G27">
        <v>68000</v>
      </c>
      <c r="H27">
        <v>59000</v>
      </c>
      <c r="I27">
        <f>G27/H27</f>
        <v>1.152542372881356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B56A4-508D-4406-A848-9DD8577E9CC8}">
  <dimension ref="A2:M18"/>
  <sheetViews>
    <sheetView workbookViewId="0">
      <selection activeCell="F18" sqref="F18"/>
    </sheetView>
  </sheetViews>
  <sheetFormatPr defaultRowHeight="16.5" x14ac:dyDescent="0.3"/>
  <sheetData>
    <row r="2" spans="1:13" x14ac:dyDescent="0.3">
      <c r="A2" t="s">
        <v>25</v>
      </c>
      <c r="B2" t="s">
        <v>26</v>
      </c>
      <c r="C2" t="s">
        <v>11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</row>
    <row r="3" spans="1:13" x14ac:dyDescent="0.3">
      <c r="C3" t="s">
        <v>12</v>
      </c>
      <c r="D3">
        <v>71.494900000000001</v>
      </c>
      <c r="E3">
        <v>62.919800000000002</v>
      </c>
      <c r="F3">
        <v>53.798000000000002</v>
      </c>
      <c r="G3">
        <v>42.49</v>
      </c>
      <c r="H3">
        <v>30.285</v>
      </c>
      <c r="I3">
        <v>26.954999999999998</v>
      </c>
      <c r="J3">
        <v>18.420000000000002</v>
      </c>
      <c r="K3">
        <v>8.89</v>
      </c>
      <c r="L3">
        <v>2.92</v>
      </c>
      <c r="M3">
        <v>1.9</v>
      </c>
    </row>
    <row r="4" spans="1:13" x14ac:dyDescent="0.3">
      <c r="C4" t="s">
        <v>13</v>
      </c>
      <c r="D4">
        <v>22</v>
      </c>
      <c r="E4">
        <v>26</v>
      </c>
      <c r="F4">
        <v>30</v>
      </c>
      <c r="G4">
        <v>33</v>
      </c>
      <c r="H4">
        <v>35</v>
      </c>
      <c r="I4">
        <v>25</v>
      </c>
      <c r="J4">
        <v>20</v>
      </c>
      <c r="K4">
        <v>15</v>
      </c>
      <c r="L4">
        <v>5</v>
      </c>
      <c r="M4">
        <v>4</v>
      </c>
    </row>
    <row r="5" spans="1:13" x14ac:dyDescent="0.3">
      <c r="C5" t="s">
        <v>14</v>
      </c>
      <c r="D5">
        <v>6</v>
      </c>
      <c r="E5">
        <v>9</v>
      </c>
      <c r="F5">
        <v>11</v>
      </c>
      <c r="G5">
        <v>14</v>
      </c>
      <c r="H5">
        <v>19</v>
      </c>
      <c r="I5">
        <v>25</v>
      </c>
      <c r="J5">
        <v>35</v>
      </c>
      <c r="K5">
        <v>40</v>
      </c>
      <c r="L5">
        <v>50</v>
      </c>
      <c r="M5">
        <v>45</v>
      </c>
    </row>
    <row r="6" spans="1:13" x14ac:dyDescent="0.3">
      <c r="C6" t="s">
        <v>15</v>
      </c>
      <c r="D6">
        <v>0.5</v>
      </c>
      <c r="E6">
        <v>2</v>
      </c>
      <c r="F6">
        <v>5</v>
      </c>
      <c r="G6">
        <v>10</v>
      </c>
      <c r="H6">
        <v>15</v>
      </c>
      <c r="I6">
        <v>22</v>
      </c>
      <c r="J6">
        <v>25</v>
      </c>
      <c r="K6">
        <v>34</v>
      </c>
      <c r="L6">
        <v>39</v>
      </c>
      <c r="M6">
        <v>44</v>
      </c>
    </row>
    <row r="7" spans="1:13" x14ac:dyDescent="0.3">
      <c r="C7" t="s">
        <v>16</v>
      </c>
      <c r="D7">
        <v>5.0000000000000001E-3</v>
      </c>
      <c r="E7">
        <v>0.08</v>
      </c>
      <c r="F7">
        <v>0.2</v>
      </c>
      <c r="G7">
        <v>0.5</v>
      </c>
      <c r="H7">
        <v>0.7</v>
      </c>
      <c r="I7">
        <v>1.02</v>
      </c>
      <c r="J7">
        <v>1.54</v>
      </c>
      <c r="K7">
        <v>2.0499999999999998</v>
      </c>
      <c r="L7">
        <v>3</v>
      </c>
      <c r="M7">
        <v>5</v>
      </c>
    </row>
    <row r="8" spans="1:13" x14ac:dyDescent="0.3">
      <c r="C8" t="s">
        <v>17</v>
      </c>
      <c r="D8">
        <v>1E-4</v>
      </c>
      <c r="E8">
        <v>2.0000000000000001E-4</v>
      </c>
      <c r="F8">
        <v>2E-3</v>
      </c>
      <c r="G8">
        <v>0.01</v>
      </c>
      <c r="H8">
        <v>1.4999999999999999E-2</v>
      </c>
      <c r="I8">
        <v>2.5000000000000001E-2</v>
      </c>
      <c r="J8">
        <v>0.04</v>
      </c>
      <c r="K8">
        <v>0.06</v>
      </c>
      <c r="L8">
        <v>0.08</v>
      </c>
      <c r="M8">
        <v>0.1</v>
      </c>
    </row>
    <row r="9" spans="1:13" x14ac:dyDescent="0.3">
      <c r="D9">
        <f>SUM(D3:D8)</f>
        <v>100</v>
      </c>
      <c r="E9">
        <f t="shared" ref="E9:M9" si="0">SUM(E3:E8)</f>
        <v>100.00000000000001</v>
      </c>
      <c r="F9">
        <f t="shared" si="0"/>
        <v>100</v>
      </c>
      <c r="G9">
        <f t="shared" si="0"/>
        <v>100.00000000000001</v>
      </c>
      <c r="H9">
        <f t="shared" si="0"/>
        <v>100</v>
      </c>
      <c r="I9">
        <f t="shared" si="0"/>
        <v>100</v>
      </c>
      <c r="J9">
        <f t="shared" si="0"/>
        <v>100.00000000000001</v>
      </c>
      <c r="K9">
        <f t="shared" si="0"/>
        <v>100</v>
      </c>
      <c r="L9">
        <f t="shared" si="0"/>
        <v>100</v>
      </c>
      <c r="M9">
        <f t="shared" si="0"/>
        <v>100</v>
      </c>
    </row>
    <row r="11" spans="1:13" x14ac:dyDescent="0.3">
      <c r="A11" t="s">
        <v>25</v>
      </c>
      <c r="B11" t="s">
        <v>27</v>
      </c>
      <c r="C11" t="s">
        <v>18</v>
      </c>
      <c r="D11">
        <v>68.58</v>
      </c>
      <c r="E11">
        <v>54.2</v>
      </c>
      <c r="F11">
        <v>33.1</v>
      </c>
      <c r="G11">
        <v>10.56</v>
      </c>
      <c r="H11">
        <v>7.2</v>
      </c>
      <c r="I11">
        <v>5.08</v>
      </c>
      <c r="J11">
        <v>4.41</v>
      </c>
      <c r="K11">
        <v>2.68</v>
      </c>
      <c r="L11">
        <v>0.11</v>
      </c>
      <c r="M11">
        <v>0.01</v>
      </c>
    </row>
    <row r="12" spans="1:13" x14ac:dyDescent="0.3">
      <c r="C12" t="s">
        <v>19</v>
      </c>
      <c r="D12">
        <v>25.5</v>
      </c>
      <c r="E12">
        <v>32.799999999999997</v>
      </c>
      <c r="F12">
        <v>43.5</v>
      </c>
      <c r="G12">
        <v>55.84</v>
      </c>
      <c r="H12">
        <v>45</v>
      </c>
      <c r="I12">
        <v>31.2</v>
      </c>
      <c r="J12">
        <v>21</v>
      </c>
      <c r="K12">
        <v>18</v>
      </c>
      <c r="L12">
        <v>4.2</v>
      </c>
      <c r="M12">
        <v>0.5</v>
      </c>
    </row>
    <row r="13" spans="1:13" x14ac:dyDescent="0.3">
      <c r="C13" t="s">
        <v>20</v>
      </c>
      <c r="D13">
        <v>5.4</v>
      </c>
      <c r="E13">
        <v>11.2</v>
      </c>
      <c r="F13">
        <v>18.399999999999999</v>
      </c>
      <c r="G13">
        <v>23.5</v>
      </c>
      <c r="H13">
        <v>28.5</v>
      </c>
      <c r="I13">
        <v>40.049999999999997</v>
      </c>
      <c r="J13">
        <v>36.5</v>
      </c>
      <c r="K13">
        <v>29</v>
      </c>
      <c r="L13">
        <v>18</v>
      </c>
      <c r="M13">
        <v>9.49</v>
      </c>
    </row>
    <row r="14" spans="1:13" x14ac:dyDescent="0.3">
      <c r="C14" t="s">
        <v>21</v>
      </c>
      <c r="D14">
        <v>0.51490000000000002</v>
      </c>
      <c r="E14">
        <v>1.7197</v>
      </c>
      <c r="F14">
        <v>4.7981999999999996</v>
      </c>
      <c r="G14">
        <v>9.59</v>
      </c>
      <c r="H14">
        <v>18.574999999999999</v>
      </c>
      <c r="I14">
        <v>22.617999999999999</v>
      </c>
      <c r="J14">
        <v>36.5</v>
      </c>
      <c r="K14">
        <v>48.2</v>
      </c>
      <c r="L14">
        <v>73.569999999999993</v>
      </c>
      <c r="M14">
        <v>82.85</v>
      </c>
    </row>
    <row r="15" spans="1:13" x14ac:dyDescent="0.3">
      <c r="C15" t="s">
        <v>22</v>
      </c>
      <c r="D15">
        <v>5.0000000000000001E-3</v>
      </c>
      <c r="E15">
        <v>0.08</v>
      </c>
      <c r="F15">
        <v>0.2</v>
      </c>
      <c r="G15">
        <v>0.5</v>
      </c>
      <c r="H15">
        <v>0.7</v>
      </c>
      <c r="I15">
        <v>1.02</v>
      </c>
      <c r="J15">
        <v>1.54</v>
      </c>
      <c r="K15">
        <v>2.0499999999999998</v>
      </c>
      <c r="L15">
        <v>4.0199999999999996</v>
      </c>
      <c r="M15">
        <v>7</v>
      </c>
    </row>
    <row r="16" spans="1:13" x14ac:dyDescent="0.3">
      <c r="C16" t="s">
        <v>23</v>
      </c>
      <c r="D16">
        <v>1E-4</v>
      </c>
      <c r="E16">
        <v>2.9999999999999997E-4</v>
      </c>
      <c r="F16">
        <v>1.8E-3</v>
      </c>
      <c r="G16">
        <v>0.01</v>
      </c>
      <c r="H16">
        <v>2.5000000000000001E-2</v>
      </c>
      <c r="I16">
        <v>3.2000000000000001E-2</v>
      </c>
      <c r="J16">
        <v>0.05</v>
      </c>
      <c r="K16">
        <v>7.0000000000000007E-2</v>
      </c>
      <c r="L16">
        <v>0.1</v>
      </c>
      <c r="M16">
        <v>0.15</v>
      </c>
    </row>
    <row r="17" spans="3:13" x14ac:dyDescent="0.3">
      <c r="D17">
        <f>SUM(D11:D16)</f>
        <v>100</v>
      </c>
      <c r="E17">
        <f t="shared" ref="E17:M17" si="1">SUM(E11:E16)</f>
        <v>100</v>
      </c>
      <c r="F17">
        <f t="shared" si="1"/>
        <v>100</v>
      </c>
      <c r="G17">
        <f t="shared" si="1"/>
        <v>100.00000000000001</v>
      </c>
      <c r="H17">
        <f t="shared" si="1"/>
        <v>100.00000000000001</v>
      </c>
      <c r="I17">
        <f t="shared" si="1"/>
        <v>99.999999999999986</v>
      </c>
      <c r="J17">
        <f t="shared" si="1"/>
        <v>100</v>
      </c>
      <c r="K17">
        <f t="shared" si="1"/>
        <v>99.999999999999986</v>
      </c>
      <c r="L17">
        <f t="shared" si="1"/>
        <v>99.999999999999986</v>
      </c>
      <c r="M17">
        <f t="shared" si="1"/>
        <v>100</v>
      </c>
    </row>
    <row r="18" spans="3:13" x14ac:dyDescent="0.3">
      <c r="C18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무기확율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정기 조</dc:creator>
  <cp:lastModifiedBy>고용성</cp:lastModifiedBy>
  <dcterms:created xsi:type="dcterms:W3CDTF">2025-08-05T06:39:47Z</dcterms:created>
  <dcterms:modified xsi:type="dcterms:W3CDTF">2025-08-24T09:01:10Z</dcterms:modified>
</cp:coreProperties>
</file>